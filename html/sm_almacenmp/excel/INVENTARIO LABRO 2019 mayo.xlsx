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4500" yWindow="435" windowWidth="20730" windowHeight="11760" activeTab="2"/>
  </bookViews>
  <sheets>
    <sheet name="Salidas " sheetId="2" r:id="rId1"/>
    <sheet name="Entradas " sheetId="1" r:id="rId2"/>
    <sheet name="Inventario" sheetId="3" r:id="rId3"/>
    <sheet name="Hoja1" sheetId="4" r:id="rId4"/>
  </sheets>
  <externalReferences>
    <externalReference r:id="rId5"/>
  </externalReferenc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30" i="1" l="1"/>
  <c r="B231" i="1" s="1"/>
  <c r="B232" i="1" s="1"/>
  <c r="B233" i="1" s="1"/>
  <c r="B234" i="1" s="1"/>
  <c r="B154" i="1"/>
  <c r="B155" i="1" s="1"/>
  <c r="B156" i="1" s="1"/>
  <c r="B157" i="1" s="1"/>
  <c r="A157" i="3" s="1"/>
  <c r="B4" i="1"/>
  <c r="A4" i="3" s="1"/>
  <c r="A3" i="3"/>
  <c r="A153" i="3"/>
  <c r="A154" i="3"/>
  <c r="A155" i="3"/>
  <c r="A229" i="3"/>
  <c r="A230" i="3"/>
  <c r="A231" i="3"/>
  <c r="A232" i="3"/>
  <c r="A262" i="3"/>
  <c r="B235" i="1" l="1"/>
  <c r="A234" i="3"/>
  <c r="A233" i="3"/>
  <c r="B158" i="1"/>
  <c r="A156" i="3"/>
  <c r="B5" i="1"/>
  <c r="A2" i="1"/>
  <c r="D2" i="1"/>
  <c r="E2" i="1"/>
  <c r="F2" i="1"/>
  <c r="B236" i="1" l="1"/>
  <c r="A235" i="3"/>
  <c r="A158" i="3"/>
  <c r="B159" i="1"/>
  <c r="B6" i="1"/>
  <c r="A5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B237" i="1" l="1"/>
  <c r="A236" i="3"/>
  <c r="B7" i="1"/>
  <c r="A6" i="3"/>
  <c r="B160" i="1"/>
  <c r="A159" i="3"/>
  <c r="F2" i="3"/>
  <c r="A2" i="2"/>
  <c r="B238" i="1" l="1"/>
  <c r="A237" i="3"/>
  <c r="B161" i="1"/>
  <c r="A160" i="3"/>
  <c r="A7" i="3"/>
  <c r="B8" i="1"/>
  <c r="E439" i="2"/>
  <c r="D335" i="1"/>
  <c r="F408" i="1"/>
  <c r="F828" i="2"/>
  <c r="E896" i="2"/>
  <c r="F921" i="1"/>
  <c r="D464" i="2"/>
  <c r="E726" i="1"/>
  <c r="F597" i="2"/>
  <c r="D817" i="2"/>
  <c r="D1104" i="1"/>
  <c r="D631" i="1"/>
  <c r="D1046" i="1"/>
  <c r="F1149" i="1"/>
  <c r="E635" i="1"/>
  <c r="E1078" i="1"/>
  <c r="F834" i="2"/>
  <c r="F155" i="2"/>
  <c r="E723" i="2"/>
  <c r="D832" i="1"/>
  <c r="D359" i="1"/>
  <c r="D668" i="1"/>
  <c r="F877" i="1"/>
  <c r="E363" i="1"/>
  <c r="D799" i="1"/>
  <c r="D400" i="1"/>
  <c r="E736" i="2"/>
  <c r="D706" i="2"/>
  <c r="E693" i="2"/>
  <c r="D854" i="1"/>
  <c r="F1041" i="1"/>
  <c r="E527" i="1"/>
  <c r="E970" i="1"/>
  <c r="E504" i="1"/>
  <c r="E918" i="1"/>
  <c r="F537" i="1"/>
  <c r="F629" i="1"/>
  <c r="F1095" i="1"/>
  <c r="F104" i="2"/>
  <c r="E683" i="2"/>
  <c r="E596" i="2"/>
  <c r="F135" i="2"/>
  <c r="D198" i="2"/>
  <c r="E614" i="2"/>
  <c r="E240" i="2"/>
  <c r="F596" i="1"/>
  <c r="F1039" i="1"/>
  <c r="E633" i="1"/>
  <c r="E602" i="1"/>
  <c r="D1080" i="1"/>
  <c r="D607" i="1"/>
  <c r="F850" i="2"/>
  <c r="F84" i="2"/>
  <c r="E755" i="2"/>
  <c r="D848" i="1"/>
  <c r="D375" i="1"/>
  <c r="D732" i="1"/>
  <c r="F893" i="1"/>
  <c r="E379" i="1"/>
  <c r="E820" i="1"/>
  <c r="D416" i="1"/>
  <c r="F784" i="2"/>
  <c r="F836" i="1"/>
  <c r="D757" i="2"/>
  <c r="F995" i="1"/>
  <c r="E589" i="1"/>
  <c r="E558" i="1"/>
  <c r="D1036" i="1"/>
  <c r="D563" i="1"/>
  <c r="D934" i="1"/>
  <c r="F1081" i="1"/>
  <c r="E665" i="2"/>
  <c r="E822" i="1"/>
  <c r="F547" i="2"/>
  <c r="F668" i="2"/>
  <c r="D1200" i="1"/>
  <c r="F1168" i="1"/>
  <c r="E3" i="1"/>
  <c r="E987" i="1"/>
  <c r="E1017" i="1"/>
  <c r="E455" i="1"/>
  <c r="E869" i="2"/>
  <c r="F519" i="2"/>
  <c r="E520" i="2"/>
  <c r="E694" i="2"/>
  <c r="F527" i="2"/>
  <c r="D897" i="2"/>
  <c r="F1108" i="1"/>
  <c r="E1196" i="1"/>
  <c r="D1125" i="1"/>
  <c r="E1165" i="1"/>
  <c r="D35" i="2"/>
  <c r="D223" i="2"/>
  <c r="D873" i="2"/>
  <c r="E933" i="1"/>
  <c r="E460" i="1"/>
  <c r="F865" i="2"/>
  <c r="D979" i="1"/>
  <c r="F464" i="1"/>
  <c r="F907" i="1"/>
  <c r="E501" i="1"/>
  <c r="F887" i="2"/>
  <c r="D922" i="1"/>
  <c r="D874" i="2"/>
  <c r="D1081" i="1"/>
  <c r="F643" i="1"/>
  <c r="E1121" i="1"/>
  <c r="D1070" i="1"/>
  <c r="D1167" i="1"/>
  <c r="F782" i="2"/>
  <c r="F69" i="2"/>
  <c r="E447" i="2"/>
  <c r="E71" i="2"/>
  <c r="D871" i="1"/>
  <c r="F356" i="1"/>
  <c r="D301" i="1"/>
  <c r="D1202" i="1"/>
  <c r="D274" i="1"/>
  <c r="E229" i="1"/>
  <c r="F846" i="1"/>
  <c r="E343" i="1"/>
  <c r="F747" i="2"/>
  <c r="F528" i="2"/>
  <c r="E413" i="2"/>
  <c r="F11" i="2"/>
  <c r="E604" i="2"/>
  <c r="E480" i="1"/>
  <c r="E1172" i="1"/>
  <c r="F1076" i="1"/>
  <c r="F7" i="1"/>
  <c r="F1126" i="1"/>
  <c r="D3" i="1"/>
  <c r="E1086" i="1"/>
  <c r="E879" i="2"/>
  <c r="E927" i="1"/>
  <c r="D893" i="2"/>
  <c r="F489" i="1"/>
  <c r="F962" i="1"/>
  <c r="D485" i="1"/>
  <c r="D516" i="1"/>
  <c r="E922" i="1"/>
  <c r="E479" i="1"/>
  <c r="F993" i="1"/>
  <c r="F656" i="1"/>
  <c r="E645" i="2"/>
  <c r="F762" i="1"/>
  <c r="E688" i="2"/>
  <c r="F817" i="1"/>
  <c r="E706" i="1"/>
  <c r="F300" i="1"/>
  <c r="E1194" i="1"/>
  <c r="F294" i="1"/>
  <c r="D328" i="1"/>
  <c r="F1188" i="1"/>
  <c r="F673" i="2"/>
  <c r="E796" i="1"/>
  <c r="F807" i="2"/>
  <c r="D560" i="1"/>
  <c r="E966" i="1"/>
  <c r="E523" i="1"/>
  <c r="F1037" i="1"/>
  <c r="D846" i="1"/>
  <c r="D519" i="1"/>
  <c r="D992" i="1"/>
  <c r="F30" i="2"/>
  <c r="D280" i="2"/>
  <c r="D30" i="2"/>
  <c r="D546" i="2"/>
  <c r="E3" i="2"/>
  <c r="F416" i="2"/>
  <c r="E781" i="1"/>
  <c r="D707" i="2"/>
  <c r="D559" i="2"/>
  <c r="F142" i="2"/>
  <c r="D196" i="2"/>
  <c r="D267" i="2"/>
  <c r="E235" i="1"/>
  <c r="F375" i="1"/>
  <c r="E469" i="1"/>
  <c r="F875" i="1"/>
  <c r="F432" i="1"/>
  <c r="D947" i="1"/>
  <c r="D707" i="1"/>
  <c r="E428" i="1"/>
  <c r="E901" i="1"/>
  <c r="D841" i="2"/>
  <c r="D335" i="2"/>
  <c r="D3" i="2"/>
  <c r="E1197" i="1"/>
  <c r="E36" i="2"/>
  <c r="D1157" i="1"/>
  <c r="D286" i="1"/>
  <c r="E1151" i="1"/>
  <c r="D636" i="2"/>
  <c r="D759" i="1"/>
  <c r="D733" i="2"/>
  <c r="D1055" i="1"/>
  <c r="F880" i="1"/>
  <c r="E536" i="1"/>
  <c r="E1009" i="1"/>
  <c r="F531" i="1"/>
  <c r="F562" i="1"/>
  <c r="D969" i="1"/>
  <c r="F703" i="2"/>
  <c r="D804" i="1"/>
  <c r="E731" i="2"/>
  <c r="E308" i="1"/>
  <c r="D1201" i="1"/>
  <c r="E303" i="1"/>
  <c r="F334" i="1"/>
  <c r="E1195" i="1"/>
  <c r="D296" i="1"/>
  <c r="D807" i="1"/>
  <c r="E674" i="1"/>
  <c r="D601" i="2"/>
  <c r="D778" i="2"/>
  <c r="F702" i="2"/>
  <c r="F724" i="2"/>
  <c r="D744" i="2"/>
  <c r="F777" i="1"/>
  <c r="E770" i="2"/>
  <c r="E555" i="2"/>
  <c r="E207" i="2"/>
  <c r="E271" i="2"/>
  <c r="F360" i="2"/>
  <c r="F582" i="1"/>
  <c r="F618" i="1"/>
  <c r="D1025" i="1"/>
  <c r="D582" i="1"/>
  <c r="E1096" i="1"/>
  <c r="E963" i="1"/>
  <c r="F577" i="1"/>
  <c r="F1050" i="1"/>
  <c r="D713" i="2"/>
  <c r="D425" i="2"/>
  <c r="D673" i="1"/>
  <c r="E606" i="2"/>
  <c r="E932" i="1"/>
  <c r="F80" i="2"/>
  <c r="F413" i="1"/>
  <c r="F886" i="1"/>
  <c r="D409" i="1"/>
  <c r="D440" i="1"/>
  <c r="E846" i="1"/>
  <c r="F785" i="2"/>
  <c r="E671" i="1"/>
  <c r="D25" i="2"/>
  <c r="E1119" i="1"/>
  <c r="F1158" i="1"/>
  <c r="E1118" i="1"/>
  <c r="E10" i="2"/>
  <c r="E959" i="1"/>
  <c r="D24" i="2"/>
  <c r="F457" i="1"/>
  <c r="F930" i="1"/>
  <c r="D453" i="1"/>
  <c r="D484" i="1"/>
  <c r="E890" i="1"/>
  <c r="E447" i="1"/>
  <c r="F961" i="1"/>
  <c r="F765" i="1"/>
  <c r="D602" i="2"/>
  <c r="F730" i="1"/>
  <c r="E656" i="2"/>
  <c r="D724" i="1"/>
  <c r="F649" i="2"/>
  <c r="D690" i="1"/>
  <c r="F43" i="2"/>
  <c r="D525" i="2"/>
  <c r="F92" i="2"/>
  <c r="E178" i="2"/>
  <c r="D377" i="2"/>
  <c r="D621" i="1"/>
  <c r="D398" i="1"/>
  <c r="E912" i="1"/>
  <c r="D674" i="2"/>
  <c r="F1141" i="1"/>
  <c r="E1035" i="1"/>
  <c r="F455" i="1"/>
  <c r="F423" i="1"/>
  <c r="F426" i="2"/>
  <c r="E396" i="2"/>
  <c r="D163" i="2"/>
  <c r="F453" i="2"/>
  <c r="F600" i="2"/>
  <c r="E676" i="1"/>
  <c r="F642" i="2"/>
  <c r="D741" i="1"/>
  <c r="D350" i="2"/>
  <c r="E118" i="2"/>
  <c r="E422" i="2"/>
  <c r="F334" i="2"/>
  <c r="F726" i="2"/>
  <c r="D825" i="1"/>
  <c r="F410" i="2"/>
  <c r="F707" i="2"/>
  <c r="F393" i="2"/>
  <c r="D300" i="1"/>
  <c r="F261" i="2"/>
  <c r="E125" i="2"/>
  <c r="F541" i="2"/>
  <c r="D342" i="2"/>
  <c r="E462" i="2"/>
  <c r="F890" i="2"/>
  <c r="F1148" i="1"/>
  <c r="D45" i="2"/>
  <c r="E691" i="1"/>
  <c r="F291" i="2"/>
  <c r="E217" i="2"/>
  <c r="E320" i="1"/>
  <c r="D291" i="1"/>
  <c r="F549" i="1"/>
  <c r="F1022" i="1"/>
  <c r="F523" i="1"/>
  <c r="F219" i="2"/>
  <c r="D501" i="2"/>
  <c r="E421" i="2"/>
  <c r="E408" i="2"/>
  <c r="F395" i="2"/>
  <c r="D641" i="2"/>
  <c r="F988" i="1"/>
  <c r="F751" i="2"/>
  <c r="E768" i="1"/>
  <c r="E145" i="2"/>
  <c r="F561" i="2"/>
  <c r="D346" i="2"/>
  <c r="E142" i="2"/>
  <c r="F448" i="2"/>
  <c r="D870" i="2"/>
  <c r="D34" i="2"/>
  <c r="F818" i="2"/>
  <c r="D648" i="1"/>
  <c r="F408" i="2"/>
  <c r="F257" i="2"/>
  <c r="E137" i="2"/>
  <c r="F553" i="2"/>
  <c r="F701" i="2"/>
  <c r="D776" i="1"/>
  <c r="F399" i="2"/>
  <c r="D883" i="2"/>
  <c r="D482" i="2"/>
  <c r="F1198" i="1"/>
  <c r="D612" i="2"/>
  <c r="D160" i="1"/>
  <c r="F1013" i="1"/>
  <c r="F736" i="1"/>
  <c r="E97" i="2"/>
  <c r="F513" i="2"/>
  <c r="D298" i="2"/>
  <c r="D234" i="2"/>
  <c r="D269" i="2"/>
  <c r="F819" i="2"/>
  <c r="D666" i="2"/>
  <c r="F770" i="2"/>
  <c r="D879" i="2"/>
  <c r="D235" i="1"/>
  <c r="E293" i="2"/>
  <c r="E175" i="2"/>
  <c r="E566" i="2"/>
  <c r="D463" i="2"/>
  <c r="E597" i="2"/>
  <c r="E685" i="1"/>
  <c r="F467" i="2"/>
  <c r="D892" i="2"/>
  <c r="D380" i="2"/>
  <c r="F389" i="2"/>
  <c r="E140" i="2"/>
  <c r="E402" i="2"/>
  <c r="E277" i="2"/>
  <c r="F466" i="2"/>
  <c r="E67" i="2"/>
  <c r="E191" i="2"/>
  <c r="D782" i="2"/>
  <c r="E835" i="1"/>
  <c r="E593" i="1"/>
  <c r="F999" i="1"/>
  <c r="E535" i="1"/>
  <c r="E336" i="1"/>
  <c r="D803" i="1"/>
  <c r="E310" i="1"/>
  <c r="D542" i="1"/>
  <c r="D315" i="2"/>
  <c r="F178" i="2"/>
  <c r="D595" i="2"/>
  <c r="E395" i="2"/>
  <c r="F603" i="2"/>
  <c r="F636" i="2"/>
  <c r="E164" i="2"/>
  <c r="D630" i="2"/>
  <c r="F744" i="1"/>
  <c r="D182" i="2"/>
  <c r="F536" i="2"/>
  <c r="E390" i="2"/>
  <c r="E264" i="2"/>
  <c r="F230" i="2"/>
  <c r="F800" i="2"/>
  <c r="F844" i="1"/>
  <c r="E788" i="2"/>
  <c r="F48" i="2"/>
  <c r="E611" i="1"/>
  <c r="E579" i="1"/>
  <c r="E460" i="2"/>
  <c r="E242" i="2"/>
  <c r="D166" i="2"/>
  <c r="D461" i="1"/>
  <c r="F490" i="1"/>
  <c r="D897" i="1"/>
  <c r="D454" i="1"/>
  <c r="E968" i="1"/>
  <c r="E792" i="1"/>
  <c r="F449" i="1"/>
  <c r="F922" i="1"/>
  <c r="E862" i="2"/>
  <c r="E420" i="2"/>
  <c r="E24" i="2"/>
  <c r="E285" i="1"/>
  <c r="D794" i="1"/>
  <c r="F72" i="2"/>
  <c r="E279" i="1"/>
  <c r="E1178" i="1"/>
  <c r="E273" i="1"/>
  <c r="D312" i="1"/>
  <c r="F1172" i="1"/>
  <c r="F657" i="2"/>
  <c r="E780" i="1"/>
  <c r="F775" i="2"/>
  <c r="E1076" i="1"/>
  <c r="E923" i="1"/>
  <c r="F557" i="1"/>
  <c r="F1030" i="1"/>
  <c r="D553" i="1"/>
  <c r="D584" i="1"/>
  <c r="E990" i="1"/>
  <c r="E746" i="2"/>
  <c r="E831" i="1"/>
  <c r="D774" i="2"/>
  <c r="F329" i="1"/>
  <c r="E787" i="1"/>
  <c r="D325" i="1"/>
  <c r="D356" i="1"/>
  <c r="F263" i="1"/>
  <c r="E319" i="1"/>
  <c r="F833" i="1"/>
  <c r="F759" i="1"/>
  <c r="D325" i="2"/>
  <c r="E884" i="2"/>
  <c r="E729" i="2"/>
  <c r="F857" i="2"/>
  <c r="E765" i="2"/>
  <c r="E601" i="2"/>
  <c r="F812" i="2"/>
  <c r="F576" i="2"/>
  <c r="F228" i="2"/>
  <c r="F292" i="2"/>
  <c r="D382" i="2"/>
  <c r="D476" i="1"/>
  <c r="F1131" i="1"/>
  <c r="D1203" i="1"/>
  <c r="D1118" i="1"/>
  <c r="E1157" i="1"/>
  <c r="E873" i="2"/>
  <c r="F572" i="2"/>
  <c r="F779" i="1"/>
  <c r="E599" i="2"/>
  <c r="D1039" i="1"/>
  <c r="F848" i="1"/>
  <c r="E520" i="1"/>
  <c r="E993" i="1"/>
  <c r="F515" i="1"/>
  <c r="F546" i="1"/>
  <c r="D953" i="1"/>
  <c r="F671" i="2"/>
  <c r="D778" i="1"/>
  <c r="E699" i="2"/>
  <c r="E373" i="1"/>
  <c r="D281" i="1"/>
  <c r="F336" i="1"/>
  <c r="D851" i="1"/>
  <c r="D580" i="2"/>
  <c r="E332" i="1"/>
  <c r="F797" i="1"/>
  <c r="D670" i="2"/>
  <c r="F168" i="2"/>
  <c r="F795" i="2"/>
  <c r="E564" i="1"/>
  <c r="E1037" i="1"/>
  <c r="F559" i="1"/>
  <c r="F590" i="1"/>
  <c r="D997" i="1"/>
  <c r="D554" i="1"/>
  <c r="E1068" i="1"/>
  <c r="E907" i="1"/>
  <c r="D720" i="2"/>
  <c r="F869" i="2"/>
  <c r="D763" i="2"/>
  <c r="D843" i="2"/>
  <c r="E756" i="2"/>
  <c r="E807" i="1"/>
  <c r="F736" i="2"/>
  <c r="E202" i="2"/>
  <c r="F205" i="2"/>
  <c r="E326" i="2"/>
  <c r="F419" i="2"/>
  <c r="D237" i="1"/>
  <c r="D498" i="2"/>
  <c r="E231" i="1"/>
  <c r="E388" i="1"/>
  <c r="E861" i="1"/>
  <c r="F383" i="1"/>
  <c r="F414" i="1"/>
  <c r="F818" i="1"/>
  <c r="D378" i="1"/>
  <c r="E892" i="1"/>
  <c r="F726" i="1"/>
  <c r="F470" i="2"/>
  <c r="E661" i="1"/>
  <c r="E809" i="2"/>
  <c r="E1188" i="1"/>
  <c r="D1098" i="1"/>
  <c r="F1142" i="1"/>
  <c r="E1102" i="1"/>
  <c r="E895" i="2"/>
  <c r="E943" i="1"/>
  <c r="D8" i="2"/>
  <c r="F522" i="1"/>
  <c r="D929" i="1"/>
  <c r="D486" i="1"/>
  <c r="E1000" i="1"/>
  <c r="E683" i="1"/>
  <c r="F481" i="1"/>
  <c r="F954" i="1"/>
  <c r="E894" i="2"/>
  <c r="D322" i="2"/>
  <c r="E743" i="2"/>
  <c r="D571" i="2"/>
  <c r="F1186" i="1"/>
  <c r="E1146" i="1"/>
  <c r="D272" i="1"/>
  <c r="F1136" i="1"/>
  <c r="D622" i="2"/>
  <c r="E748" i="1"/>
  <c r="F711" i="2"/>
  <c r="F741" i="1"/>
  <c r="E698" i="2"/>
  <c r="D962" i="1"/>
  <c r="F26" i="2"/>
  <c r="D235" i="2"/>
  <c r="F381" i="2"/>
  <c r="F374" i="2"/>
  <c r="E572" i="2"/>
  <c r="F729" i="2"/>
  <c r="E1168" i="1"/>
  <c r="E1071" i="1"/>
  <c r="E354" i="1"/>
  <c r="D460" i="1"/>
  <c r="E866" i="1"/>
  <c r="E375" i="1"/>
  <c r="D149" i="2"/>
  <c r="D122" i="2"/>
  <c r="F539" i="2"/>
  <c r="D417" i="2"/>
  <c r="D828" i="2"/>
  <c r="F658" i="1"/>
  <c r="F540" i="2"/>
  <c r="E865" i="2"/>
  <c r="D414" i="2"/>
  <c r="F520" i="1"/>
  <c r="E320" i="2"/>
  <c r="D184" i="2"/>
  <c r="E600" i="2"/>
  <c r="F400" i="2"/>
  <c r="E610" i="2"/>
  <c r="E679" i="2"/>
  <c r="F185" i="2"/>
  <c r="E643" i="2"/>
  <c r="D750" i="1"/>
  <c r="F236" i="2"/>
  <c r="E290" i="2"/>
  <c r="D85" i="2"/>
  <c r="E312" i="2"/>
  <c r="E404" i="2"/>
  <c r="E858" i="2"/>
  <c r="F892" i="1"/>
  <c r="F592" i="2"/>
  <c r="E672" i="1"/>
  <c r="D254" i="2"/>
  <c r="F152" i="2"/>
  <c r="E576" i="1"/>
  <c r="E1049" i="1"/>
  <c r="E550" i="1"/>
  <c r="D350" i="1"/>
  <c r="E864" i="1"/>
  <c r="E31" i="2"/>
  <c r="F133" i="2"/>
  <c r="F375" i="2"/>
  <c r="E254" i="2"/>
  <c r="D146" i="2"/>
  <c r="E165" i="2"/>
  <c r="E70" i="2"/>
  <c r="F716" i="1"/>
  <c r="E676" i="2"/>
  <c r="F750" i="1"/>
  <c r="D276" i="2"/>
  <c r="E316" i="2"/>
  <c r="D83" i="2"/>
  <c r="E612" i="2"/>
  <c r="E760" i="2"/>
  <c r="D859" i="2"/>
  <c r="E489" i="2"/>
  <c r="D661" i="1"/>
  <c r="F232" i="1"/>
  <c r="F312" i="2"/>
  <c r="F232" i="2"/>
  <c r="E258" i="2"/>
  <c r="D260" i="2"/>
  <c r="E689" i="2"/>
  <c r="F787" i="1"/>
  <c r="F363" i="2"/>
  <c r="F631" i="2"/>
  <c r="F241" i="2"/>
  <c r="D590" i="1"/>
  <c r="E1040" i="1"/>
  <c r="E851" i="1"/>
  <c r="E236" i="1"/>
  <c r="D332" i="1"/>
  <c r="F1192" i="1"/>
  <c r="F505" i="1"/>
  <c r="F422" i="2"/>
  <c r="E268" i="2"/>
  <c r="D148" i="2"/>
  <c r="E564" i="2"/>
  <c r="E712" i="2"/>
  <c r="F786" i="1"/>
  <c r="F430" i="2"/>
  <c r="F24" i="2"/>
  <c r="D133" i="2"/>
  <c r="F88" i="2"/>
  <c r="D490" i="2"/>
  <c r="D329" i="2"/>
  <c r="D568" i="2"/>
  <c r="D697" i="1"/>
  <c r="F409" i="2"/>
  <c r="F859" i="2"/>
  <c r="F169" i="2"/>
  <c r="F108" i="2"/>
  <c r="D533" i="2"/>
  <c r="F330" i="2"/>
  <c r="E440" i="2"/>
  <c r="E401" i="2"/>
  <c r="D705" i="2"/>
  <c r="F1020" i="1"/>
  <c r="E814" i="2"/>
  <c r="D633" i="2"/>
  <c r="D363" i="1"/>
  <c r="D836" i="1"/>
  <c r="D337" i="1"/>
  <c r="E592" i="1"/>
  <c r="E1065" i="1"/>
  <c r="E566" i="1"/>
  <c r="E158" i="2"/>
  <c r="E458" i="2"/>
  <c r="F342" i="2"/>
  <c r="F365" i="2"/>
  <c r="E391" i="2"/>
  <c r="F10" i="2"/>
  <c r="D946" i="1"/>
  <c r="E666" i="2"/>
  <c r="F725" i="1"/>
  <c r="F102" i="2"/>
  <c r="D519" i="2"/>
  <c r="E303" i="2"/>
  <c r="E239" i="2"/>
  <c r="F306" i="2"/>
  <c r="D827" i="2"/>
  <c r="F708" i="2"/>
  <c r="D776" i="2"/>
  <c r="E900" i="2"/>
  <c r="F323" i="2"/>
  <c r="E233" i="2"/>
  <c r="F94" i="2"/>
  <c r="D511" i="2"/>
  <c r="D659" i="2"/>
  <c r="E733" i="1"/>
  <c r="D546" i="1"/>
  <c r="E1010" i="1"/>
  <c r="D604" i="1"/>
  <c r="E597" i="1"/>
  <c r="F1003" i="1"/>
  <c r="F560" i="1"/>
  <c r="D1075" i="1"/>
  <c r="F454" i="1"/>
  <c r="D1153" i="1"/>
  <c r="F280" i="1"/>
  <c r="D1146" i="1"/>
  <c r="F1178" i="1"/>
  <c r="F894" i="2"/>
  <c r="E478" i="2"/>
  <c r="D801" i="1"/>
  <c r="F638" i="2"/>
  <c r="E1060" i="1"/>
  <c r="E891" i="1"/>
  <c r="F541" i="1"/>
  <c r="F1014" i="1"/>
  <c r="D537" i="1"/>
  <c r="D568" i="1"/>
  <c r="E974" i="1"/>
  <c r="E714" i="2"/>
  <c r="D811" i="1"/>
  <c r="D742" i="2"/>
  <c r="F394" i="1"/>
  <c r="E302" i="1"/>
  <c r="D358" i="1"/>
  <c r="E872" i="1"/>
  <c r="F78" i="2"/>
  <c r="F353" i="1"/>
  <c r="D826" i="1"/>
  <c r="F712" i="2"/>
  <c r="D113" i="2"/>
  <c r="E829" i="2"/>
  <c r="F585" i="1"/>
  <c r="F1058" i="1"/>
  <c r="D581" i="1"/>
  <c r="D612" i="1"/>
  <c r="E1018" i="1"/>
  <c r="E575" i="1"/>
  <c r="F1089" i="1"/>
  <c r="D950" i="1"/>
  <c r="E741" i="2"/>
  <c r="E43" i="2"/>
  <c r="E784" i="2"/>
  <c r="E27" i="2"/>
  <c r="F777" i="2"/>
  <c r="D834" i="1"/>
  <c r="E779" i="2"/>
  <c r="F180" i="2"/>
  <c r="F253" i="2"/>
  <c r="D369" i="2"/>
  <c r="F263" i="2"/>
  <c r="F595" i="2"/>
  <c r="D495" i="1"/>
  <c r="D968" i="1"/>
  <c r="E490" i="1"/>
  <c r="E521" i="1"/>
  <c r="F927" i="1"/>
  <c r="F484" i="1"/>
  <c r="D999" i="1"/>
  <c r="D678" i="1"/>
  <c r="F650" i="2"/>
  <c r="D768" i="1"/>
  <c r="F693" i="2"/>
  <c r="E357" i="1"/>
  <c r="D265" i="1"/>
  <c r="F320" i="1"/>
  <c r="D835" i="1"/>
  <c r="D765" i="1"/>
  <c r="E316" i="1"/>
  <c r="D638" i="2"/>
  <c r="D175" i="2"/>
  <c r="F763" i="2"/>
  <c r="E629" i="1"/>
  <c r="F1035" i="1"/>
  <c r="F592" i="1"/>
  <c r="D1107" i="1"/>
  <c r="F984" i="1"/>
  <c r="E588" i="1"/>
  <c r="E1061" i="1"/>
  <c r="E734" i="2"/>
  <c r="D384" i="2"/>
  <c r="F683" i="1"/>
  <c r="F319" i="2"/>
  <c r="D879" i="1"/>
  <c r="E673" i="1"/>
  <c r="E360" i="1"/>
  <c r="E833" i="1"/>
  <c r="F355" i="1"/>
  <c r="F386" i="1"/>
  <c r="E294" i="1"/>
  <c r="E732" i="2"/>
  <c r="E40" i="2"/>
  <c r="F872" i="2"/>
  <c r="D18" i="2"/>
  <c r="D866" i="2"/>
  <c r="F1068" i="1"/>
  <c r="D801" i="2"/>
  <c r="E560" i="2"/>
  <c r="D262" i="2"/>
  <c r="F461" i="2"/>
  <c r="E483" i="2"/>
  <c r="D654" i="2"/>
  <c r="E644" i="1"/>
  <c r="E1117" i="1"/>
  <c r="F639" i="1"/>
  <c r="D1077" i="1"/>
  <c r="D634" i="1"/>
  <c r="E1148" i="1"/>
  <c r="F1044" i="1"/>
  <c r="D800" i="2"/>
  <c r="D679" i="1"/>
  <c r="D606" i="2"/>
  <c r="F506" i="1"/>
  <c r="D913" i="1"/>
  <c r="D470" i="1"/>
  <c r="E984" i="1"/>
  <c r="D42" i="2"/>
  <c r="F465" i="1"/>
  <c r="F938" i="1"/>
  <c r="E878" i="2"/>
  <c r="D258" i="2"/>
  <c r="E561" i="2"/>
  <c r="E288" i="1"/>
  <c r="D1185" i="1"/>
  <c r="D282" i="1"/>
  <c r="F318" i="1"/>
  <c r="E1179" i="1"/>
  <c r="F274" i="1"/>
  <c r="D14" i="2"/>
  <c r="D569" i="2"/>
  <c r="D650" i="2"/>
  <c r="E681" i="2"/>
  <c r="E1028" i="1"/>
  <c r="F805" i="1"/>
  <c r="F509" i="1"/>
  <c r="F982" i="1"/>
  <c r="D505" i="1"/>
  <c r="D536" i="1"/>
  <c r="E942" i="1"/>
  <c r="E650" i="2"/>
  <c r="E767" i="1"/>
  <c r="D678" i="2"/>
  <c r="F760" i="1"/>
  <c r="F664" i="2"/>
  <c r="E147" i="2"/>
  <c r="F764" i="2"/>
  <c r="D309" i="2"/>
  <c r="F103" i="2"/>
  <c r="D611" i="2"/>
  <c r="F495" i="2"/>
  <c r="D558" i="1"/>
  <c r="E730" i="1"/>
  <c r="D1083" i="1"/>
  <c r="F936" i="1"/>
  <c r="F374" i="1"/>
  <c r="E282" i="1"/>
  <c r="D140" i="2"/>
  <c r="E556" i="2"/>
  <c r="F340" i="2"/>
  <c r="F131" i="2"/>
  <c r="D440" i="2"/>
  <c r="F864" i="2"/>
  <c r="F12" i="2"/>
  <c r="E813" i="2"/>
  <c r="D75" i="2"/>
  <c r="D313" i="2"/>
  <c r="D228" i="2"/>
  <c r="E89" i="2"/>
  <c r="F505" i="2"/>
  <c r="F653" i="2"/>
  <c r="D728" i="1"/>
  <c r="D585" i="2"/>
  <c r="F33" i="2"/>
  <c r="E432" i="2"/>
  <c r="D183" i="2"/>
  <c r="D474" i="2"/>
  <c r="D297" i="2"/>
  <c r="E509" i="2"/>
  <c r="D681" i="1"/>
  <c r="F345" i="2"/>
  <c r="F843" i="2"/>
  <c r="F105" i="2"/>
  <c r="E562" i="1"/>
  <c r="E530" i="1"/>
  <c r="F382" i="2"/>
  <c r="F369" i="2"/>
  <c r="D636" i="1"/>
  <c r="E1042" i="1"/>
  <c r="D578" i="1"/>
  <c r="D379" i="1"/>
  <c r="D852" i="1"/>
  <c r="D353" i="1"/>
  <c r="E272" i="2"/>
  <c r="D136" i="2"/>
  <c r="E552" i="2"/>
  <c r="F352" i="2"/>
  <c r="D505" i="2"/>
  <c r="E901" i="2"/>
  <c r="F106" i="2"/>
  <c r="F55" i="2"/>
  <c r="D702" i="1"/>
  <c r="D154" i="1"/>
  <c r="F96" i="2"/>
  <c r="D494" i="2"/>
  <c r="D305" i="2"/>
  <c r="E130" i="2"/>
  <c r="F123" i="2"/>
  <c r="E715" i="2"/>
  <c r="D786" i="1"/>
  <c r="F745" i="2"/>
  <c r="F780" i="2"/>
  <c r="F327" i="1"/>
  <c r="F292" i="1"/>
  <c r="F346" i="2"/>
  <c r="E428" i="2"/>
  <c r="D195" i="2"/>
  <c r="D486" i="2"/>
  <c r="D628" i="2"/>
  <c r="E708" i="1"/>
  <c r="F674" i="2"/>
  <c r="D773" i="1"/>
  <c r="E469" i="2"/>
  <c r="F153" i="1"/>
  <c r="D555" i="1"/>
  <c r="D1028" i="1"/>
  <c r="D529" i="1"/>
  <c r="F328" i="1"/>
  <c r="D843" i="1"/>
  <c r="D797" i="1"/>
  <c r="D155" i="2"/>
  <c r="D443" i="2"/>
  <c r="F274" i="2"/>
  <c r="F188" i="2"/>
  <c r="F137" i="2"/>
  <c r="E585" i="2"/>
  <c r="D738" i="1"/>
  <c r="F697" i="2"/>
  <c r="D772" i="1"/>
  <c r="F318" i="2"/>
  <c r="F337" i="2"/>
  <c r="E104" i="2"/>
  <c r="F633" i="2"/>
  <c r="F781" i="2"/>
  <c r="D40" i="2"/>
  <c r="F510" i="2"/>
  <c r="E682" i="1"/>
  <c r="D334" i="2"/>
  <c r="E86" i="2"/>
  <c r="E365" i="2"/>
  <c r="F302" i="2"/>
  <c r="F710" i="2"/>
  <c r="D809" i="1"/>
  <c r="D284" i="2"/>
  <c r="F675" i="2"/>
  <c r="F329" i="2"/>
  <c r="F422" i="1"/>
  <c r="D829" i="1"/>
  <c r="E327" i="1"/>
  <c r="D6" i="1"/>
  <c r="B6" i="3" s="1"/>
  <c r="E1058" i="1"/>
  <c r="D594" i="1"/>
  <c r="E259" i="2"/>
  <c r="E163" i="2"/>
  <c r="E527" i="2"/>
  <c r="F403" i="2"/>
  <c r="F635" i="2"/>
  <c r="E734" i="1"/>
  <c r="F332" i="2"/>
  <c r="D395" i="1"/>
  <c r="D320" i="1"/>
  <c r="F1180" i="1"/>
  <c r="E276" i="1"/>
  <c r="E35" i="2"/>
  <c r="F270" i="1"/>
  <c r="F1171" i="1"/>
  <c r="F63" i="2"/>
  <c r="F138" i="2"/>
  <c r="D689" i="2"/>
  <c r="D575" i="1"/>
  <c r="D1048" i="1"/>
  <c r="E570" i="1"/>
  <c r="E601" i="1"/>
  <c r="F1007" i="1"/>
  <c r="F564" i="1"/>
  <c r="D1079" i="1"/>
  <c r="F928" i="1"/>
  <c r="F730" i="2"/>
  <c r="E11" i="2"/>
  <c r="F773" i="2"/>
  <c r="F905" i="1"/>
  <c r="D780" i="1"/>
  <c r="D387" i="1"/>
  <c r="D860" i="1"/>
  <c r="E382" i="1"/>
  <c r="E413" i="1"/>
  <c r="F816" i="1"/>
  <c r="D759" i="2"/>
  <c r="D76" i="2"/>
  <c r="E899" i="2"/>
  <c r="E645" i="1"/>
  <c r="F1051" i="1"/>
  <c r="F608" i="1"/>
  <c r="D1123" i="1"/>
  <c r="E1011" i="1"/>
  <c r="E604" i="1"/>
  <c r="E1077" i="1"/>
  <c r="E766" i="2"/>
  <c r="D491" i="2"/>
  <c r="F699" i="1"/>
  <c r="D405" i="2"/>
  <c r="D693" i="1"/>
  <c r="D552" i="2"/>
  <c r="D54" i="2"/>
  <c r="E792" i="2"/>
  <c r="E298" i="2"/>
  <c r="D115" i="2"/>
  <c r="F305" i="2"/>
  <c r="F373" i="2"/>
  <c r="F647" i="1"/>
  <c r="F646" i="1"/>
  <c r="F554" i="1"/>
  <c r="D961" i="1"/>
  <c r="D518" i="1"/>
  <c r="E1032" i="1"/>
  <c r="D827" i="1"/>
  <c r="F513" i="1"/>
  <c r="F986" i="1"/>
  <c r="E25" i="2"/>
  <c r="E106" i="2"/>
  <c r="F8" i="2"/>
  <c r="F524" i="2"/>
  <c r="E868" i="1"/>
  <c r="E57" i="2"/>
  <c r="F349" i="1"/>
  <c r="F820" i="1"/>
  <c r="D345" i="1"/>
  <c r="D376" i="1"/>
  <c r="F283" i="1"/>
  <c r="F721" i="2"/>
  <c r="D903" i="2"/>
  <c r="D862" i="2"/>
  <c r="E1140" i="1"/>
  <c r="D1034" i="1"/>
  <c r="F621" i="1"/>
  <c r="F1094" i="1"/>
  <c r="D617" i="1"/>
  <c r="B3" i="3"/>
  <c r="E1054" i="1"/>
  <c r="E847" i="2"/>
  <c r="E895" i="1"/>
  <c r="D861" i="2"/>
  <c r="F393" i="1"/>
  <c r="F866" i="1"/>
  <c r="D389" i="1"/>
  <c r="D420" i="1"/>
  <c r="F825" i="1"/>
  <c r="E383" i="1"/>
  <c r="F897" i="1"/>
  <c r="D748" i="1"/>
  <c r="D476" i="2"/>
  <c r="F666" i="1"/>
  <c r="F814" i="2"/>
  <c r="D660" i="1"/>
  <c r="D516" i="2"/>
  <c r="D51" i="2"/>
  <c r="F880" i="2"/>
  <c r="D461" i="2"/>
  <c r="F163" i="2"/>
  <c r="F356" i="2"/>
  <c r="D272" i="2"/>
  <c r="E497" i="1"/>
  <c r="E1110" i="1"/>
  <c r="F1181" i="1"/>
  <c r="F1088" i="1"/>
  <c r="D1136" i="1"/>
  <c r="D852" i="2"/>
  <c r="E487" i="2"/>
  <c r="E758" i="1"/>
  <c r="F506" i="2"/>
  <c r="F1017" i="1"/>
  <c r="F752" i="1"/>
  <c r="D499" i="1"/>
  <c r="D972" i="1"/>
  <c r="E494" i="1"/>
  <c r="E525" i="1"/>
  <c r="F931" i="1"/>
  <c r="D621" i="2"/>
  <c r="F756" i="1"/>
  <c r="F656" i="2"/>
  <c r="D352" i="1"/>
  <c r="E315" i="1"/>
  <c r="F829" i="1"/>
  <c r="F743" i="1"/>
  <c r="D311" i="1"/>
  <c r="F1203" i="1"/>
  <c r="F615" i="2"/>
  <c r="F153" i="2"/>
  <c r="D753" i="2"/>
  <c r="D543" i="1"/>
  <c r="D1016" i="1"/>
  <c r="E538" i="1"/>
  <c r="E569" i="1"/>
  <c r="F975" i="1"/>
  <c r="F532" i="1"/>
  <c r="D1047" i="1"/>
  <c r="F864" i="1"/>
  <c r="F698" i="2"/>
  <c r="F748" i="2"/>
  <c r="F741" i="2"/>
  <c r="E695" i="2"/>
  <c r="D735" i="2"/>
  <c r="E775" i="1"/>
  <c r="D694" i="2"/>
  <c r="D230" i="2"/>
  <c r="E229" i="2"/>
  <c r="F283" i="2"/>
  <c r="D340" i="2"/>
  <c r="F997" i="1"/>
  <c r="F672" i="1"/>
  <c r="E284" i="1"/>
  <c r="D1150" i="1"/>
  <c r="E283" i="1"/>
  <c r="D1186" i="1"/>
  <c r="E325" i="1"/>
  <c r="F725" i="2"/>
  <c r="F590" i="2"/>
  <c r="F682" i="2"/>
  <c r="D820" i="1"/>
  <c r="D1031" i="1"/>
  <c r="F516" i="1"/>
  <c r="F959" i="1"/>
  <c r="E553" i="1"/>
  <c r="E522" i="1"/>
  <c r="D1000" i="1"/>
  <c r="D632" i="2"/>
  <c r="F795" i="1"/>
  <c r="D457" i="2"/>
  <c r="E889" i="2"/>
  <c r="E1173" i="1"/>
  <c r="E1139" i="1"/>
  <c r="F273" i="1"/>
  <c r="F1147" i="1"/>
  <c r="E30" i="2"/>
  <c r="F676" i="1"/>
  <c r="D791" i="2"/>
  <c r="F851" i="1"/>
  <c r="E445" i="1"/>
  <c r="E414" i="1"/>
  <c r="E977" i="1"/>
  <c r="E475" i="1"/>
  <c r="F1010" i="1"/>
  <c r="F1000" i="1"/>
  <c r="D770" i="1"/>
  <c r="E744" i="2"/>
  <c r="D406" i="2"/>
  <c r="E554" i="2"/>
  <c r="D881" i="2"/>
  <c r="F371" i="2"/>
  <c r="F483" i="1"/>
  <c r="E961" i="1"/>
  <c r="E488" i="1"/>
  <c r="D710" i="1"/>
  <c r="D1007" i="1"/>
  <c r="F654" i="2"/>
  <c r="F811" i="1"/>
  <c r="D521" i="2"/>
  <c r="E4" i="2"/>
  <c r="E1189" i="1"/>
  <c r="D1158" i="1"/>
  <c r="D295" i="1"/>
  <c r="F1163" i="1"/>
  <c r="D19" i="2"/>
  <c r="D399" i="2"/>
  <c r="D857" i="2"/>
  <c r="E917" i="1"/>
  <c r="E444" i="1"/>
  <c r="D771" i="1"/>
  <c r="D963" i="1"/>
  <c r="F448" i="1"/>
  <c r="F891" i="1"/>
  <c r="E485" i="1"/>
  <c r="E549" i="2"/>
  <c r="F657" i="1"/>
  <c r="F778" i="2"/>
  <c r="F1016" i="1"/>
  <c r="D1127" i="1"/>
  <c r="F612" i="1"/>
  <c r="F1055" i="1"/>
  <c r="F589" i="1"/>
  <c r="D1089" i="1"/>
  <c r="D623" i="1"/>
  <c r="E544" i="1"/>
  <c r="D925" i="1"/>
  <c r="E1127" i="1"/>
  <c r="E38" i="2"/>
  <c r="F378" i="2"/>
  <c r="F385" i="2"/>
  <c r="D795" i="1"/>
  <c r="F358" i="2"/>
  <c r="D98" i="2"/>
  <c r="E778" i="2"/>
  <c r="E1006" i="1"/>
  <c r="D600" i="1"/>
  <c r="D569" i="1"/>
  <c r="F1046" i="1"/>
  <c r="F573" i="1"/>
  <c r="E955" i="1"/>
  <c r="E1092" i="1"/>
  <c r="F766" i="2"/>
  <c r="E55" i="2"/>
  <c r="F423" i="2"/>
  <c r="E868" i="2"/>
  <c r="E860" i="1"/>
  <c r="D346" i="1"/>
  <c r="E290" i="1"/>
  <c r="F382" i="1"/>
  <c r="F351" i="1"/>
  <c r="E829" i="1"/>
  <c r="E397" i="2"/>
  <c r="F49" i="2"/>
  <c r="F299" i="2"/>
  <c r="E577" i="2"/>
  <c r="F1002" i="1"/>
  <c r="F529" i="1"/>
  <c r="E867" i="1"/>
  <c r="E1048" i="1"/>
  <c r="D534" i="1"/>
  <c r="D977" i="1"/>
  <c r="F570" i="1"/>
  <c r="D701" i="2"/>
  <c r="D743" i="1"/>
  <c r="F614" i="2"/>
  <c r="D1130" i="1"/>
  <c r="D262" i="1"/>
  <c r="D1141" i="1"/>
  <c r="F304" i="1"/>
  <c r="E1174" i="1"/>
  <c r="F373" i="1"/>
  <c r="F839" i="1"/>
  <c r="D1042" i="1"/>
  <c r="D717" i="2"/>
  <c r="E345" i="2"/>
  <c r="E300" i="2"/>
  <c r="D692" i="1"/>
  <c r="D493" i="2"/>
  <c r="D188" i="2"/>
  <c r="D366" i="1"/>
  <c r="F316" i="1"/>
  <c r="D831" i="1"/>
  <c r="D749" i="1"/>
  <c r="E312" i="1"/>
  <c r="F307" i="1"/>
  <c r="F338" i="1"/>
  <c r="E1199" i="1"/>
  <c r="E684" i="2"/>
  <c r="E687" i="2"/>
  <c r="E823" i="2"/>
  <c r="F634" i="1"/>
  <c r="D1041" i="1"/>
  <c r="D598" i="1"/>
  <c r="E1112" i="1"/>
  <c r="E995" i="1"/>
  <c r="F593" i="1"/>
  <c r="F1066" i="1"/>
  <c r="D745" i="2"/>
  <c r="D446" i="2"/>
  <c r="D689" i="1"/>
  <c r="D341" i="2"/>
  <c r="E893" i="1"/>
  <c r="F415" i="1"/>
  <c r="F446" i="1"/>
  <c r="D853" i="1"/>
  <c r="D410" i="1"/>
  <c r="E924" i="1"/>
  <c r="E37" i="2"/>
  <c r="F502" i="2"/>
  <c r="E693" i="1"/>
  <c r="D592" i="2"/>
  <c r="E1156" i="1"/>
  <c r="E1055" i="1"/>
  <c r="F637" i="1"/>
  <c r="F1110" i="1"/>
  <c r="D633" i="1"/>
  <c r="E1070" i="1"/>
  <c r="E863" i="2"/>
  <c r="E911" i="1"/>
  <c r="D877" i="2"/>
  <c r="E115" i="2"/>
  <c r="E870" i="2"/>
  <c r="D165" i="2"/>
  <c r="F707" i="1"/>
  <c r="D594" i="2"/>
  <c r="E350" i="2"/>
  <c r="F500" i="2"/>
  <c r="F130" i="2"/>
  <c r="D107" i="2"/>
  <c r="E736" i="1"/>
  <c r="D587" i="1"/>
  <c r="E610" i="1"/>
  <c r="F1065" i="1"/>
  <c r="D902" i="1"/>
  <c r="D547" i="1"/>
  <c r="D1020" i="1"/>
  <c r="E542" i="1"/>
  <c r="E573" i="1"/>
  <c r="F979" i="1"/>
  <c r="D725" i="2"/>
  <c r="D818" i="1"/>
  <c r="F752" i="2"/>
  <c r="D383" i="1"/>
  <c r="D856" i="1"/>
  <c r="E378" i="1"/>
  <c r="E409" i="1"/>
  <c r="E811" i="1"/>
  <c r="F372" i="1"/>
  <c r="D887" i="1"/>
  <c r="E705" i="1"/>
  <c r="E465" i="2"/>
  <c r="D656" i="1"/>
  <c r="D804" i="2"/>
  <c r="D1128" i="1"/>
  <c r="E4" i="1"/>
  <c r="F1087" i="1"/>
  <c r="F644" i="1"/>
  <c r="D1159" i="1"/>
  <c r="E1059" i="1"/>
  <c r="F810" i="2"/>
  <c r="F689" i="1"/>
  <c r="E622" i="2"/>
  <c r="E453" i="1"/>
  <c r="F859" i="1"/>
  <c r="F416" i="1"/>
  <c r="D931" i="1"/>
  <c r="F73" i="2"/>
  <c r="E412" i="1"/>
  <c r="E885" i="1"/>
  <c r="F823" i="2"/>
  <c r="D271" i="2"/>
  <c r="D888" i="2"/>
  <c r="F294" i="2"/>
  <c r="E881" i="2"/>
  <c r="D376" i="2"/>
  <c r="F674" i="1"/>
  <c r="F574" i="2"/>
  <c r="E451" i="2"/>
  <c r="F555" i="2"/>
  <c r="F139" i="2"/>
  <c r="F235" i="2"/>
  <c r="F514" i="2"/>
  <c r="F437" i="1"/>
  <c r="E268" i="1"/>
  <c r="D1134" i="1"/>
  <c r="E1169" i="1"/>
  <c r="D1129" i="1"/>
  <c r="D21" i="2"/>
  <c r="D970" i="1"/>
  <c r="F34" i="2"/>
  <c r="E532" i="1"/>
  <c r="E1005" i="1"/>
  <c r="F527" i="1"/>
  <c r="F558" i="1"/>
  <c r="D965" i="1"/>
  <c r="D522" i="1"/>
  <c r="E1036" i="1"/>
  <c r="E843" i="1"/>
  <c r="D688" i="2"/>
  <c r="E663" i="2"/>
  <c r="D731" i="2"/>
  <c r="D863" i="1"/>
  <c r="D10" i="2"/>
  <c r="E344" i="1"/>
  <c r="F813" i="1"/>
  <c r="F339" i="1"/>
  <c r="F370" i="1"/>
  <c r="E278" i="1"/>
  <c r="E716" i="2"/>
  <c r="F881" i="2"/>
  <c r="F856" i="2"/>
  <c r="F602" i="1"/>
  <c r="D1009" i="1"/>
  <c r="D566" i="1"/>
  <c r="E1080" i="1"/>
  <c r="E931" i="1"/>
  <c r="F561" i="1"/>
  <c r="F1034" i="1"/>
  <c r="D681" i="2"/>
  <c r="E305" i="2"/>
  <c r="D657" i="1"/>
  <c r="F567" i="2"/>
  <c r="E649" i="1"/>
  <c r="F478" i="2"/>
  <c r="E812" i="2"/>
  <c r="F749" i="2"/>
  <c r="F601" i="2"/>
  <c r="E185" i="2"/>
  <c r="E238" i="2"/>
  <c r="D331" i="2"/>
  <c r="E512" i="1"/>
  <c r="E985" i="1"/>
  <c r="E486" i="1"/>
  <c r="D280" i="1"/>
  <c r="E51" i="2"/>
  <c r="E159" i="1"/>
  <c r="D86" i="2"/>
  <c r="F488" i="2"/>
  <c r="E294" i="2"/>
  <c r="F87" i="2"/>
  <c r="E251" i="2"/>
  <c r="F704" i="2"/>
  <c r="F780" i="1"/>
  <c r="E740" i="2"/>
  <c r="D738" i="2"/>
  <c r="F519" i="1"/>
  <c r="F487" i="1"/>
  <c r="D404" i="2"/>
  <c r="E380" i="2"/>
  <c r="D147" i="2"/>
  <c r="D422" i="2"/>
  <c r="D560" i="2"/>
  <c r="E660" i="1"/>
  <c r="E623" i="2"/>
  <c r="D725" i="1"/>
  <c r="F376" i="2"/>
  <c r="F171" i="2"/>
  <c r="D465" i="2"/>
  <c r="D388" i="2"/>
  <c r="E753" i="2"/>
  <c r="E799" i="2"/>
  <c r="E480" i="2"/>
  <c r="D761" i="2"/>
  <c r="D274" i="2"/>
  <c r="E113" i="2"/>
  <c r="F529" i="2"/>
  <c r="E465" i="1"/>
  <c r="F871" i="1"/>
  <c r="D386" i="1"/>
  <c r="D1101" i="1"/>
  <c r="F636" i="1"/>
  <c r="E90" i="2"/>
  <c r="F193" i="2"/>
  <c r="F484" i="2"/>
  <c r="E318" i="2"/>
  <c r="F546" i="2"/>
  <c r="F691" i="1"/>
  <c r="E388" i="2"/>
  <c r="E854" i="2"/>
  <c r="E148" i="2"/>
  <c r="F203" i="2"/>
  <c r="D485" i="2"/>
  <c r="D396" i="2"/>
  <c r="E392" i="2"/>
  <c r="F267" i="2"/>
  <c r="E513" i="2"/>
  <c r="F972" i="1"/>
  <c r="F719" i="2"/>
  <c r="E752" i="1"/>
  <c r="D172" i="2"/>
  <c r="E588" i="2"/>
  <c r="F372" i="2"/>
  <c r="F195" i="2"/>
  <c r="D477" i="2"/>
  <c r="F896" i="2"/>
  <c r="E72" i="2"/>
  <c r="F578" i="2"/>
  <c r="D676" i="1"/>
  <c r="E713" i="2"/>
  <c r="D365" i="1"/>
  <c r="E384" i="1"/>
  <c r="E857" i="1"/>
  <c r="E358" i="1"/>
  <c r="F613" i="1"/>
  <c r="F1086" i="1"/>
  <c r="F587" i="1"/>
  <c r="F115" i="2"/>
  <c r="F418" i="2"/>
  <c r="D300" i="2"/>
  <c r="E344" i="2"/>
  <c r="D306" i="2"/>
  <c r="E890" i="2"/>
  <c r="F924" i="1"/>
  <c r="D604" i="2"/>
  <c r="E704" i="1"/>
  <c r="D462" i="1"/>
  <c r="D430" i="1"/>
  <c r="F497" i="2"/>
  <c r="D282" i="2"/>
  <c r="D218" i="2"/>
  <c r="D566" i="2"/>
  <c r="F791" i="2"/>
  <c r="E788" i="1"/>
  <c r="F754" i="2"/>
  <c r="D810" i="2"/>
  <c r="D281" i="2"/>
  <c r="D212" i="2"/>
  <c r="D593" i="2"/>
  <c r="F489" i="2"/>
  <c r="F637" i="2"/>
  <c r="D712" i="1"/>
  <c r="D553" i="2"/>
  <c r="F17" i="2"/>
  <c r="E464" i="2"/>
  <c r="F1189" i="1"/>
  <c r="E1099" i="1"/>
  <c r="D638" i="1"/>
  <c r="E481" i="1"/>
  <c r="F887" i="1"/>
  <c r="E407" i="1"/>
  <c r="E224" i="2"/>
  <c r="D237" i="2"/>
  <c r="E518" i="2"/>
  <c r="D336" i="2"/>
  <c r="F806" i="2"/>
  <c r="D66" i="2"/>
  <c r="E455" i="2"/>
  <c r="D844" i="2"/>
  <c r="E220" i="2"/>
  <c r="D606" i="1"/>
  <c r="D299" i="2"/>
  <c r="F162" i="2"/>
  <c r="D579" i="2"/>
  <c r="E379" i="2"/>
  <c r="D573" i="2"/>
  <c r="D27" i="2"/>
  <c r="E100" i="2"/>
  <c r="E648" i="1"/>
  <c r="F728" i="1"/>
  <c r="E215" i="2"/>
  <c r="E563" i="2"/>
  <c r="F431" i="2"/>
  <c r="D291" i="2"/>
  <c r="F565" i="1"/>
  <c r="D1087" i="1"/>
  <c r="F944" i="1"/>
  <c r="E568" i="1"/>
  <c r="E1041" i="1"/>
  <c r="F563" i="1"/>
  <c r="F594" i="1"/>
  <c r="D1001" i="1"/>
  <c r="F767" i="2"/>
  <c r="D842" i="1"/>
  <c r="E795" i="2"/>
  <c r="E404" i="1"/>
  <c r="E877" i="1"/>
  <c r="F399" i="1"/>
  <c r="F430" i="1"/>
  <c r="D837" i="1"/>
  <c r="D394" i="1"/>
  <c r="E908" i="1"/>
  <c r="F790" i="1"/>
  <c r="F486" i="2"/>
  <c r="E677" i="1"/>
  <c r="E521" i="2"/>
  <c r="E1149" i="1"/>
  <c r="D1109" i="1"/>
  <c r="E1180" i="1"/>
  <c r="E1087" i="1"/>
  <c r="F526" i="2"/>
  <c r="D711" i="1"/>
  <c r="D637" i="2"/>
  <c r="F474" i="1"/>
  <c r="D881" i="1"/>
  <c r="D438" i="1"/>
  <c r="E952" i="1"/>
  <c r="E728" i="1"/>
  <c r="F433" i="1"/>
  <c r="F906" i="1"/>
  <c r="E846" i="2"/>
  <c r="E356" i="2"/>
  <c r="E8" i="2"/>
  <c r="E248" i="2"/>
  <c r="F902" i="2"/>
  <c r="E510" i="2"/>
  <c r="D696" i="1"/>
  <c r="F616" i="2"/>
  <c r="F473" i="2"/>
  <c r="D577" i="2"/>
  <c r="E182" i="2"/>
  <c r="D162" i="2"/>
  <c r="F670" i="2"/>
  <c r="D331" i="1"/>
  <c r="F488" i="1"/>
  <c r="D384" i="1"/>
  <c r="F291" i="1"/>
  <c r="E347" i="1"/>
  <c r="F861" i="1"/>
  <c r="F889" i="2"/>
  <c r="D343" i="1"/>
  <c r="D812" i="1"/>
  <c r="E691" i="2"/>
  <c r="F224" i="2"/>
  <c r="E815" i="2"/>
  <c r="D639" i="1"/>
  <c r="D1112" i="1"/>
  <c r="E634" i="1"/>
  <c r="F1071" i="1"/>
  <c r="F628" i="1"/>
  <c r="D1143" i="1"/>
  <c r="D1038" i="1"/>
  <c r="F794" i="2"/>
  <c r="F673" i="1"/>
  <c r="E595" i="2"/>
  <c r="F969" i="1"/>
  <c r="D540" i="2"/>
  <c r="D451" i="1"/>
  <c r="D924" i="1"/>
  <c r="E446" i="1"/>
  <c r="E477" i="1"/>
  <c r="F883" i="1"/>
  <c r="F554" i="2"/>
  <c r="F708" i="1"/>
  <c r="E62" i="2"/>
  <c r="F1115" i="1"/>
  <c r="D1187" i="1"/>
  <c r="F1096" i="1"/>
  <c r="E1141" i="1"/>
  <c r="E857" i="2"/>
  <c r="F508" i="2"/>
  <c r="F763" i="1"/>
  <c r="D536" i="2"/>
  <c r="D757" i="1"/>
  <c r="F658" i="2"/>
  <c r="E692" i="1"/>
  <c r="D626" i="2"/>
  <c r="D470" i="2"/>
  <c r="D179" i="2"/>
  <c r="D391" i="2"/>
  <c r="D207" i="2"/>
  <c r="E419" i="1"/>
  <c r="F631" i="1"/>
  <c r="E533" i="1"/>
  <c r="F939" i="1"/>
  <c r="F496" i="1"/>
  <c r="D1011" i="1"/>
  <c r="D726" i="1"/>
  <c r="E492" i="1"/>
  <c r="E965" i="1"/>
  <c r="D4" i="2"/>
  <c r="F364" i="2"/>
  <c r="D823" i="2"/>
  <c r="D349" i="2"/>
  <c r="D847" i="1"/>
  <c r="D813" i="1"/>
  <c r="E328" i="1"/>
  <c r="D268" i="1"/>
  <c r="F323" i="1"/>
  <c r="F354" i="1"/>
  <c r="E262" i="1"/>
  <c r="E700" i="2"/>
  <c r="D814" i="2"/>
  <c r="F840" i="2"/>
  <c r="D1119" i="1"/>
  <c r="D1006" i="1"/>
  <c r="E600" i="1"/>
  <c r="E1073" i="1"/>
  <c r="F595" i="1"/>
  <c r="F626" i="1"/>
  <c r="D1033" i="1"/>
  <c r="D825" i="2"/>
  <c r="D874" i="1"/>
  <c r="F839" i="2"/>
  <c r="E372" i="1"/>
  <c r="E845" i="1"/>
  <c r="F367" i="1"/>
  <c r="F398" i="1"/>
  <c r="F796" i="1"/>
  <c r="D362" i="1"/>
  <c r="E876" i="1"/>
  <c r="F662" i="1"/>
  <c r="F454" i="2"/>
  <c r="F76" i="2"/>
  <c r="D788" i="2"/>
  <c r="D68" i="2"/>
  <c r="D808" i="2"/>
  <c r="E892" i="2"/>
  <c r="E859" i="2"/>
  <c r="D426" i="2"/>
  <c r="D121" i="2"/>
  <c r="E335" i="2"/>
  <c r="D253" i="2"/>
  <c r="F312" i="1"/>
  <c r="F826" i="1"/>
  <c r="D733" i="1"/>
  <c r="E1056" i="1"/>
  <c r="E883" i="1"/>
  <c r="F568" i="1"/>
  <c r="F536" i="1"/>
  <c r="D471" i="2"/>
  <c r="E255" i="2"/>
  <c r="E187" i="2"/>
  <c r="E539" i="2"/>
  <c r="E738" i="2"/>
  <c r="F761" i="1"/>
  <c r="D728" i="2"/>
  <c r="E826" i="1"/>
  <c r="D239" i="2"/>
  <c r="D90" i="2"/>
  <c r="F523" i="2"/>
  <c r="E357" i="2"/>
  <c r="D812" i="2"/>
  <c r="E73" i="2"/>
  <c r="F476" i="2"/>
  <c r="E849" i="2"/>
  <c r="D289" i="2"/>
  <c r="D414" i="1"/>
  <c r="D347" i="2"/>
  <c r="F97" i="2"/>
  <c r="D627" i="2"/>
  <c r="F213" i="2"/>
  <c r="D373" i="2"/>
  <c r="E856" i="2"/>
  <c r="E235" i="2"/>
  <c r="F696" i="2"/>
  <c r="F776" i="1"/>
  <c r="F443" i="2"/>
  <c r="E284" i="2"/>
  <c r="F1127" i="1"/>
  <c r="E464" i="1"/>
  <c r="E937" i="1"/>
  <c r="E438" i="1"/>
  <c r="F599" i="1"/>
  <c r="E205" i="2"/>
  <c r="E586" i="2"/>
  <c r="D467" i="2"/>
  <c r="E267" i="2"/>
  <c r="F581" i="2"/>
  <c r="F811" i="2"/>
  <c r="D1074" i="1"/>
  <c r="E871" i="2"/>
  <c r="D38" i="2"/>
  <c r="F117" i="2"/>
  <c r="F311" i="2"/>
  <c r="F229" i="2"/>
  <c r="D114" i="2"/>
  <c r="E101" i="2"/>
  <c r="E54" i="2"/>
  <c r="F700" i="1"/>
  <c r="E660" i="2"/>
  <c r="F734" i="1"/>
  <c r="D637" i="1"/>
  <c r="E329" i="2"/>
  <c r="D343" i="2"/>
  <c r="F109" i="2"/>
  <c r="F254" i="2"/>
  <c r="D787" i="2"/>
  <c r="D47" i="2"/>
  <c r="F530" i="2"/>
  <c r="F687" i="1"/>
  <c r="D589" i="2"/>
  <c r="E640" i="1"/>
  <c r="E1113" i="1"/>
  <c r="E614" i="1"/>
  <c r="E928" i="1"/>
  <c r="E59" i="2"/>
  <c r="F182" i="2"/>
  <c r="D599" i="2"/>
  <c r="E383" i="2"/>
  <c r="E206" i="2"/>
  <c r="F487" i="2"/>
  <c r="E6" i="2"/>
  <c r="F652" i="1"/>
  <c r="D600" i="2"/>
  <c r="F686" i="1"/>
  <c r="E398" i="2"/>
  <c r="E252" i="2"/>
  <c r="D132" i="2"/>
  <c r="E548" i="2"/>
  <c r="E696" i="2"/>
  <c r="F770" i="1"/>
  <c r="E378" i="2"/>
  <c r="F861" i="2"/>
  <c r="F247" i="2"/>
  <c r="D142" i="2"/>
  <c r="F516" i="2"/>
  <c r="E382" i="2"/>
  <c r="E621" i="2"/>
  <c r="F723" i="1"/>
  <c r="D290" i="2"/>
  <c r="E886" i="2"/>
  <c r="E219" i="2"/>
  <c r="F391" i="1"/>
  <c r="D508" i="1"/>
  <c r="E914" i="1"/>
  <c r="E439" i="1"/>
  <c r="F1143" i="1"/>
  <c r="E400" i="2"/>
  <c r="D151" i="2"/>
  <c r="F432" i="2"/>
  <c r="F298" i="2"/>
  <c r="E477" i="2"/>
  <c r="F81" i="2"/>
  <c r="E98" i="2"/>
  <c r="E803" i="2"/>
  <c r="F90" i="2"/>
  <c r="E126" i="2"/>
  <c r="D433" i="2"/>
  <c r="F310" i="2"/>
  <c r="F349" i="2"/>
  <c r="E327" i="2"/>
  <c r="F895" i="2"/>
  <c r="D930" i="1"/>
  <c r="E633" i="2"/>
  <c r="F709" i="1"/>
  <c r="E129" i="2"/>
  <c r="F545" i="2"/>
  <c r="D330" i="2"/>
  <c r="E110" i="2"/>
  <c r="F411" i="2"/>
  <c r="D854" i="2"/>
  <c r="D871" i="2"/>
  <c r="D433" i="1"/>
  <c r="D932" i="1"/>
  <c r="D459" i="1"/>
  <c r="F1193" i="1"/>
  <c r="F1104" i="1"/>
  <c r="D1148" i="1"/>
  <c r="F309" i="1"/>
  <c r="D574" i="1"/>
  <c r="E405" i="1"/>
  <c r="D806" i="1"/>
  <c r="F368" i="1"/>
  <c r="D883" i="1"/>
  <c r="E689" i="1"/>
  <c r="E364" i="1"/>
  <c r="E837" i="1"/>
  <c r="D734" i="2"/>
  <c r="D197" i="2"/>
  <c r="D840" i="2"/>
  <c r="E1133" i="1"/>
  <c r="D1093" i="1"/>
  <c r="D4" i="1"/>
  <c r="E1164" i="1"/>
  <c r="D1066" i="1"/>
  <c r="D816" i="2"/>
  <c r="D695" i="1"/>
  <c r="E629" i="2"/>
  <c r="D991" i="1"/>
  <c r="F77" i="2"/>
  <c r="E472" i="1"/>
  <c r="E945" i="1"/>
  <c r="F467" i="1"/>
  <c r="F498" i="1"/>
  <c r="D905" i="1"/>
  <c r="F608" i="2"/>
  <c r="D730" i="1"/>
  <c r="F649" i="1"/>
  <c r="D1137" i="1"/>
  <c r="F1124" i="1"/>
  <c r="F1162" i="1"/>
  <c r="F878" i="2"/>
  <c r="E333" i="2"/>
  <c r="D785" i="1"/>
  <c r="D610" i="2"/>
  <c r="E778" i="1"/>
  <c r="D680" i="2"/>
  <c r="F713" i="1"/>
  <c r="E642" i="2"/>
  <c r="E491" i="2"/>
  <c r="E91" i="2"/>
  <c r="E412" i="2"/>
  <c r="E275" i="2"/>
  <c r="D153" i="1"/>
  <c r="E561" i="1"/>
  <c r="E156" i="1"/>
  <c r="D640" i="1"/>
  <c r="E1046" i="1"/>
  <c r="E603" i="1"/>
  <c r="F1117" i="1"/>
  <c r="E1003" i="1"/>
  <c r="D599" i="1"/>
  <c r="D1072" i="1"/>
  <c r="F755" i="2"/>
  <c r="F469" i="2"/>
  <c r="E694" i="1"/>
  <c r="E362" i="2"/>
  <c r="F953" i="1"/>
  <c r="F733" i="1"/>
  <c r="D435" i="1"/>
  <c r="D908" i="1"/>
  <c r="E430" i="1"/>
  <c r="E461" i="1"/>
  <c r="F867" i="1"/>
  <c r="D807" i="2"/>
  <c r="F692" i="1"/>
  <c r="E46" i="2"/>
  <c r="F282" i="1"/>
  <c r="E1147" i="1"/>
  <c r="D1180" i="1"/>
  <c r="F1139" i="1"/>
  <c r="F31" i="2"/>
  <c r="F980" i="1"/>
  <c r="E609" i="2"/>
  <c r="D479" i="1"/>
  <c r="D952" i="1"/>
  <c r="E474" i="1"/>
  <c r="E505" i="1"/>
  <c r="F911" i="1"/>
  <c r="F468" i="1"/>
  <c r="D983" i="1"/>
  <c r="F28" i="2"/>
  <c r="D634" i="2"/>
  <c r="D752" i="1"/>
  <c r="F677" i="2"/>
  <c r="E745" i="1"/>
  <c r="D671" i="2"/>
  <c r="E711" i="1"/>
  <c r="D65" i="2"/>
  <c r="D144" i="2"/>
  <c r="E135" i="2"/>
  <c r="D248" i="2"/>
  <c r="F415" i="2"/>
  <c r="F535" i="1"/>
  <c r="D412" i="1"/>
  <c r="F302" i="1"/>
  <c r="F1195" i="1"/>
  <c r="E296" i="1"/>
  <c r="E329" i="1"/>
  <c r="D1190" i="1"/>
  <c r="F288" i="1"/>
  <c r="D800" i="1"/>
  <c r="D653" i="1"/>
  <c r="E590" i="2"/>
  <c r="E735" i="2"/>
  <c r="E697" i="2"/>
  <c r="D1103" i="1"/>
  <c r="F976" i="1"/>
  <c r="E584" i="1"/>
  <c r="E1057" i="1"/>
  <c r="F579" i="1"/>
  <c r="F610" i="1"/>
  <c r="D1017" i="1"/>
  <c r="F799" i="2"/>
  <c r="D858" i="1"/>
  <c r="D822" i="2"/>
  <c r="E437" i="1"/>
  <c r="F843" i="1"/>
  <c r="F400" i="1"/>
  <c r="D915" i="1"/>
  <c r="E759" i="2"/>
  <c r="E396" i="1"/>
  <c r="E869" i="1"/>
  <c r="D798" i="2"/>
  <c r="E225" i="2"/>
  <c r="D872" i="2"/>
  <c r="E628" i="1"/>
  <c r="E1101" i="1"/>
  <c r="F623" i="1"/>
  <c r="F8" i="1"/>
  <c r="D1061" i="1"/>
  <c r="D618" i="1"/>
  <c r="E1132" i="1"/>
  <c r="E1023" i="1"/>
  <c r="D784" i="2"/>
  <c r="D663" i="1"/>
  <c r="F570" i="2"/>
  <c r="E656" i="1"/>
  <c r="D544" i="2"/>
  <c r="F876" i="1"/>
  <c r="E842" i="2"/>
  <c r="E340" i="2"/>
  <c r="E296" i="2"/>
  <c r="F438" i="2"/>
  <c r="F465" i="2"/>
  <c r="E630" i="2"/>
  <c r="D1156" i="1"/>
  <c r="D971" i="1"/>
  <c r="E655" i="2"/>
  <c r="E198" i="2"/>
  <c r="F479" i="2"/>
  <c r="E385" i="2"/>
  <c r="D387" i="2"/>
  <c r="F290" i="2"/>
  <c r="D32" i="2"/>
  <c r="E967" i="1"/>
  <c r="D709" i="2"/>
  <c r="D747" i="1"/>
  <c r="D124" i="2"/>
  <c r="E540" i="2"/>
  <c r="F324" i="2"/>
  <c r="F99" i="2"/>
  <c r="D392" i="2"/>
  <c r="F848" i="2"/>
  <c r="F849" i="2"/>
  <c r="E797" i="2"/>
  <c r="F53" i="2"/>
  <c r="F157" i="1"/>
  <c r="E366" i="2"/>
  <c r="F221" i="2"/>
  <c r="D116" i="2"/>
  <c r="E532" i="2"/>
  <c r="E680" i="2"/>
  <c r="F754" i="1"/>
  <c r="E314" i="2"/>
  <c r="E775" i="2"/>
  <c r="D635" i="2"/>
  <c r="D171" i="2"/>
  <c r="D462" i="2"/>
  <c r="E291" i="1"/>
  <c r="E1155" i="1"/>
  <c r="E356" i="1"/>
  <c r="D524" i="1"/>
  <c r="E930" i="1"/>
  <c r="F460" i="1"/>
  <c r="D158" i="1"/>
  <c r="E387" i="2"/>
  <c r="D193" i="2"/>
  <c r="F475" i="2"/>
  <c r="D409" i="2"/>
  <c r="D764" i="2"/>
  <c r="E852" i="2"/>
  <c r="D523" i="2"/>
  <c r="E782" i="2"/>
  <c r="F316" i="2"/>
  <c r="E322" i="1"/>
  <c r="E256" i="2"/>
  <c r="D120" i="2"/>
  <c r="E536" i="2"/>
  <c r="F336" i="2"/>
  <c r="E429" i="2"/>
  <c r="E885" i="2"/>
  <c r="E1143" i="1"/>
  <c r="F39" i="2"/>
  <c r="D686" i="1"/>
  <c r="D150" i="2"/>
  <c r="F520" i="2"/>
  <c r="E358" i="2"/>
  <c r="D247" i="2"/>
  <c r="D138" i="2"/>
  <c r="F768" i="2"/>
  <c r="F828" i="1"/>
  <c r="E772" i="2"/>
  <c r="D6" i="2"/>
  <c r="E640" i="2"/>
  <c r="E1106" i="1"/>
  <c r="D642" i="1"/>
  <c r="D443" i="1"/>
  <c r="D916" i="1"/>
  <c r="D417" i="1"/>
  <c r="E514" i="1"/>
  <c r="F226" i="2"/>
  <c r="F607" i="2"/>
  <c r="E488" i="2"/>
  <c r="F288" i="2"/>
  <c r="F391" i="2"/>
  <c r="E837" i="2"/>
  <c r="E1095" i="1"/>
  <c r="F892" i="2"/>
  <c r="D67" i="2"/>
  <c r="D139" i="2"/>
  <c r="D397" i="2"/>
  <c r="F191" i="2"/>
  <c r="F156" i="2"/>
  <c r="F186" i="2"/>
  <c r="F75" i="2"/>
  <c r="D722" i="1"/>
  <c r="F681" i="2"/>
  <c r="D756" i="1"/>
  <c r="F583" i="1"/>
  <c r="F551" i="1"/>
  <c r="D372" i="2"/>
  <c r="E364" i="2"/>
  <c r="D131" i="2"/>
  <c r="D365" i="2"/>
  <c r="E808" i="2"/>
  <c r="E75" i="2"/>
  <c r="F596" i="2"/>
  <c r="D709" i="1"/>
  <c r="D293" i="2"/>
  <c r="F154" i="1"/>
  <c r="D1019" i="1"/>
  <c r="D758" i="1"/>
  <c r="F310" i="1"/>
  <c r="E1171" i="1"/>
  <c r="E420" i="1"/>
  <c r="D449" i="2"/>
  <c r="F289" i="2"/>
  <c r="E169" i="2"/>
  <c r="F585" i="2"/>
  <c r="F733" i="2"/>
  <c r="F684" i="2"/>
  <c r="F462" i="2"/>
  <c r="F272" i="1"/>
  <c r="D402" i="1"/>
  <c r="E916" i="1"/>
  <c r="D802" i="2"/>
  <c r="F397" i="1"/>
  <c r="F870" i="1"/>
  <c r="D393" i="1"/>
  <c r="D424" i="1"/>
  <c r="E830" i="1"/>
  <c r="F769" i="2"/>
  <c r="E655" i="1"/>
  <c r="D9" i="2"/>
  <c r="E1126" i="1"/>
  <c r="F1197" i="1"/>
  <c r="D1110" i="1"/>
  <c r="D1152" i="1"/>
  <c r="D868" i="2"/>
  <c r="E551" i="2"/>
  <c r="E774" i="1"/>
  <c r="D578" i="2"/>
  <c r="F978" i="1"/>
  <c r="D501" i="1"/>
  <c r="D532" i="1"/>
  <c r="E938" i="1"/>
  <c r="E495" i="1"/>
  <c r="F1009" i="1"/>
  <c r="F720" i="1"/>
  <c r="E661" i="2"/>
  <c r="F778" i="1"/>
  <c r="E704" i="2"/>
  <c r="D304" i="1"/>
  <c r="F1164" i="1"/>
  <c r="D1196" i="1"/>
  <c r="D31" i="2"/>
  <c r="F1155" i="1"/>
  <c r="F47" i="2"/>
  <c r="F996" i="1"/>
  <c r="D657" i="2"/>
  <c r="F265" i="2"/>
  <c r="F643" i="2"/>
  <c r="E406" i="2"/>
  <c r="D793" i="1"/>
  <c r="F694" i="2"/>
  <c r="F270" i="2"/>
  <c r="D301" i="2"/>
  <c r="E124" i="2"/>
  <c r="D118" i="2"/>
  <c r="E133" i="2"/>
  <c r="F501" i="1"/>
  <c r="D1151" i="1"/>
  <c r="F1048" i="1"/>
  <c r="E632" i="1"/>
  <c r="E1105" i="1"/>
  <c r="F627" i="1"/>
  <c r="D1065" i="1"/>
  <c r="D858" i="2"/>
  <c r="D906" i="1"/>
  <c r="F871" i="2"/>
  <c r="E468" i="1"/>
  <c r="E941" i="1"/>
  <c r="F463" i="1"/>
  <c r="F494" i="1"/>
  <c r="D901" i="1"/>
  <c r="D458" i="1"/>
  <c r="E972" i="1"/>
  <c r="D698" i="2"/>
  <c r="F619" i="2"/>
  <c r="E741" i="1"/>
  <c r="D667" i="2"/>
  <c r="E44" i="2"/>
  <c r="E272" i="1"/>
  <c r="D1173" i="1"/>
  <c r="F264" i="1"/>
  <c r="F306" i="1"/>
  <c r="E1167" i="1"/>
  <c r="E652" i="2"/>
  <c r="D775" i="1"/>
  <c r="D765" i="2"/>
  <c r="F538" i="1"/>
  <c r="D945" i="1"/>
  <c r="D502" i="1"/>
  <c r="E1016" i="1"/>
  <c r="E747" i="1"/>
  <c r="F497" i="1"/>
  <c r="F970" i="1"/>
  <c r="E9" i="2"/>
  <c r="D386" i="2"/>
  <c r="F845" i="2"/>
  <c r="E425" i="2"/>
  <c r="F815" i="2"/>
  <c r="F335" i="2"/>
  <c r="D760" i="1"/>
  <c r="F685" i="2"/>
  <c r="F537" i="2"/>
  <c r="E121" i="2"/>
  <c r="D154" i="2"/>
  <c r="F243" i="2"/>
  <c r="F159" i="1"/>
  <c r="E352" i="1"/>
  <c r="F362" i="1"/>
  <c r="E270" i="1"/>
  <c r="D326" i="1"/>
  <c r="E840" i="1"/>
  <c r="E786" i="1"/>
  <c r="F321" i="1"/>
  <c r="F648" i="2"/>
  <c r="E83" i="2"/>
  <c r="E774" i="2"/>
  <c r="F617" i="1"/>
  <c r="F1090" i="1"/>
  <c r="D613" i="1"/>
  <c r="D644" i="1"/>
  <c r="E1050" i="1"/>
  <c r="E607" i="1"/>
  <c r="F1121" i="1"/>
  <c r="F1008" i="1"/>
  <c r="E773" i="2"/>
  <c r="D652" i="1"/>
  <c r="D528" i="2"/>
  <c r="E948" i="1"/>
  <c r="E712" i="1"/>
  <c r="F429" i="1"/>
  <c r="F902" i="1"/>
  <c r="D425" i="1"/>
  <c r="D456" i="1"/>
  <c r="E862" i="1"/>
  <c r="F801" i="2"/>
  <c r="E687" i="1"/>
  <c r="D41" i="2"/>
  <c r="E1094" i="1"/>
  <c r="E5" i="1"/>
  <c r="C5" i="3" s="1"/>
  <c r="F1165" i="1"/>
  <c r="E1067" i="1"/>
  <c r="D647" i="1"/>
  <c r="D1120" i="1"/>
  <c r="D836" i="2"/>
  <c r="E370" i="2"/>
  <c r="E742" i="1"/>
  <c r="E485" i="2"/>
  <c r="F735" i="1"/>
  <c r="E637" i="2"/>
  <c r="D671" i="1"/>
  <c r="D590" i="2"/>
  <c r="F446" i="2"/>
  <c r="F157" i="2"/>
  <c r="E348" i="2"/>
  <c r="F437" i="2"/>
  <c r="F504" i="1"/>
  <c r="F597" i="1"/>
  <c r="F1070" i="1"/>
  <c r="F571" i="1"/>
  <c r="E371" i="1"/>
  <c r="F885" i="1"/>
  <c r="D700" i="1"/>
  <c r="E112" i="2"/>
  <c r="D277" i="2"/>
  <c r="E208" i="2"/>
  <c r="E103" i="2"/>
  <c r="E530" i="2"/>
  <c r="D49" i="2"/>
  <c r="E695" i="1"/>
  <c r="D655" i="2"/>
  <c r="E729" i="1"/>
  <c r="E454" i="2"/>
  <c r="D295" i="2"/>
  <c r="F174" i="2"/>
  <c r="D591" i="2"/>
  <c r="D739" i="2"/>
  <c r="E727" i="2"/>
  <c r="D468" i="2"/>
  <c r="E69" i="2"/>
  <c r="E291" i="2"/>
  <c r="E211" i="2"/>
  <c r="E559" i="2"/>
  <c r="E446" i="2"/>
  <c r="D668" i="2"/>
  <c r="E766" i="1"/>
  <c r="F258" i="2"/>
  <c r="D28" i="2"/>
  <c r="E159" i="2"/>
  <c r="E643" i="1"/>
  <c r="E438" i="2"/>
  <c r="D630" i="1"/>
  <c r="D1073" i="1"/>
  <c r="F19" i="2"/>
  <c r="D666" i="1"/>
  <c r="E780" i="2"/>
  <c r="D841" i="1"/>
  <c r="F434" i="1"/>
  <c r="F403" i="1"/>
  <c r="E881" i="1"/>
  <c r="E408" i="1"/>
  <c r="E52" i="2"/>
  <c r="D927" i="1"/>
  <c r="D795" i="2"/>
  <c r="F57" i="2"/>
  <c r="D752" i="2"/>
  <c r="E971" i="1"/>
  <c r="E1100" i="1"/>
  <c r="D586" i="1"/>
  <c r="D1029" i="1"/>
  <c r="F622" i="1"/>
  <c r="F591" i="1"/>
  <c r="E1069" i="1"/>
  <c r="E596" i="1"/>
  <c r="F731" i="2"/>
  <c r="D111" i="2"/>
  <c r="D651" i="1"/>
  <c r="D1193" i="1"/>
  <c r="D299" i="1"/>
  <c r="D701" i="1"/>
  <c r="F989" i="1"/>
  <c r="D533" i="1"/>
  <c r="D1023" i="1"/>
  <c r="E546" i="1"/>
  <c r="D1115" i="1"/>
  <c r="F603" i="1"/>
  <c r="D770" i="2"/>
  <c r="F271" i="2"/>
  <c r="D82" i="2"/>
  <c r="E151" i="2"/>
  <c r="F268" i="2"/>
  <c r="E511" i="2"/>
  <c r="F710" i="1"/>
  <c r="E888" i="1"/>
  <c r="D374" i="1"/>
  <c r="E813" i="1"/>
  <c r="F410" i="1"/>
  <c r="D811" i="2"/>
  <c r="D79" i="2"/>
  <c r="D768" i="2"/>
  <c r="D1002" i="1"/>
  <c r="E1116" i="1"/>
  <c r="D602" i="1"/>
  <c r="D1045" i="1"/>
  <c r="F638" i="1"/>
  <c r="F607" i="1"/>
  <c r="E1085" i="1"/>
  <c r="E745" i="2"/>
  <c r="D26" i="2"/>
  <c r="F367" i="2"/>
  <c r="E802" i="1"/>
  <c r="E844" i="1"/>
  <c r="D330" i="1"/>
  <c r="E274" i="1"/>
  <c r="F366" i="1"/>
  <c r="F335" i="1"/>
  <c r="E808" i="1"/>
  <c r="E340" i="1"/>
  <c r="E667" i="2"/>
  <c r="D762" i="1"/>
  <c r="F639" i="2"/>
  <c r="D937" i="1"/>
  <c r="F530" i="1"/>
  <c r="F499" i="1"/>
  <c r="F1062" i="1"/>
  <c r="D646" i="1"/>
  <c r="D1096" i="1"/>
  <c r="F518" i="1"/>
  <c r="F812" i="1"/>
  <c r="F684" i="1"/>
  <c r="E817" i="2"/>
  <c r="F320" i="2"/>
  <c r="D631" i="2"/>
  <c r="D805" i="2"/>
  <c r="D435" i="2"/>
  <c r="F867" i="2"/>
  <c r="D928" i="1"/>
  <c r="D455" i="1"/>
  <c r="F740" i="2"/>
  <c r="F973" i="1"/>
  <c r="E459" i="1"/>
  <c r="E902" i="1"/>
  <c r="D496" i="1"/>
  <c r="F679" i="2"/>
  <c r="E732" i="1"/>
  <c r="F594" i="2"/>
  <c r="E1115" i="1"/>
  <c r="F1201" i="1"/>
  <c r="E1130" i="1"/>
  <c r="F1170" i="1"/>
  <c r="F602" i="2"/>
  <c r="F698" i="1"/>
  <c r="D508" i="2"/>
  <c r="F66" i="2"/>
  <c r="F929" i="1"/>
  <c r="E415" i="1"/>
  <c r="E858" i="1"/>
  <c r="D452" i="1"/>
  <c r="D421" i="1"/>
  <c r="F898" i="1"/>
  <c r="F425" i="1"/>
  <c r="D829" i="2"/>
  <c r="E863" i="1"/>
  <c r="E810" i="2"/>
  <c r="E1022" i="1"/>
  <c r="D616" i="1"/>
  <c r="D585" i="1"/>
  <c r="D816" i="1"/>
  <c r="E267" i="1"/>
  <c r="E1181" i="1"/>
  <c r="E433" i="1"/>
  <c r="E696" i="1"/>
  <c r="D751" i="1"/>
  <c r="D732" i="2"/>
  <c r="F217" i="2"/>
  <c r="E204" i="2"/>
  <c r="F610" i="2"/>
  <c r="F211" i="2"/>
  <c r="E277" i="1"/>
  <c r="D431" i="1"/>
  <c r="D904" i="1"/>
  <c r="E426" i="1"/>
  <c r="E457" i="1"/>
  <c r="F863" i="1"/>
  <c r="F420" i="1"/>
  <c r="D935" i="1"/>
  <c r="D659" i="1"/>
  <c r="D520" i="2"/>
  <c r="D704" i="1"/>
  <c r="D620" i="2"/>
  <c r="F289" i="1"/>
  <c r="D1154" i="1"/>
  <c r="E1185" i="1"/>
  <c r="D1145" i="1"/>
  <c r="D37" i="2"/>
  <c r="D986" i="1"/>
  <c r="E635" i="2"/>
  <c r="E565" i="1"/>
  <c r="F971" i="1"/>
  <c r="F528" i="1"/>
  <c r="D1043" i="1"/>
  <c r="F856" i="1"/>
  <c r="E524" i="1"/>
  <c r="E997" i="1"/>
  <c r="D36" i="2"/>
  <c r="D257" i="2"/>
  <c r="F42" i="2"/>
  <c r="D312" i="2"/>
  <c r="F810" i="1"/>
  <c r="D685" i="1"/>
  <c r="F293" i="1"/>
  <c r="D1189" i="1"/>
  <c r="E287" i="1"/>
  <c r="F322" i="1"/>
  <c r="E1183" i="1"/>
  <c r="E668" i="2"/>
  <c r="D791" i="1"/>
  <c r="D797" i="2"/>
  <c r="E784" i="1"/>
  <c r="F783" i="2"/>
  <c r="F1004" i="1"/>
  <c r="D673" i="2"/>
  <c r="E273" i="2"/>
  <c r="E424" i="2"/>
  <c r="F442" i="2"/>
  <c r="E636" i="2"/>
  <c r="F687" i="2"/>
  <c r="F1138" i="1"/>
  <c r="E1098" i="1"/>
  <c r="F1169" i="1"/>
  <c r="F1072" i="1"/>
  <c r="E821" i="2"/>
  <c r="E700" i="1"/>
  <c r="F566" i="2"/>
  <c r="D528" i="1"/>
  <c r="E934" i="1"/>
  <c r="E491" i="1"/>
  <c r="F1005" i="1"/>
  <c r="F704" i="1"/>
  <c r="D487" i="1"/>
  <c r="D960" i="1"/>
  <c r="F899" i="2"/>
  <c r="E343" i="2"/>
  <c r="D786" i="2"/>
  <c r="F613" i="2"/>
  <c r="D309" i="1"/>
  <c r="D340" i="1"/>
  <c r="F1200" i="1"/>
  <c r="D303" i="1"/>
  <c r="D814" i="1"/>
  <c r="F695" i="1"/>
  <c r="D609" i="2"/>
  <c r="F817" i="2"/>
  <c r="D708" i="2"/>
  <c r="F1049" i="1"/>
  <c r="D870" i="1"/>
  <c r="D531" i="1"/>
  <c r="D1004" i="1"/>
  <c r="E526" i="1"/>
  <c r="E557" i="1"/>
  <c r="F963" i="1"/>
  <c r="D693" i="2"/>
  <c r="E795" i="1"/>
  <c r="F720" i="2"/>
  <c r="D782" i="1"/>
  <c r="E707" i="2"/>
  <c r="F91" i="2"/>
  <c r="F877" i="2"/>
  <c r="E394" i="2"/>
  <c r="F234" i="2"/>
  <c r="E632" i="2"/>
  <c r="D517" i="2"/>
  <c r="F472" i="1"/>
  <c r="F815" i="1"/>
  <c r="E323" i="1"/>
  <c r="E359" i="1"/>
  <c r="F873" i="1"/>
  <c r="F651" i="1"/>
  <c r="D355" i="1"/>
  <c r="D828" i="1"/>
  <c r="E350" i="1"/>
  <c r="E381" i="1"/>
  <c r="D289" i="1"/>
  <c r="D727" i="2"/>
  <c r="E23" i="2"/>
  <c r="E867" i="2"/>
  <c r="F1083" i="1"/>
  <c r="F640" i="1"/>
  <c r="D1155" i="1"/>
  <c r="D1054" i="1"/>
  <c r="E636" i="1"/>
  <c r="E1109" i="1"/>
  <c r="E824" i="2"/>
  <c r="D619" i="2"/>
  <c r="F731" i="1"/>
  <c r="F474" i="2"/>
  <c r="D936" i="1"/>
  <c r="E458" i="1"/>
  <c r="E489" i="1"/>
  <c r="F895" i="1"/>
  <c r="F452" i="1"/>
  <c r="D967" i="1"/>
  <c r="D787" i="1"/>
  <c r="F612" i="2"/>
  <c r="D736" i="1"/>
  <c r="F661" i="2"/>
  <c r="D1199" i="1"/>
  <c r="F1112" i="1"/>
  <c r="E1153" i="1"/>
  <c r="D1113" i="1"/>
  <c r="D5" i="2"/>
  <c r="D954" i="1"/>
  <c r="F18" i="2"/>
  <c r="D213" i="2"/>
  <c r="D12" i="2"/>
  <c r="F396" i="2"/>
  <c r="E750" i="1"/>
  <c r="D652" i="2"/>
  <c r="E426" i="2"/>
  <c r="E543" i="2"/>
  <c r="F194" i="2"/>
  <c r="F149" i="2"/>
  <c r="D670" i="1"/>
  <c r="F1063" i="1"/>
  <c r="E599" i="1"/>
  <c r="E400" i="1"/>
  <c r="E873" i="1"/>
  <c r="E374" i="1"/>
  <c r="F343" i="1"/>
  <c r="F250" i="2"/>
  <c r="F114" i="2"/>
  <c r="D531" i="2"/>
  <c r="E331" i="2"/>
  <c r="F354" i="2"/>
  <c r="D880" i="2"/>
  <c r="D1138" i="1"/>
  <c r="E34" i="2"/>
  <c r="F680" i="1"/>
  <c r="F181" i="2"/>
  <c r="F472" i="2"/>
  <c r="E262" i="2"/>
  <c r="F218" i="2"/>
  <c r="E179" i="2"/>
  <c r="F672" i="2"/>
  <c r="F764" i="1"/>
  <c r="E724" i="2"/>
  <c r="F518" i="2"/>
  <c r="D413" i="1"/>
  <c r="D381" i="1"/>
  <c r="D441" i="2"/>
  <c r="D407" i="2"/>
  <c r="F173" i="2"/>
  <c r="F464" i="2"/>
  <c r="F618" i="2"/>
  <c r="D687" i="1"/>
  <c r="E653" i="2"/>
  <c r="F751" i="1"/>
  <c r="F445" i="2"/>
  <c r="F147" i="2"/>
  <c r="E452" i="2"/>
  <c r="F1061" i="1"/>
  <c r="D894" i="1"/>
  <c r="E353" i="1"/>
  <c r="D591" i="1"/>
  <c r="D155" i="1"/>
  <c r="F387" i="2"/>
  <c r="E245" i="2"/>
  <c r="F126" i="2"/>
  <c r="D543" i="2"/>
  <c r="D691" i="2"/>
  <c r="E765" i="1"/>
  <c r="D357" i="2"/>
  <c r="E840" i="2"/>
  <c r="D427" i="2"/>
  <c r="F177" i="2"/>
  <c r="F468" i="2"/>
  <c r="E286" i="2"/>
  <c r="D504" i="2"/>
  <c r="F675" i="1"/>
  <c r="E324" i="2"/>
  <c r="E838" i="2"/>
  <c r="E84" i="2"/>
  <c r="E230" i="2"/>
  <c r="F511" i="2"/>
  <c r="F435" i="2"/>
  <c r="D419" i="2"/>
  <c r="D453" i="2"/>
  <c r="E662" i="2"/>
  <c r="E999" i="1"/>
  <c r="D773" i="2"/>
  <c r="D779" i="1"/>
  <c r="E529" i="1"/>
  <c r="F935" i="1"/>
  <c r="E471" i="1"/>
  <c r="D1165" i="1"/>
  <c r="F231" i="1"/>
  <c r="D379" i="2"/>
  <c r="F129" i="2"/>
  <c r="F359" i="2"/>
  <c r="D256" i="2"/>
  <c r="D456" i="2"/>
  <c r="E53" i="2"/>
  <c r="D106" i="2"/>
  <c r="F760" i="2"/>
  <c r="E823" i="1"/>
  <c r="F83" i="2"/>
  <c r="D360" i="2"/>
  <c r="D268" i="2"/>
  <c r="E328" i="2"/>
  <c r="F238" i="2"/>
  <c r="E874" i="2"/>
  <c r="F908" i="1"/>
  <c r="F620" i="2"/>
  <c r="E688" i="1"/>
  <c r="D108" i="2"/>
  <c r="E524" i="2"/>
  <c r="F308" i="2"/>
  <c r="F244" i="2"/>
  <c r="D328" i="2"/>
  <c r="F832" i="2"/>
  <c r="E751" i="2"/>
  <c r="E781" i="2"/>
  <c r="F20" i="2"/>
  <c r="E649" i="2"/>
  <c r="D334" i="1"/>
  <c r="E848" i="1"/>
  <c r="E818" i="1"/>
  <c r="F1077" i="1"/>
  <c r="D926" i="1"/>
  <c r="D8" i="1"/>
  <c r="D622" i="1"/>
  <c r="D448" i="2"/>
  <c r="E212" i="2"/>
  <c r="F144" i="2"/>
  <c r="D518" i="2"/>
  <c r="F695" i="2"/>
  <c r="E740" i="1"/>
  <c r="F706" i="2"/>
  <c r="D805" i="1"/>
  <c r="D125" i="2"/>
  <c r="D221" i="2"/>
  <c r="E502" i="2"/>
  <c r="D181" i="2"/>
  <c r="F790" i="2"/>
  <c r="F44" i="2"/>
  <c r="F629" i="2"/>
  <c r="F827" i="2"/>
  <c r="F197" i="2"/>
  <c r="E499" i="1"/>
  <c r="F325" i="2"/>
  <c r="E189" i="2"/>
  <c r="F605" i="2"/>
  <c r="F965" i="1"/>
  <c r="D1160" i="1"/>
  <c r="F1119" i="1"/>
  <c r="D1191" i="1"/>
  <c r="D1102" i="1"/>
  <c r="E569" i="2"/>
  <c r="F721" i="1"/>
  <c r="E658" i="2"/>
  <c r="E549" i="1"/>
  <c r="F955" i="1"/>
  <c r="F512" i="1"/>
  <c r="D1027" i="1"/>
  <c r="F798" i="1"/>
  <c r="E508" i="1"/>
  <c r="E981" i="1"/>
  <c r="D20" i="2"/>
  <c r="D219" i="2"/>
  <c r="E888" i="2"/>
  <c r="E503" i="2"/>
  <c r="E801" i="1"/>
  <c r="E330" i="1"/>
  <c r="E361" i="1"/>
  <c r="D269" i="1"/>
  <c r="F324" i="1"/>
  <c r="D839" i="1"/>
  <c r="D781" i="1"/>
  <c r="E346" i="2"/>
  <c r="F4" i="2"/>
  <c r="D740" i="2"/>
  <c r="D1071" i="1"/>
  <c r="F912" i="1"/>
  <c r="E552" i="1"/>
  <c r="E1025" i="1"/>
  <c r="F547" i="1"/>
  <c r="F578" i="1"/>
  <c r="D985" i="1"/>
  <c r="F735" i="2"/>
  <c r="E825" i="1"/>
  <c r="E763" i="2"/>
  <c r="E816" i="1"/>
  <c r="D750" i="2"/>
  <c r="D229" i="2"/>
  <c r="D46" i="2"/>
  <c r="E449" i="2"/>
  <c r="D215" i="2"/>
  <c r="E338" i="2"/>
  <c r="F559" i="2"/>
  <c r="D92" i="2"/>
  <c r="F60" i="2"/>
  <c r="D466" i="1"/>
  <c r="E980" i="1"/>
  <c r="D887" i="2"/>
  <c r="F461" i="1"/>
  <c r="F934" i="1"/>
  <c r="D457" i="1"/>
  <c r="D488" i="1"/>
  <c r="E894" i="1"/>
  <c r="E587" i="2"/>
  <c r="E719" i="1"/>
  <c r="D73" i="2"/>
  <c r="E295" i="1"/>
  <c r="E1190" i="1"/>
  <c r="E289" i="1"/>
  <c r="D324" i="1"/>
  <c r="F1184" i="1"/>
  <c r="F281" i="1"/>
  <c r="D263" i="1"/>
  <c r="F58" i="2"/>
  <c r="F579" i="2"/>
  <c r="F692" i="2"/>
  <c r="F686" i="2"/>
  <c r="F1042" i="1"/>
  <c r="D565" i="1"/>
  <c r="D596" i="1"/>
  <c r="E1002" i="1"/>
  <c r="E559" i="1"/>
  <c r="F1073" i="1"/>
  <c r="D918" i="1"/>
  <c r="E725" i="2"/>
  <c r="D891" i="2"/>
  <c r="E768" i="2"/>
  <c r="D368" i="1"/>
  <c r="F275" i="1"/>
  <c r="E331" i="1"/>
  <c r="F845" i="1"/>
  <c r="F807" i="1"/>
  <c r="D327" i="1"/>
  <c r="F266" i="1"/>
  <c r="E659" i="2"/>
  <c r="D126" i="2"/>
  <c r="D785" i="2"/>
  <c r="E295" i="2"/>
  <c r="F771" i="2"/>
  <c r="F501" i="2"/>
  <c r="D831" i="2"/>
  <c r="F758" i="2"/>
  <c r="F398" i="2"/>
  <c r="E470" i="2"/>
  <c r="D110" i="2"/>
  <c r="D242" i="2"/>
  <c r="F331" i="2"/>
  <c r="D523" i="1"/>
  <c r="F1129" i="1"/>
  <c r="E1019" i="1"/>
  <c r="D611" i="1"/>
  <c r="D1084" i="1"/>
  <c r="E606" i="1"/>
  <c r="E637" i="1"/>
  <c r="F1043" i="1"/>
  <c r="F836" i="2"/>
  <c r="F884" i="1"/>
  <c r="E850" i="2"/>
  <c r="D447" i="1"/>
  <c r="D920" i="1"/>
  <c r="E442" i="1"/>
  <c r="E473" i="1"/>
  <c r="F879" i="1"/>
  <c r="F436" i="1"/>
  <c r="D951" i="1"/>
  <c r="D723" i="1"/>
  <c r="F580" i="2"/>
  <c r="D720" i="1"/>
  <c r="F645" i="2"/>
  <c r="D1192" i="1"/>
  <c r="D15" i="2"/>
  <c r="F1151" i="1"/>
  <c r="D279" i="1"/>
  <c r="F1144" i="1"/>
  <c r="D629" i="2"/>
  <c r="F753" i="1"/>
  <c r="E722" i="2"/>
  <c r="E517" i="1"/>
  <c r="F923" i="1"/>
  <c r="F480" i="1"/>
  <c r="D995" i="1"/>
  <c r="D662" i="1"/>
  <c r="E476" i="1"/>
  <c r="E949" i="1"/>
  <c r="D889" i="2"/>
  <c r="F300" i="2"/>
  <c r="F700" i="2"/>
  <c r="E528" i="2"/>
  <c r="E647" i="2"/>
  <c r="D605" i="2"/>
  <c r="F738" i="1"/>
  <c r="E664" i="2"/>
  <c r="E516" i="2"/>
  <c r="D100" i="2"/>
  <c r="E111" i="2"/>
  <c r="E221" i="2"/>
  <c r="D564" i="2"/>
  <c r="D427" i="1"/>
  <c r="D900" i="1"/>
  <c r="D401" i="1"/>
  <c r="E1129" i="1"/>
  <c r="E630" i="1"/>
  <c r="F233" i="1"/>
  <c r="D226" i="2"/>
  <c r="D574" i="2"/>
  <c r="D445" i="2"/>
  <c r="F301" i="2"/>
  <c r="F361" i="2"/>
  <c r="F847" i="2"/>
  <c r="D882" i="1"/>
  <c r="E565" i="2"/>
  <c r="F661" i="1"/>
  <c r="F632" i="1"/>
  <c r="F600" i="1"/>
  <c r="D455" i="2"/>
  <c r="F233" i="2"/>
  <c r="E155" i="2"/>
  <c r="E523" i="2"/>
  <c r="E706" i="2"/>
  <c r="F745" i="1"/>
  <c r="D712" i="2"/>
  <c r="E810" i="1"/>
  <c r="E261" i="2"/>
  <c r="E143" i="2"/>
  <c r="E550" i="2"/>
  <c r="E444" i="2"/>
  <c r="E553" i="2"/>
  <c r="E669" i="1"/>
  <c r="F279" i="2"/>
  <c r="D876" i="2"/>
  <c r="F246" i="2"/>
  <c r="F85" i="2"/>
  <c r="D615" i="2"/>
  <c r="D380" i="1"/>
  <c r="F287" i="1"/>
  <c r="E609" i="1"/>
  <c r="F1015" i="1"/>
  <c r="E551" i="1"/>
  <c r="D302" i="2"/>
  <c r="D222" i="2"/>
  <c r="D570" i="2"/>
  <c r="F127" i="2"/>
  <c r="F678" i="2"/>
  <c r="D777" i="1"/>
  <c r="E278" i="2"/>
  <c r="F534" i="2"/>
  <c r="D220" i="2"/>
  <c r="E183" i="2"/>
  <c r="E570" i="2"/>
  <c r="F449" i="2"/>
  <c r="D251" i="2"/>
  <c r="F517" i="2"/>
  <c r="F779" i="2"/>
  <c r="D1058" i="1"/>
  <c r="E855" i="2"/>
  <c r="E876" i="2"/>
  <c r="E144" i="2"/>
  <c r="F414" i="2"/>
  <c r="E250" i="2"/>
  <c r="E167" i="2"/>
  <c r="D95" i="2"/>
  <c r="D81" i="2"/>
  <c r="E727" i="1"/>
  <c r="D687" i="2"/>
  <c r="E761" i="1"/>
  <c r="F798" i="2"/>
  <c r="D478" i="1"/>
  <c r="E297" i="1"/>
  <c r="F1191" i="1"/>
  <c r="E528" i="1"/>
  <c r="E1001" i="1"/>
  <c r="E502" i="1"/>
  <c r="E87" i="2"/>
  <c r="E522" i="2"/>
  <c r="E274" i="2"/>
  <c r="F429" i="2"/>
  <c r="D316" i="2"/>
  <c r="F683" i="2"/>
  <c r="D1010" i="1"/>
  <c r="E794" i="2"/>
  <c r="F789" i="1"/>
  <c r="F166" i="2"/>
  <c r="D583" i="2"/>
  <c r="E367" i="2"/>
  <c r="D185" i="2"/>
  <c r="F471" i="2"/>
  <c r="E891" i="2"/>
  <c r="E65" i="2"/>
  <c r="F558" i="2"/>
  <c r="F670" i="1"/>
  <c r="D437" i="2"/>
  <c r="D279" i="2"/>
  <c r="F158" i="2"/>
  <c r="D575" i="2"/>
  <c r="D723" i="2"/>
  <c r="E797" i="1"/>
  <c r="D451" i="2"/>
  <c r="D48" i="2"/>
  <c r="E567" i="2"/>
  <c r="E230" i="1"/>
  <c r="E1104" i="1"/>
  <c r="E979" i="1"/>
  <c r="D396" i="1"/>
  <c r="F303" i="1"/>
  <c r="D271" i="1"/>
  <c r="E302" i="2"/>
  <c r="F222" i="2"/>
  <c r="D84" i="2"/>
  <c r="E500" i="2"/>
  <c r="E648" i="2"/>
  <c r="F722" i="1"/>
  <c r="E574" i="2"/>
  <c r="E28" i="2"/>
  <c r="D507" i="2"/>
  <c r="E384" i="2"/>
  <c r="D135" i="2"/>
  <c r="D381" i="2"/>
  <c r="F266" i="2"/>
  <c r="E461" i="2"/>
  <c r="E60" i="2"/>
  <c r="F148" i="2"/>
  <c r="E771" i="2"/>
  <c r="D830" i="1"/>
  <c r="D159" i="1"/>
  <c r="F179" i="2"/>
  <c r="D469" i="2"/>
  <c r="D364" i="2"/>
  <c r="E376" i="2"/>
  <c r="E237" i="2"/>
  <c r="E21" i="2"/>
  <c r="F956" i="1"/>
  <c r="D847" i="2"/>
  <c r="D859" i="1"/>
  <c r="F344" i="1"/>
  <c r="D338" i="1"/>
  <c r="E852" i="1"/>
  <c r="F660" i="2"/>
  <c r="F333" i="1"/>
  <c r="E799" i="1"/>
  <c r="D5" i="1"/>
  <c r="B5" i="3" s="1"/>
  <c r="F552" i="1"/>
  <c r="F1001" i="1"/>
  <c r="F688" i="1"/>
  <c r="D483" i="1"/>
  <c r="D956" i="1"/>
  <c r="E478" i="1"/>
  <c r="E509" i="1"/>
  <c r="F915" i="1"/>
  <c r="D624" i="2"/>
  <c r="F740" i="1"/>
  <c r="F606" i="2"/>
  <c r="D319" i="1"/>
  <c r="E314" i="1"/>
  <c r="E345" i="1"/>
  <c r="F308" i="1"/>
  <c r="E821" i="1"/>
  <c r="D717" i="1"/>
  <c r="D261" i="2"/>
  <c r="F841" i="2"/>
  <c r="F718" i="2"/>
  <c r="D1064" i="1"/>
  <c r="E586" i="1"/>
  <c r="E617" i="1"/>
  <c r="F1023" i="1"/>
  <c r="F580" i="1"/>
  <c r="D1095" i="1"/>
  <c r="F960" i="1"/>
  <c r="F746" i="2"/>
  <c r="F50" i="2"/>
  <c r="F789" i="2"/>
  <c r="E389" i="1"/>
  <c r="D297" i="1"/>
  <c r="F352" i="1"/>
  <c r="D867" i="1"/>
  <c r="D50" i="2"/>
  <c r="E348" i="1"/>
  <c r="D819" i="1"/>
  <c r="D702" i="2"/>
  <c r="D246" i="2"/>
  <c r="E822" i="2"/>
  <c r="F380" i="2"/>
  <c r="F813" i="2"/>
  <c r="D587" i="2"/>
  <c r="E15" i="2"/>
  <c r="D780" i="2"/>
  <c r="E430" i="2"/>
  <c r="F491" i="2"/>
  <c r="E195" i="2"/>
  <c r="D105" i="2"/>
  <c r="F549" i="2"/>
  <c r="E416" i="1"/>
  <c r="F296" i="1"/>
  <c r="E1159" i="1"/>
  <c r="F1190" i="1"/>
  <c r="F9" i="2"/>
  <c r="E1150" i="1"/>
  <c r="E42" i="2"/>
  <c r="E991" i="1"/>
  <c r="E646" i="2"/>
  <c r="F553" i="1"/>
  <c r="F1026" i="1"/>
  <c r="D549" i="1"/>
  <c r="D580" i="1"/>
  <c r="E986" i="1"/>
  <c r="E543" i="1"/>
  <c r="F1057" i="1"/>
  <c r="D886" i="1"/>
  <c r="E709" i="2"/>
  <c r="E826" i="2"/>
  <c r="E752" i="2"/>
  <c r="E884" i="1"/>
  <c r="F694" i="1"/>
  <c r="F365" i="1"/>
  <c r="F838" i="1"/>
  <c r="D361" i="1"/>
  <c r="D392" i="1"/>
  <c r="F299" i="1"/>
  <c r="F737" i="2"/>
  <c r="E47" i="2"/>
  <c r="D878" i="2"/>
  <c r="D624" i="1"/>
  <c r="E1030" i="1"/>
  <c r="E587" i="1"/>
  <c r="F1101" i="1"/>
  <c r="D974" i="1"/>
  <c r="D583" i="1"/>
  <c r="D1056" i="1"/>
  <c r="F723" i="2"/>
  <c r="F295" i="2"/>
  <c r="E678" i="1"/>
  <c r="E241" i="2"/>
  <c r="F671" i="1"/>
  <c r="D500" i="2"/>
  <c r="F901" i="2"/>
  <c r="D771" i="2"/>
  <c r="D623" i="2"/>
  <c r="F93" i="2"/>
  <c r="D263" i="2"/>
  <c r="E352" i="2"/>
  <c r="F285" i="1"/>
  <c r="D448" i="1"/>
  <c r="E854" i="1"/>
  <c r="E411" i="1"/>
  <c r="F925" i="1"/>
  <c r="E45" i="2"/>
  <c r="D407" i="1"/>
  <c r="D880" i="1"/>
  <c r="F816" i="2"/>
  <c r="D249" i="2"/>
  <c r="F882" i="2"/>
  <c r="D1176" i="1"/>
  <c r="F1135" i="1"/>
  <c r="E1123" i="1"/>
  <c r="E605" i="2"/>
  <c r="F737" i="1"/>
  <c r="E690" i="2"/>
  <c r="F1033" i="1"/>
  <c r="F832" i="1"/>
  <c r="D515" i="1"/>
  <c r="D988" i="1"/>
  <c r="E510" i="1"/>
  <c r="E541" i="1"/>
  <c r="F947" i="1"/>
  <c r="D661" i="2"/>
  <c r="F772" i="1"/>
  <c r="F688" i="2"/>
  <c r="E281" i="1"/>
  <c r="F1179" i="1"/>
  <c r="D275" i="1"/>
  <c r="E313" i="1"/>
  <c r="D1174" i="1"/>
  <c r="D267" i="1"/>
  <c r="F829" i="2"/>
  <c r="E558" i="2"/>
  <c r="F827" i="1"/>
  <c r="D676" i="2"/>
  <c r="D821" i="1"/>
  <c r="F722" i="2"/>
  <c r="E756" i="1"/>
  <c r="F727" i="2"/>
  <c r="D534" i="2"/>
  <c r="F176" i="2"/>
  <c r="E249" i="2"/>
  <c r="D318" i="2"/>
  <c r="F341" i="1"/>
  <c r="D810" i="1"/>
  <c r="F315" i="1"/>
  <c r="D571" i="1"/>
  <c r="D1044" i="1"/>
  <c r="D545" i="1"/>
  <c r="F421" i="2"/>
  <c r="E172" i="2"/>
  <c r="E463" i="2"/>
  <c r="F275" i="2"/>
  <c r="F498" i="2"/>
  <c r="E670" i="1"/>
  <c r="D303" i="2"/>
  <c r="D833" i="2"/>
  <c r="D176" i="2"/>
  <c r="D169" i="2"/>
  <c r="F463" i="2"/>
  <c r="E353" i="2"/>
  <c r="D371" i="2"/>
  <c r="E114" i="2"/>
  <c r="D16" i="2"/>
  <c r="E951" i="1"/>
  <c r="D677" i="2"/>
  <c r="D731" i="1"/>
  <c r="E158" i="1"/>
  <c r="F150" i="2"/>
  <c r="D567" i="2"/>
  <c r="E351" i="2"/>
  <c r="D153" i="2"/>
  <c r="F455" i="2"/>
  <c r="E875" i="2"/>
  <c r="D44" i="2"/>
  <c r="D824" i="2"/>
  <c r="F654" i="1"/>
  <c r="D692" i="2"/>
  <c r="E450" i="1"/>
  <c r="F151" i="2"/>
  <c r="D88" i="2"/>
  <c r="F376" i="1"/>
  <c r="D891" i="1"/>
  <c r="E721" i="1"/>
  <c r="E1120" i="1"/>
  <c r="E1007" i="1"/>
  <c r="E370" i="1"/>
  <c r="E338" i="1"/>
  <c r="D304" i="2"/>
  <c r="F417" i="2"/>
  <c r="E184" i="2"/>
  <c r="E475" i="2"/>
  <c r="D524" i="2"/>
  <c r="F697" i="1"/>
  <c r="D664" i="2"/>
  <c r="E762" i="1"/>
  <c r="E371" i="2"/>
  <c r="D161" i="2"/>
  <c r="F459" i="2"/>
  <c r="E377" i="2"/>
  <c r="D748" i="2"/>
  <c r="F756" i="2"/>
  <c r="D459" i="2"/>
  <c r="E750" i="2"/>
  <c r="F252" i="2"/>
  <c r="D283" i="2"/>
  <c r="F146" i="2"/>
  <c r="D563" i="2"/>
  <c r="E363" i="2"/>
  <c r="D541" i="2"/>
  <c r="D11" i="2"/>
  <c r="E149" i="2"/>
  <c r="E66" i="2"/>
  <c r="F712" i="1"/>
  <c r="F358" i="1"/>
  <c r="E266" i="1"/>
  <c r="E612" i="1"/>
  <c r="D588" i="1"/>
  <c r="E994" i="1"/>
  <c r="D530" i="1"/>
  <c r="D230" i="1"/>
  <c r="E323" i="2"/>
  <c r="E243" i="2"/>
  <c r="F322" i="2"/>
  <c r="E281" i="2"/>
  <c r="D700" i="2"/>
  <c r="E798" i="1"/>
  <c r="E435" i="2"/>
  <c r="E654" i="2"/>
  <c r="D287" i="2"/>
  <c r="E578" i="1"/>
  <c r="F210" i="2"/>
  <c r="F591" i="2"/>
  <c r="E472" i="2"/>
  <c r="F272" i="2"/>
  <c r="D603" i="2"/>
  <c r="D819" i="2"/>
  <c r="E1079" i="1"/>
  <c r="F876" i="2"/>
  <c r="F45" i="2"/>
  <c r="F165" i="2"/>
  <c r="F456" i="2"/>
  <c r="D296" i="2"/>
  <c r="F202" i="2"/>
  <c r="E180" i="2"/>
  <c r="F640" i="2"/>
  <c r="F748" i="1"/>
  <c r="E708" i="2"/>
  <c r="F782" i="1"/>
  <c r="D820" i="2"/>
  <c r="D619" i="1"/>
  <c r="D1092" i="1"/>
  <c r="D593" i="1"/>
  <c r="F392" i="1"/>
  <c r="D907" i="1"/>
  <c r="E785" i="1"/>
  <c r="D91" i="2"/>
  <c r="E620" i="2"/>
  <c r="F404" i="2"/>
  <c r="F227" i="2"/>
  <c r="D509" i="2"/>
  <c r="F27" i="2"/>
  <c r="D674" i="1"/>
  <c r="E1136" i="1"/>
  <c r="E516" i="1"/>
  <c r="E989" i="1"/>
  <c r="F511" i="1"/>
  <c r="F542" i="1"/>
  <c r="D949" i="1"/>
  <c r="D506" i="1"/>
  <c r="E1020" i="1"/>
  <c r="E763" i="1"/>
  <c r="D672" i="2"/>
  <c r="E789" i="1"/>
  <c r="D715" i="2"/>
  <c r="F378" i="1"/>
  <c r="E286" i="1"/>
  <c r="D342" i="1"/>
  <c r="E856" i="1"/>
  <c r="F788" i="2"/>
  <c r="F337" i="1"/>
  <c r="F804" i="1"/>
  <c r="F680" i="2"/>
  <c r="E203" i="2"/>
  <c r="E806" i="2"/>
  <c r="F4" i="1"/>
  <c r="D1057" i="1"/>
  <c r="D614" i="1"/>
  <c r="E1128" i="1"/>
  <c r="D1018" i="1"/>
  <c r="F609" i="1"/>
  <c r="F1082" i="1"/>
  <c r="D777" i="2"/>
  <c r="E512" i="2"/>
  <c r="D705" i="1"/>
  <c r="D420" i="2"/>
  <c r="E900" i="1"/>
  <c r="F758" i="1"/>
  <c r="F381" i="1"/>
  <c r="F854" i="1"/>
  <c r="D377" i="1"/>
  <c r="D408" i="1"/>
  <c r="F809" i="1"/>
  <c r="F753" i="2"/>
  <c r="F68" i="2"/>
  <c r="D894" i="2"/>
  <c r="D60" i="2"/>
  <c r="E887" i="2"/>
  <c r="D1090" i="1"/>
  <c r="D832" i="2"/>
  <c r="E306" i="2"/>
  <c r="E283" i="2"/>
  <c r="D483" i="2"/>
  <c r="F504" i="2"/>
  <c r="E820" i="2"/>
  <c r="E387" i="1"/>
  <c r="E292" i="1"/>
  <c r="E803" i="1"/>
  <c r="F663" i="1"/>
  <c r="F286" i="1"/>
  <c r="F1183" i="1"/>
  <c r="E280" i="1"/>
  <c r="E317" i="1"/>
  <c r="D1178" i="1"/>
  <c r="D663" i="2"/>
  <c r="F785" i="1"/>
  <c r="E786" i="2"/>
  <c r="E613" i="1"/>
  <c r="F1019" i="1"/>
  <c r="F576" i="1"/>
  <c r="D1091" i="1"/>
  <c r="F952" i="1"/>
  <c r="E572" i="1"/>
  <c r="E1045" i="1"/>
  <c r="E702" i="2"/>
  <c r="F390" i="2"/>
  <c r="F667" i="1"/>
  <c r="F599" i="2"/>
  <c r="D872" i="1"/>
  <c r="E394" i="1"/>
  <c r="E425" i="1"/>
  <c r="F831" i="1"/>
  <c r="F388" i="1"/>
  <c r="D903" i="1"/>
  <c r="E769" i="1"/>
  <c r="E481" i="2"/>
  <c r="D672" i="1"/>
  <c r="E825" i="2"/>
  <c r="D1135" i="1"/>
  <c r="E1027" i="1"/>
  <c r="E616" i="1"/>
  <c r="E1089" i="1"/>
  <c r="F611" i="1"/>
  <c r="F642" i="1"/>
  <c r="D1049" i="1"/>
  <c r="D842" i="2"/>
  <c r="D890" i="1"/>
  <c r="F855" i="2"/>
  <c r="D127" i="2"/>
  <c r="D849" i="2"/>
  <c r="D367" i="2"/>
  <c r="E686" i="1"/>
  <c r="E525" i="2"/>
  <c r="F307" i="2"/>
  <c r="E479" i="2"/>
  <c r="E109" i="2"/>
  <c r="E177" i="2"/>
  <c r="E650" i="1"/>
  <c r="F444" i="1"/>
  <c r="D959" i="1"/>
  <c r="D755" i="1"/>
  <c r="E440" i="1"/>
  <c r="E913" i="1"/>
  <c r="F435" i="1"/>
  <c r="F466" i="1"/>
  <c r="D873" i="1"/>
  <c r="D512" i="2"/>
  <c r="D698" i="1"/>
  <c r="F51" i="2"/>
  <c r="D266" i="1"/>
  <c r="D1169" i="1"/>
  <c r="D302" i="1"/>
  <c r="E1163" i="1"/>
  <c r="F1194" i="1"/>
  <c r="F25" i="2"/>
  <c r="D537" i="2"/>
  <c r="D817" i="1"/>
  <c r="D660" i="2"/>
  <c r="E1021" i="1"/>
  <c r="F543" i="1"/>
  <c r="F574" i="1"/>
  <c r="D981" i="1"/>
  <c r="D538" i="1"/>
  <c r="E1052" i="1"/>
  <c r="E875" i="1"/>
  <c r="D704" i="2"/>
  <c r="E791" i="2"/>
  <c r="D747" i="2"/>
  <c r="F346" i="1"/>
  <c r="D310" i="1"/>
  <c r="D823" i="1"/>
  <c r="E722" i="1"/>
  <c r="F305" i="1"/>
  <c r="E1198" i="1"/>
  <c r="D572" i="2"/>
  <c r="E132" i="2"/>
  <c r="E742" i="2"/>
  <c r="E436" i="2"/>
  <c r="D729" i="2"/>
  <c r="E341" i="2"/>
  <c r="E671" i="2"/>
  <c r="E737" i="2"/>
  <c r="D356" i="2"/>
  <c r="D447" i="2"/>
  <c r="E188" i="2"/>
  <c r="F220" i="2"/>
  <c r="D415" i="2"/>
  <c r="D1149" i="1"/>
  <c r="F485" i="1"/>
  <c r="F958" i="1"/>
  <c r="F459" i="1"/>
  <c r="F172" i="2"/>
  <c r="D565" i="2"/>
  <c r="D442" i="2"/>
  <c r="D244" i="2"/>
  <c r="E496" i="2"/>
  <c r="D769" i="2"/>
  <c r="F1052" i="1"/>
  <c r="D850" i="2"/>
  <c r="D855" i="2"/>
  <c r="E96" i="2"/>
  <c r="F625" i="2"/>
  <c r="D93" i="2"/>
  <c r="D233" i="2"/>
  <c r="E514" i="2"/>
  <c r="D33" i="2"/>
  <c r="E679" i="1"/>
  <c r="D639" i="2"/>
  <c r="E713" i="1"/>
  <c r="F286" i="2"/>
  <c r="F321" i="2"/>
  <c r="E88" i="2"/>
  <c r="F617" i="2"/>
  <c r="F765" i="2"/>
  <c r="E880" i="2"/>
  <c r="F494" i="2"/>
  <c r="E666" i="1"/>
  <c r="E546" i="2"/>
  <c r="E199" i="2"/>
  <c r="E547" i="2"/>
  <c r="D1147" i="1"/>
  <c r="E1043" i="1"/>
  <c r="D525" i="1"/>
  <c r="F438" i="1"/>
  <c r="D517" i="1"/>
  <c r="F994" i="1"/>
  <c r="F521" i="1"/>
  <c r="E710" i="2"/>
  <c r="E181" i="2"/>
  <c r="E74" i="2"/>
  <c r="E1182" i="1"/>
  <c r="F284" i="1"/>
  <c r="E658" i="1"/>
  <c r="F801" i="1"/>
  <c r="F290" i="1"/>
  <c r="E1191" i="1"/>
  <c r="F330" i="1"/>
  <c r="F550" i="2"/>
  <c r="E735" i="1"/>
  <c r="D617" i="2"/>
  <c r="E910" i="1"/>
  <c r="D504" i="1"/>
  <c r="D473" i="1"/>
  <c r="F950" i="1"/>
  <c r="F477" i="1"/>
  <c r="E667" i="1"/>
  <c r="E996" i="1"/>
  <c r="D480" i="2"/>
  <c r="D737" i="1"/>
  <c r="E266" i="2"/>
  <c r="F830" i="2"/>
  <c r="F1114" i="1"/>
  <c r="F641" i="1"/>
  <c r="F1060" i="1"/>
  <c r="D564" i="1"/>
  <c r="D774" i="1"/>
  <c r="D512" i="1"/>
  <c r="F1102" i="1"/>
  <c r="E631" i="1"/>
  <c r="D722" i="2"/>
  <c r="F208" i="2"/>
  <c r="D538" i="2"/>
  <c r="E718" i="1"/>
  <c r="E131" i="2"/>
  <c r="D62" i="2"/>
  <c r="F1152" i="1"/>
  <c r="D288" i="1"/>
  <c r="E1158" i="1"/>
  <c r="D646" i="2"/>
  <c r="E751" i="1"/>
  <c r="F582" i="2"/>
  <c r="E926" i="1"/>
  <c r="D520" i="1"/>
  <c r="D489" i="1"/>
  <c r="F966" i="1"/>
  <c r="F493" i="1"/>
  <c r="E731" i="1"/>
  <c r="E1012" i="1"/>
  <c r="F647" i="2"/>
  <c r="E716" i="1"/>
  <c r="D548" i="2"/>
  <c r="D1094" i="1"/>
  <c r="F1185" i="1"/>
  <c r="E1114" i="1"/>
  <c r="F1154" i="1"/>
  <c r="E861" i="2"/>
  <c r="D170" i="2"/>
  <c r="F776" i="2"/>
  <c r="F858" i="1"/>
  <c r="F385" i="1"/>
  <c r="F774" i="1"/>
  <c r="E1160" i="1"/>
  <c r="E618" i="1"/>
  <c r="E1108" i="1"/>
  <c r="F1029" i="1"/>
  <c r="E518" i="1"/>
  <c r="E80" i="2"/>
  <c r="F556" i="2"/>
  <c r="E152" i="2"/>
  <c r="F101" i="2"/>
  <c r="E1015" i="1"/>
  <c r="E309" i="2"/>
  <c r="E102" i="2"/>
  <c r="D746" i="2"/>
  <c r="D855" i="1"/>
  <c r="F340" i="1"/>
  <c r="D285" i="1"/>
  <c r="E377" i="1"/>
  <c r="E346" i="1"/>
  <c r="F822" i="1"/>
  <c r="D351" i="1"/>
  <c r="D815" i="2"/>
  <c r="F852" i="1"/>
  <c r="D789" i="2"/>
  <c r="F1011" i="1"/>
  <c r="E605" i="1"/>
  <c r="E574" i="1"/>
  <c r="D1052" i="1"/>
  <c r="D579" i="1"/>
  <c r="D966" i="1"/>
  <c r="F1097" i="1"/>
  <c r="E816" i="2"/>
  <c r="F644" i="2"/>
  <c r="D679" i="2"/>
  <c r="D1194" i="1"/>
  <c r="E333" i="1"/>
  <c r="F301" i="1"/>
  <c r="F1199" i="1"/>
  <c r="D307" i="1"/>
  <c r="F727" i="1"/>
  <c r="F824" i="1"/>
  <c r="E311" i="1"/>
  <c r="D658" i="2"/>
  <c r="E279" i="2"/>
  <c r="F883" i="2"/>
  <c r="D944" i="1"/>
  <c r="D471" i="1"/>
  <c r="F70" i="2"/>
  <c r="D308" i="1"/>
  <c r="E341" i="1"/>
  <c r="E944" i="1"/>
  <c r="F347" i="1"/>
  <c r="E619" i="2"/>
  <c r="E453" i="2"/>
  <c r="D180" i="2"/>
  <c r="D658" i="1"/>
  <c r="F388" i="2"/>
  <c r="E719" i="2"/>
  <c r="E625" i="1"/>
  <c r="D576" i="1"/>
  <c r="E982" i="1"/>
  <c r="E539" i="1"/>
  <c r="F1053" i="1"/>
  <c r="D878" i="1"/>
  <c r="D535" i="1"/>
  <c r="D1008" i="1"/>
  <c r="E617" i="2"/>
  <c r="E342" i="2"/>
  <c r="F56" i="2"/>
  <c r="F450" i="2"/>
  <c r="F889" i="1"/>
  <c r="D716" i="1"/>
  <c r="D371" i="1"/>
  <c r="D844" i="1"/>
  <c r="E366" i="1"/>
  <c r="E397" i="1"/>
  <c r="E791" i="1"/>
  <c r="D743" i="2"/>
  <c r="F54" i="2"/>
  <c r="E883" i="2"/>
  <c r="F1161" i="1"/>
  <c r="D1062" i="1"/>
  <c r="D643" i="1"/>
  <c r="D1116" i="1"/>
  <c r="E638" i="1"/>
  <c r="F1075" i="1"/>
  <c r="F868" i="2"/>
  <c r="F916" i="1"/>
  <c r="E882" i="2"/>
  <c r="D415" i="1"/>
  <c r="D888" i="1"/>
  <c r="E410" i="1"/>
  <c r="E441" i="1"/>
  <c r="F847" i="1"/>
  <c r="F404" i="1"/>
  <c r="D919" i="1"/>
  <c r="F853" i="2"/>
  <c r="E497" i="2"/>
  <c r="D688" i="1"/>
  <c r="E581" i="2"/>
  <c r="E681" i="1"/>
  <c r="E589" i="2"/>
  <c r="E79" i="2"/>
  <c r="D902" i="2"/>
  <c r="E482" i="2"/>
  <c r="D201" i="2"/>
  <c r="D378" i="2"/>
  <c r="F237" i="2"/>
  <c r="F390" i="1"/>
  <c r="E324" i="1"/>
  <c r="D264" i="1"/>
  <c r="F319" i="1"/>
  <c r="F350" i="1"/>
  <c r="D314" i="1"/>
  <c r="E828" i="1"/>
  <c r="E738" i="1"/>
  <c r="F303" i="2"/>
  <c r="D863" i="2"/>
  <c r="D724" i="2"/>
  <c r="E1124" i="1"/>
  <c r="F1012" i="1"/>
  <c r="F605" i="1"/>
  <c r="F1078" i="1"/>
  <c r="D601" i="1"/>
  <c r="D632" i="1"/>
  <c r="E1038" i="1"/>
  <c r="E831" i="2"/>
  <c r="E879" i="1"/>
  <c r="D845" i="2"/>
  <c r="F458" i="1"/>
  <c r="D865" i="1"/>
  <c r="D422" i="1"/>
  <c r="E936" i="1"/>
  <c r="E664" i="1"/>
  <c r="F417" i="1"/>
  <c r="F890" i="1"/>
  <c r="E830" i="2"/>
  <c r="E292" i="2"/>
  <c r="E893" i="2"/>
  <c r="F3" i="1"/>
  <c r="F1122" i="1"/>
  <c r="D645" i="1"/>
  <c r="E1082" i="1"/>
  <c r="E639" i="1"/>
  <c r="F1153" i="1"/>
  <c r="E1051" i="1"/>
  <c r="E805" i="2"/>
  <c r="E684" i="1"/>
  <c r="E615" i="2"/>
  <c r="F677" i="1"/>
  <c r="E603" i="2"/>
  <c r="D898" i="1"/>
  <c r="F863" i="2"/>
  <c r="F425" i="2"/>
  <c r="F317" i="2"/>
  <c r="F225" i="2"/>
  <c r="D487" i="2"/>
  <c r="E717" i="2"/>
  <c r="F155" i="1"/>
  <c r="F473" i="1"/>
  <c r="F946" i="1"/>
  <c r="D469" i="1"/>
  <c r="D500" i="1"/>
  <c r="E906" i="1"/>
  <c r="E463" i="1"/>
  <c r="F977" i="1"/>
  <c r="E844" i="2"/>
  <c r="F626" i="2"/>
  <c r="F746" i="1"/>
  <c r="E672" i="2"/>
  <c r="D336" i="1"/>
  <c r="F1196" i="1"/>
  <c r="F297" i="1"/>
  <c r="F808" i="1"/>
  <c r="F679" i="1"/>
  <c r="D292" i="1"/>
  <c r="F1187" i="1"/>
  <c r="F79" i="2"/>
  <c r="F89" i="2"/>
  <c r="D721" i="2"/>
  <c r="D608" i="1"/>
  <c r="E1014" i="1"/>
  <c r="E571" i="1"/>
  <c r="F1085" i="1"/>
  <c r="D942" i="1"/>
  <c r="D567" i="1"/>
  <c r="D1040" i="1"/>
  <c r="F691" i="2"/>
  <c r="D348" i="2"/>
  <c r="E662" i="1"/>
  <c r="E578" i="2"/>
  <c r="F857" i="1"/>
  <c r="F824" i="2"/>
  <c r="D339" i="1"/>
  <c r="F806" i="1"/>
  <c r="E334" i="1"/>
  <c r="E365" i="1"/>
  <c r="D273" i="1"/>
  <c r="D711" i="2"/>
  <c r="E860" i="2"/>
  <c r="E851" i="2"/>
  <c r="F833" i="2"/>
  <c r="F844" i="2"/>
  <c r="E1047" i="1"/>
  <c r="E758" i="2"/>
  <c r="D475" i="2"/>
  <c r="E236" i="2"/>
  <c r="F427" i="2"/>
  <c r="D429" i="2"/>
  <c r="F23" i="2"/>
  <c r="D316" i="1"/>
  <c r="F1176" i="1"/>
  <c r="F441" i="1"/>
  <c r="E545" i="1"/>
  <c r="F951" i="1"/>
  <c r="E487" i="1"/>
  <c r="D366" i="2"/>
  <c r="E150" i="2"/>
  <c r="D454" i="2"/>
  <c r="F366" i="2"/>
  <c r="F742" i="2"/>
  <c r="D714" i="2"/>
  <c r="F420" i="2"/>
  <c r="F739" i="2"/>
  <c r="F201" i="2"/>
  <c r="F407" i="1"/>
  <c r="E216" i="2"/>
  <c r="F98" i="2"/>
  <c r="D515" i="2"/>
  <c r="E315" i="2"/>
  <c r="E535" i="2"/>
  <c r="D864" i="2"/>
  <c r="D1122" i="1"/>
  <c r="E18" i="2"/>
  <c r="F664" i="1"/>
  <c r="E107" i="2"/>
  <c r="E499" i="2"/>
  <c r="F315" i="2"/>
  <c r="D173" i="2"/>
  <c r="E166" i="2"/>
  <c r="D726" i="2"/>
  <c r="E800" i="1"/>
  <c r="D751" i="2"/>
  <c r="E819" i="2"/>
  <c r="D613" i="2"/>
  <c r="D395" i="2"/>
  <c r="F145" i="2"/>
  <c r="F1134" i="1"/>
  <c r="F635" i="1"/>
  <c r="F949" i="1"/>
  <c r="F717" i="1"/>
  <c r="E161" i="2"/>
  <c r="F577" i="2"/>
  <c r="D362" i="2"/>
  <c r="E174" i="2"/>
  <c r="E466" i="2"/>
  <c r="D886" i="2"/>
  <c r="D58" i="2"/>
  <c r="E537" i="2"/>
  <c r="E665" i="1"/>
  <c r="F355" i="2"/>
  <c r="E200" i="2"/>
  <c r="F110" i="2"/>
  <c r="D527" i="2"/>
  <c r="D675" i="2"/>
  <c r="E749" i="1"/>
  <c r="E282" i="2"/>
  <c r="F732" i="2"/>
  <c r="D157" i="1"/>
  <c r="F175" i="2"/>
  <c r="E99" i="2"/>
  <c r="E495" i="2"/>
  <c r="F339" i="2"/>
  <c r="E583" i="2"/>
  <c r="E702" i="1"/>
  <c r="D431" i="2"/>
  <c r="D865" i="2"/>
  <c r="D191" i="2"/>
  <c r="D477" i="1"/>
  <c r="F1125" i="1"/>
  <c r="D1014" i="1"/>
  <c r="E417" i="1"/>
  <c r="D822" i="1"/>
  <c r="D322" i="1"/>
  <c r="F259" i="2"/>
  <c r="E201" i="2"/>
  <c r="E582" i="2"/>
  <c r="D479" i="2"/>
  <c r="F623" i="2"/>
  <c r="E701" i="1"/>
  <c r="F531" i="2"/>
  <c r="D7" i="2"/>
  <c r="F362" i="2"/>
  <c r="D363" i="2"/>
  <c r="F113" i="2"/>
  <c r="F287" i="2"/>
  <c r="F249" i="2"/>
  <c r="E427" i="2"/>
  <c r="E19" i="2"/>
  <c r="D177" i="2"/>
  <c r="F728" i="2"/>
  <c r="D802" i="1"/>
  <c r="D137" i="2"/>
  <c r="E445" i="2"/>
  <c r="E321" i="2"/>
  <c r="D355" i="2"/>
  <c r="F348" i="2"/>
  <c r="D901" i="2"/>
  <c r="E935" i="1"/>
  <c r="D645" i="2"/>
  <c r="D715" i="1"/>
  <c r="E448" i="1"/>
  <c r="E921" i="1"/>
  <c r="E422" i="1"/>
  <c r="F1150" i="1"/>
  <c r="F5" i="1"/>
  <c r="F204" i="2"/>
  <c r="F552" i="2"/>
  <c r="E417" i="2"/>
  <c r="E280" i="2"/>
  <c r="E276" i="2"/>
  <c r="F825" i="2"/>
  <c r="F860" i="1"/>
  <c r="E804" i="2"/>
  <c r="D70" i="2"/>
  <c r="D410" i="2"/>
  <c r="D101" i="2"/>
  <c r="F112" i="2"/>
  <c r="D502" i="2"/>
  <c r="F663" i="2"/>
  <c r="E724" i="1"/>
  <c r="F690" i="2"/>
  <c r="D789" i="1"/>
  <c r="E246" i="2"/>
  <c r="F100" i="2"/>
  <c r="D529" i="2"/>
  <c r="E369" i="1"/>
  <c r="F345" i="1"/>
  <c r="E815" i="1"/>
  <c r="D341" i="1"/>
  <c r="D372" i="1"/>
  <c r="F279" i="1"/>
  <c r="E335" i="1"/>
  <c r="F849" i="1"/>
  <c r="F823" i="1"/>
  <c r="D389" i="2"/>
  <c r="E41" i="2"/>
  <c r="F750" i="2"/>
  <c r="F1145" i="1"/>
  <c r="F1040" i="1"/>
  <c r="D627" i="1"/>
  <c r="D1100" i="1"/>
  <c r="E622" i="1"/>
  <c r="E7" i="1"/>
  <c r="F1059" i="1"/>
  <c r="F852" i="2"/>
  <c r="F900" i="1"/>
  <c r="E866" i="2"/>
  <c r="D480" i="1"/>
  <c r="E886" i="1"/>
  <c r="E443" i="1"/>
  <c r="F957" i="1"/>
  <c r="F749" i="1"/>
  <c r="D439" i="1"/>
  <c r="D912" i="1"/>
  <c r="F851" i="2"/>
  <c r="F377" i="2"/>
  <c r="F13" i="2"/>
  <c r="D1144" i="1"/>
  <c r="F1103" i="1"/>
  <c r="D1175" i="1"/>
  <c r="F1080" i="1"/>
  <c r="F826" i="2"/>
  <c r="F705" i="1"/>
  <c r="D614" i="2"/>
  <c r="D699" i="1"/>
  <c r="E545" i="2"/>
  <c r="E919" i="1"/>
  <c r="D885" i="2"/>
  <c r="F284" i="2"/>
  <c r="D339" i="2"/>
  <c r="E289" i="2"/>
  <c r="E508" i="2"/>
  <c r="F802" i="2"/>
  <c r="E580" i="1"/>
  <c r="E1053" i="1"/>
  <c r="F575" i="1"/>
  <c r="F606" i="1"/>
  <c r="D1013" i="1"/>
  <c r="D570" i="1"/>
  <c r="E1084" i="1"/>
  <c r="E939" i="1"/>
  <c r="D736" i="2"/>
  <c r="F32" i="2"/>
  <c r="D779" i="2"/>
  <c r="F442" i="1"/>
  <c r="D849" i="1"/>
  <c r="D406" i="1"/>
  <c r="E920" i="1"/>
  <c r="D875" i="2"/>
  <c r="F401" i="1"/>
  <c r="F874" i="1"/>
  <c r="F808" i="2"/>
  <c r="F183" i="2"/>
  <c r="E877" i="2"/>
  <c r="D1121" i="1"/>
  <c r="E1192" i="1"/>
  <c r="E1103" i="1"/>
  <c r="F1146" i="1"/>
  <c r="F862" i="2"/>
  <c r="D530" i="2"/>
  <c r="D769" i="1"/>
  <c r="E557" i="2"/>
  <c r="E964" i="1"/>
  <c r="E776" i="1"/>
  <c r="F445" i="1"/>
  <c r="F918" i="1"/>
  <c r="D441" i="1"/>
  <c r="D472" i="1"/>
  <c r="E878" i="1"/>
  <c r="E533" i="2"/>
  <c r="E703" i="1"/>
  <c r="D57" i="2"/>
  <c r="F696" i="1"/>
  <c r="E50" i="2"/>
  <c r="E85" i="2"/>
  <c r="D896" i="2"/>
  <c r="F483" i="2"/>
  <c r="E347" i="2"/>
  <c r="D547" i="2"/>
  <c r="E317" i="2"/>
  <c r="D445" i="1"/>
  <c r="F854" i="2"/>
  <c r="F1202" i="1"/>
  <c r="D754" i="2"/>
  <c r="E1162" i="1"/>
  <c r="E293" i="1"/>
  <c r="F1156" i="1"/>
  <c r="F641" i="2"/>
  <c r="E764" i="1"/>
  <c r="F743" i="2"/>
  <c r="D592" i="1"/>
  <c r="E998" i="1"/>
  <c r="E555" i="1"/>
  <c r="F1069" i="1"/>
  <c r="D910" i="1"/>
  <c r="D551" i="1"/>
  <c r="D1024" i="1"/>
  <c r="F659" i="2"/>
  <c r="F447" i="2"/>
  <c r="D78" i="2"/>
  <c r="F535" i="2"/>
  <c r="F850" i="1"/>
  <c r="D373" i="1"/>
  <c r="D404" i="1"/>
  <c r="E804" i="1"/>
  <c r="E367" i="1"/>
  <c r="F881" i="1"/>
  <c r="D684" i="1"/>
  <c r="D460" i="2"/>
  <c r="D650" i="1"/>
  <c r="E793" i="2"/>
  <c r="F1113" i="1"/>
  <c r="D998" i="1"/>
  <c r="D595" i="1"/>
  <c r="D1068" i="1"/>
  <c r="E590" i="1"/>
  <c r="E621" i="1"/>
  <c r="F1027" i="1"/>
  <c r="D818" i="2"/>
  <c r="F868" i="1"/>
  <c r="E834" i="2"/>
  <c r="F154" i="2"/>
  <c r="E827" i="2"/>
  <c r="F281" i="2"/>
  <c r="D665" i="1"/>
  <c r="E493" i="2"/>
  <c r="D265" i="2"/>
  <c r="D458" i="2"/>
  <c r="E602" i="2"/>
  <c r="D156" i="2"/>
  <c r="F652" i="2"/>
  <c r="D572" i="1"/>
  <c r="E978" i="1"/>
  <c r="D514" i="1"/>
  <c r="D315" i="1"/>
  <c r="D284" i="1"/>
  <c r="F456" i="1"/>
  <c r="E336" i="2"/>
  <c r="D87" i="2"/>
  <c r="E616" i="2"/>
  <c r="E146" i="2"/>
  <c r="E330" i="2"/>
  <c r="E807" i="2"/>
  <c r="D190" i="2"/>
  <c r="E675" i="2"/>
  <c r="D766" i="1"/>
  <c r="D210" i="2"/>
  <c r="D558" i="2"/>
  <c r="F424" i="2"/>
  <c r="F285" i="2"/>
  <c r="F297" i="2"/>
  <c r="F831" i="2"/>
  <c r="D866" i="1"/>
  <c r="F809" i="2"/>
  <c r="E77" i="2"/>
  <c r="D526" i="1"/>
  <c r="D494" i="1"/>
  <c r="F481" i="2"/>
  <c r="D266" i="2"/>
  <c r="D202" i="2"/>
  <c r="D550" i="2"/>
  <c r="F759" i="2"/>
  <c r="E772" i="1"/>
  <c r="F738" i="2"/>
  <c r="D682" i="2"/>
  <c r="F588" i="2"/>
  <c r="E119" i="2"/>
  <c r="E538" i="2"/>
  <c r="E976" i="1"/>
  <c r="D821" i="2"/>
  <c r="F1120" i="1"/>
  <c r="D308" i="2"/>
  <c r="E332" i="2"/>
  <c r="D99" i="2"/>
  <c r="E628" i="2"/>
  <c r="E776" i="2"/>
  <c r="D22" i="2"/>
  <c r="E505" i="2"/>
  <c r="D677" i="1"/>
  <c r="D286" i="2"/>
  <c r="D206" i="2"/>
  <c r="D554" i="2"/>
  <c r="F440" i="2"/>
  <c r="F662" i="2"/>
  <c r="D761" i="1"/>
  <c r="E244" i="2"/>
  <c r="F22" i="2"/>
  <c r="F116" i="2"/>
  <c r="D557" i="1"/>
  <c r="D216" i="2"/>
  <c r="D597" i="2"/>
  <c r="F477" i="2"/>
  <c r="D278" i="2"/>
  <c r="E624" i="2"/>
  <c r="D826" i="2"/>
  <c r="F1084" i="1"/>
  <c r="D882" i="2"/>
  <c r="F52" i="2"/>
  <c r="D444" i="1"/>
  <c r="E850" i="1"/>
  <c r="D354" i="1"/>
  <c r="F1079" i="1"/>
  <c r="E615" i="1"/>
  <c r="E154" i="1"/>
  <c r="E228" i="2"/>
  <c r="F120" i="2"/>
  <c r="D506" i="2"/>
  <c r="D361" i="2"/>
  <c r="F604" i="2"/>
  <c r="D713" i="1"/>
  <c r="F245" i="2"/>
  <c r="F875" i="2"/>
  <c r="D158" i="2"/>
  <c r="D225" i="2"/>
  <c r="E506" i="2"/>
  <c r="F428" i="2"/>
  <c r="F413" i="2"/>
  <c r="D428" i="2"/>
  <c r="F651" i="2"/>
  <c r="D994" i="1"/>
  <c r="E762" i="2"/>
  <c r="F773" i="1"/>
  <c r="E193" i="2"/>
  <c r="F609" i="2"/>
  <c r="D394" i="2"/>
  <c r="D217" i="2"/>
  <c r="E498" i="2"/>
  <c r="D17" i="2"/>
  <c r="E663" i="1"/>
  <c r="E618" i="2"/>
  <c r="E697" i="1"/>
  <c r="F734" i="2"/>
  <c r="E1177" i="1"/>
  <c r="E992" i="1"/>
  <c r="F650" i="1"/>
  <c r="F118" i="2"/>
  <c r="D535" i="2"/>
  <c r="E319" i="2"/>
  <c r="D89" i="2"/>
  <c r="F370" i="2"/>
  <c r="E843" i="2"/>
  <c r="E828" i="2"/>
  <c r="D792" i="2"/>
  <c r="F46" i="2"/>
  <c r="E270" i="2"/>
  <c r="F206" i="2"/>
  <c r="F587" i="2"/>
  <c r="E484" i="2"/>
  <c r="F630" i="2"/>
  <c r="F706" i="1"/>
  <c r="E542" i="2"/>
  <c r="E12" i="2"/>
  <c r="F434" i="2"/>
  <c r="D411" i="2"/>
  <c r="F161" i="2"/>
  <c r="D452" i="2"/>
  <c r="D252" i="2"/>
  <c r="D488" i="2"/>
  <c r="F659" i="1"/>
  <c r="E260" i="2"/>
  <c r="D1114" i="1"/>
  <c r="E1200" i="1"/>
  <c r="E452" i="1"/>
  <c r="E925" i="1"/>
  <c r="F447" i="1"/>
  <c r="F478" i="1"/>
  <c r="D1051" i="1"/>
  <c r="F601" i="1"/>
  <c r="F1074" i="1"/>
  <c r="D597" i="1"/>
  <c r="D628" i="1"/>
  <c r="E1034" i="1"/>
  <c r="E591" i="1"/>
  <c r="F1105" i="1"/>
  <c r="D982" i="1"/>
  <c r="E757" i="2"/>
  <c r="F64" i="2"/>
  <c r="E800" i="2"/>
  <c r="D464" i="1"/>
  <c r="E870" i="1"/>
  <c r="E427" i="1"/>
  <c r="F941" i="1"/>
  <c r="F685" i="1"/>
  <c r="D423" i="1"/>
  <c r="D896" i="1"/>
  <c r="F835" i="2"/>
  <c r="F313" i="2"/>
  <c r="F898" i="2"/>
  <c r="E1142" i="1"/>
  <c r="F265" i="1"/>
  <c r="E1131" i="1"/>
  <c r="D1168" i="1"/>
  <c r="D884" i="2"/>
  <c r="E415" i="2"/>
  <c r="E790" i="1"/>
  <c r="D618" i="2"/>
  <c r="F985" i="1"/>
  <c r="E49" i="2"/>
  <c r="D467" i="1"/>
  <c r="D940" i="1"/>
  <c r="E462" i="1"/>
  <c r="E493" i="1"/>
  <c r="F899" i="1"/>
  <c r="D598" i="2"/>
  <c r="F724" i="1"/>
  <c r="E78" i="2"/>
  <c r="D718" i="1"/>
  <c r="F71" i="2"/>
  <c r="F170" i="2"/>
  <c r="E16" i="2"/>
  <c r="F551" i="2"/>
  <c r="F368" i="2"/>
  <c r="E568" i="2"/>
  <c r="F402" i="2"/>
  <c r="F359" i="1"/>
  <c r="D39" i="2"/>
  <c r="E301" i="1"/>
  <c r="F380" i="1"/>
  <c r="D895" i="1"/>
  <c r="E737" i="1"/>
  <c r="E376" i="1"/>
  <c r="E849" i="1"/>
  <c r="F371" i="1"/>
  <c r="F402" i="1"/>
  <c r="F802" i="1"/>
  <c r="E748" i="2"/>
  <c r="F61" i="2"/>
  <c r="F888" i="2"/>
  <c r="D1105" i="1"/>
  <c r="E1176" i="1"/>
  <c r="D1082" i="1"/>
  <c r="F1130" i="1"/>
  <c r="F846" i="2"/>
  <c r="D466" i="2"/>
  <c r="D753" i="1"/>
  <c r="E501" i="2"/>
  <c r="E957" i="1"/>
  <c r="F479" i="1"/>
  <c r="F510" i="1"/>
  <c r="D917" i="1"/>
  <c r="D474" i="1"/>
  <c r="E988" i="1"/>
  <c r="E63" i="2"/>
  <c r="D640" i="2"/>
  <c r="E757" i="1"/>
  <c r="D683" i="2"/>
  <c r="E275" i="1"/>
  <c r="F1140" i="1"/>
  <c r="F1174" i="1"/>
  <c r="E1134" i="1"/>
  <c r="E26" i="2"/>
  <c r="E975" i="1"/>
  <c r="D556" i="2"/>
  <c r="F198" i="2"/>
  <c r="E33" i="2"/>
  <c r="E301" i="2"/>
  <c r="F771" i="1"/>
  <c r="E673" i="2"/>
  <c r="F451" i="2"/>
  <c r="F564" i="2"/>
  <c r="D103" i="2"/>
  <c r="E192" i="2"/>
  <c r="E755" i="1"/>
  <c r="E608" i="1"/>
  <c r="F439" i="1"/>
  <c r="E1044" i="1"/>
  <c r="E859" i="1"/>
  <c r="F525" i="1"/>
  <c r="F998" i="1"/>
  <c r="D521" i="1"/>
  <c r="D552" i="1"/>
  <c r="E958" i="1"/>
  <c r="E682" i="2"/>
  <c r="E783" i="1"/>
  <c r="D710" i="2"/>
  <c r="F361" i="1"/>
  <c r="F834" i="1"/>
  <c r="D357" i="1"/>
  <c r="D388" i="1"/>
  <c r="F295" i="1"/>
  <c r="E351" i="1"/>
  <c r="F865" i="1"/>
  <c r="D43" i="2"/>
  <c r="D438" i="2"/>
  <c r="F62" i="2"/>
  <c r="D772" i="2"/>
  <c r="F1106" i="1"/>
  <c r="D629" i="1"/>
  <c r="E1066" i="1"/>
  <c r="E623" i="1"/>
  <c r="F1137" i="1"/>
  <c r="D1030" i="1"/>
  <c r="E789" i="2"/>
  <c r="E668" i="1"/>
  <c r="F584" i="2"/>
  <c r="D432" i="1"/>
  <c r="E838" i="1"/>
  <c r="E395" i="1"/>
  <c r="F909" i="1"/>
  <c r="D796" i="1"/>
  <c r="D391" i="1"/>
  <c r="D864" i="1"/>
  <c r="E787" i="2"/>
  <c r="D204" i="2"/>
  <c r="F866" i="2"/>
  <c r="E374" i="2"/>
  <c r="D860" i="2"/>
  <c r="E519" i="2"/>
  <c r="E653" i="1"/>
  <c r="F822" i="2"/>
  <c r="D400" i="2"/>
  <c r="E534" i="2"/>
  <c r="D238" i="2"/>
  <c r="E214" i="2"/>
  <c r="F383" i="2"/>
  <c r="F486" i="1"/>
  <c r="D893" i="1"/>
  <c r="F412" i="1"/>
  <c r="E1122" i="1"/>
  <c r="D345" i="2"/>
  <c r="E162" i="2"/>
  <c r="E105" i="2"/>
  <c r="F521" i="2"/>
  <c r="F669" i="2"/>
  <c r="D744" i="1"/>
  <c r="F611" i="2"/>
  <c r="D690" i="2"/>
  <c r="E592" i="2"/>
  <c r="F405" i="2"/>
  <c r="E156" i="2"/>
  <c r="F444" i="2"/>
  <c r="D199" i="2"/>
  <c r="F482" i="2"/>
  <c r="E654" i="1"/>
  <c r="E232" i="2"/>
  <c r="D813" i="2"/>
  <c r="D112" i="2"/>
  <c r="D209" i="2"/>
  <c r="E490" i="2"/>
  <c r="F406" i="2"/>
  <c r="F397" i="2"/>
  <c r="E310" i="2"/>
  <c r="D588" i="2"/>
  <c r="D978" i="1"/>
  <c r="E730" i="2"/>
  <c r="F757" i="1"/>
  <c r="E339" i="2"/>
  <c r="D97" i="2"/>
  <c r="D491" i="1"/>
  <c r="D964" i="1"/>
  <c r="D465" i="1"/>
  <c r="E1193" i="1"/>
  <c r="E20" i="2"/>
  <c r="F128" i="2"/>
  <c r="D510" i="2"/>
  <c r="D337" i="2"/>
  <c r="D227" i="2"/>
  <c r="F223" i="2"/>
  <c r="E747" i="2"/>
  <c r="F814" i="1"/>
  <c r="F761" i="2"/>
  <c r="E864" i="2"/>
  <c r="E434" i="1"/>
  <c r="E402" i="1"/>
  <c r="D434" i="2"/>
  <c r="F401" i="2"/>
  <c r="E168" i="2"/>
  <c r="E459" i="2"/>
  <c r="E611" i="2"/>
  <c r="F681" i="1"/>
  <c r="D648" i="2"/>
  <c r="E746" i="1"/>
  <c r="E155" i="1"/>
  <c r="D398" i="2"/>
  <c r="D205" i="2"/>
  <c r="E486" i="2"/>
  <c r="E423" i="2"/>
  <c r="F774" i="2"/>
  <c r="D895" i="2"/>
  <c r="F565" i="2"/>
  <c r="F803" i="2"/>
  <c r="E359" i="2"/>
  <c r="D955" i="1"/>
  <c r="D739" i="1"/>
  <c r="E1184" i="1"/>
  <c r="F1092" i="1"/>
  <c r="E626" i="1"/>
  <c r="E594" i="1"/>
  <c r="F350" i="2"/>
  <c r="F353" i="2"/>
  <c r="E120" i="2"/>
  <c r="E322" i="2"/>
  <c r="F797" i="2"/>
  <c r="E61" i="2"/>
  <c r="E573" i="2"/>
  <c r="E698" i="1"/>
  <c r="D238" i="1"/>
  <c r="E307" i="2"/>
  <c r="E227" i="2"/>
  <c r="E575" i="2"/>
  <c r="F239" i="2"/>
  <c r="D684" i="2"/>
  <c r="E782" i="1"/>
  <c r="D321" i="2"/>
  <c r="F598" i="2"/>
  <c r="D141" i="2"/>
  <c r="F471" i="1"/>
  <c r="D109" i="2"/>
  <c r="F82" i="2"/>
  <c r="D499" i="2"/>
  <c r="E299" i="2"/>
  <c r="E471" i="2"/>
  <c r="D848" i="2"/>
  <c r="D1106" i="1"/>
  <c r="E903" i="2"/>
  <c r="E81" i="2"/>
  <c r="F268" i="1"/>
  <c r="E1170" i="1"/>
  <c r="D507" i="1"/>
  <c r="D980" i="1"/>
  <c r="D481" i="1"/>
  <c r="D130" i="2"/>
  <c r="F543" i="2"/>
  <c r="E373" i="2"/>
  <c r="E154" i="2"/>
  <c r="D320" i="2"/>
  <c r="E726" i="2"/>
  <c r="E1031" i="1"/>
  <c r="D540" i="1"/>
  <c r="F1067" i="1"/>
  <c r="F624" i="1"/>
  <c r="D1139" i="1"/>
  <c r="F1032" i="1"/>
  <c r="E620" i="1"/>
  <c r="E1093" i="1"/>
  <c r="E798" i="2"/>
  <c r="D555" i="2"/>
  <c r="F715" i="1"/>
  <c r="F452" i="2"/>
  <c r="D975" i="1"/>
  <c r="E783" i="2"/>
  <c r="E456" i="1"/>
  <c r="E929" i="1"/>
  <c r="F451" i="1"/>
  <c r="F482" i="1"/>
  <c r="D889" i="1"/>
  <c r="D576" i="2"/>
  <c r="D714" i="1"/>
  <c r="F67" i="2"/>
  <c r="E309" i="1"/>
  <c r="D1170" i="1"/>
  <c r="E1201" i="1"/>
  <c r="E711" i="2"/>
  <c r="D1161" i="1"/>
  <c r="D53" i="2"/>
  <c r="D96" i="2"/>
  <c r="F667" i="2"/>
  <c r="E500" i="1"/>
  <c r="E973" i="1"/>
  <c r="F495" i="1"/>
  <c r="F526" i="1"/>
  <c r="D933" i="1"/>
  <c r="D490" i="1"/>
  <c r="E1004" i="1"/>
  <c r="E699" i="1"/>
  <c r="D656" i="2"/>
  <c r="E773" i="1"/>
  <c r="D699" i="2"/>
  <c r="F766" i="1"/>
  <c r="E692" i="2"/>
  <c r="F732" i="1"/>
  <c r="E652" i="1"/>
  <c r="E116" i="2"/>
  <c r="D178" i="2"/>
  <c r="D264" i="2"/>
  <c r="E253" i="2"/>
  <c r="E271" i="1"/>
  <c r="E305" i="1"/>
  <c r="F409" i="1"/>
  <c r="F882" i="1"/>
  <c r="D405" i="1"/>
  <c r="D436" i="1"/>
  <c r="E842" i="1"/>
  <c r="E399" i="1"/>
  <c r="F913" i="1"/>
  <c r="F716" i="2"/>
  <c r="D492" i="2"/>
  <c r="F682" i="1"/>
  <c r="F542" i="2"/>
  <c r="D1126" i="1"/>
  <c r="D1164" i="1"/>
  <c r="F1123" i="1"/>
  <c r="F15" i="2"/>
  <c r="F964" i="1"/>
  <c r="E29" i="2"/>
  <c r="D544" i="1"/>
  <c r="E950" i="1"/>
  <c r="E507" i="1"/>
  <c r="F1021" i="1"/>
  <c r="F768" i="1"/>
  <c r="D503" i="1"/>
  <c r="D976" i="1"/>
  <c r="F14" i="2"/>
  <c r="E407" i="2"/>
  <c r="D867" i="2"/>
  <c r="F460" i="2"/>
  <c r="E872" i="2"/>
  <c r="E263" i="1"/>
  <c r="F1167" i="1"/>
  <c r="E300" i="1"/>
  <c r="D1162" i="1"/>
  <c r="D647" i="2"/>
  <c r="F769" i="1"/>
  <c r="E754" i="2"/>
  <c r="D763" i="1"/>
  <c r="D741" i="2"/>
  <c r="E983" i="1"/>
  <c r="F624" i="2"/>
  <c r="D353" i="2"/>
  <c r="D403" i="2"/>
  <c r="E414" i="2"/>
  <c r="F593" i="2"/>
  <c r="F237" i="1"/>
  <c r="F522" i="2"/>
  <c r="D559" i="1"/>
  <c r="D1032" i="1"/>
  <c r="E554" i="1"/>
  <c r="E585" i="1"/>
  <c r="F991" i="1"/>
  <c r="F548" i="1"/>
  <c r="D1063" i="1"/>
  <c r="F896" i="1"/>
  <c r="F714" i="2"/>
  <c r="E848" i="2"/>
  <c r="F757" i="2"/>
  <c r="E421" i="1"/>
  <c r="E827" i="1"/>
  <c r="F384" i="1"/>
  <c r="D899" i="1"/>
  <c r="E753" i="1"/>
  <c r="E380" i="1"/>
  <c r="E853" i="1"/>
  <c r="D766" i="2"/>
  <c r="E127" i="2"/>
  <c r="D856" i="2"/>
  <c r="F1099" i="1"/>
  <c r="D1171" i="1"/>
  <c r="E1075" i="1"/>
  <c r="E6" i="1"/>
  <c r="C6" i="3" s="1"/>
  <c r="E1125" i="1"/>
  <c r="E841" i="2"/>
  <c r="F439" i="2"/>
  <c r="F747" i="1"/>
  <c r="D496" i="2"/>
  <c r="D943" i="1"/>
  <c r="D691" i="1"/>
  <c r="E424" i="1"/>
  <c r="E897" i="1"/>
  <c r="F419" i="1"/>
  <c r="F450" i="1"/>
  <c r="D857" i="1"/>
  <c r="E796" i="2"/>
  <c r="D682" i="1"/>
  <c r="F35" i="2"/>
  <c r="E675" i="1"/>
  <c r="D29" i="2"/>
  <c r="F1132" i="1"/>
  <c r="F874" i="2"/>
  <c r="F95" i="2"/>
  <c r="F615" i="1"/>
  <c r="F156" i="1"/>
  <c r="F630" i="1"/>
  <c r="E265" i="2"/>
  <c r="F190" i="2"/>
  <c r="D755" i="2"/>
  <c r="D484" i="2"/>
  <c r="F264" i="2"/>
  <c r="F532" i="2"/>
  <c r="E641" i="2"/>
  <c r="D354" i="2"/>
  <c r="D145" i="2"/>
  <c r="D194" i="2"/>
  <c r="E456" i="2"/>
  <c r="D539" i="2"/>
  <c r="E1063" i="1"/>
  <c r="F897" i="2"/>
  <c r="F231" i="2"/>
  <c r="F550" i="1"/>
  <c r="D80" i="2"/>
  <c r="D635" i="1"/>
  <c r="E1186" i="1"/>
  <c r="F357" i="2"/>
  <c r="E108" i="2"/>
  <c r="F209" i="2"/>
  <c r="F242" i="2"/>
  <c r="D413" i="2"/>
  <c r="D899" i="2"/>
  <c r="E134" i="2"/>
  <c r="D718" i="2"/>
  <c r="D790" i="1"/>
  <c r="E231" i="2"/>
  <c r="D231" i="2"/>
  <c r="E450" i="2"/>
  <c r="D307" i="2"/>
  <c r="D383" i="2"/>
  <c r="D853" i="2"/>
  <c r="E887" i="1"/>
  <c r="D582" i="2"/>
  <c r="D667" i="1"/>
  <c r="F440" i="1"/>
  <c r="F86" i="2"/>
  <c r="D503" i="2"/>
  <c r="E287" i="2"/>
  <c r="E223" i="2"/>
  <c r="E571" i="2"/>
  <c r="E802" i="2"/>
  <c r="F793" i="1"/>
  <c r="D760" i="2"/>
  <c r="E836" i="2"/>
  <c r="D625" i="2"/>
  <c r="F469" i="1"/>
  <c r="F942" i="1"/>
  <c r="F443" i="1"/>
  <c r="D1172" i="1"/>
  <c r="E171" i="2"/>
  <c r="E531" i="2"/>
  <c r="F379" i="2"/>
  <c r="D259" i="2"/>
  <c r="E209" i="2"/>
  <c r="D790" i="2"/>
  <c r="E839" i="1"/>
  <c r="D783" i="2"/>
  <c r="F41" i="2"/>
  <c r="D349" i="1"/>
  <c r="D317" i="1"/>
  <c r="E325" i="2"/>
  <c r="D423" i="2"/>
  <c r="F189" i="2"/>
  <c r="F480" i="2"/>
  <c r="E593" i="2"/>
  <c r="D703" i="1"/>
  <c r="E669" i="2"/>
  <c r="F767" i="1"/>
  <c r="F167" i="2"/>
  <c r="E226" i="2"/>
  <c r="F507" i="2"/>
  <c r="D285" i="2"/>
  <c r="D796" i="2"/>
  <c r="D52" i="2"/>
  <c r="F327" i="2"/>
  <c r="E833" i="2"/>
  <c r="F251" i="2"/>
  <c r="E337" i="1"/>
  <c r="D1198" i="1"/>
  <c r="D527" i="1"/>
  <c r="F566" i="1"/>
  <c r="D973" i="1"/>
  <c r="F508" i="1"/>
  <c r="F344" i="2"/>
  <c r="F107" i="2"/>
  <c r="D408" i="2"/>
  <c r="D324" i="2"/>
  <c r="E721" i="2"/>
  <c r="F819" i="1"/>
  <c r="E369" i="2"/>
  <c r="D697" i="2"/>
  <c r="E372" i="2"/>
  <c r="D493" i="1"/>
  <c r="D232" i="2"/>
  <c r="E138" i="2"/>
  <c r="F493" i="2"/>
  <c r="D294" i="2"/>
  <c r="E448" i="2"/>
  <c r="F842" i="2"/>
  <c r="F1100" i="1"/>
  <c r="D898" i="2"/>
  <c r="D74" i="2"/>
  <c r="D187" i="2"/>
  <c r="D478" i="2"/>
  <c r="F804" i="2"/>
  <c r="E128" i="2"/>
  <c r="D152" i="2"/>
  <c r="D522" i="2"/>
  <c r="D393" i="2"/>
  <c r="F628" i="2"/>
  <c r="D729" i="1"/>
  <c r="E311" i="2"/>
  <c r="F891" i="2"/>
  <c r="F240" i="2"/>
  <c r="E898" i="2"/>
  <c r="F932" i="1"/>
  <c r="F884" i="2"/>
  <c r="F1091" i="1"/>
  <c r="E8" i="1"/>
  <c r="D1132" i="1"/>
  <c r="E1083" i="1"/>
  <c r="F1177" i="1"/>
  <c r="E634" i="2"/>
  <c r="F714" i="1"/>
  <c r="F562" i="2"/>
  <c r="F701" i="1"/>
  <c r="F945" i="1"/>
  <c r="E431" i="1"/>
  <c r="E874" i="1"/>
  <c r="D468" i="1"/>
  <c r="D437" i="1"/>
  <c r="F914" i="1"/>
  <c r="E434" i="2"/>
  <c r="E710" i="1"/>
  <c r="F533" i="2"/>
  <c r="F787" i="2"/>
  <c r="D1088" i="1"/>
  <c r="D615" i="1"/>
  <c r="F1024" i="1"/>
  <c r="F1133" i="1"/>
  <c r="E619" i="1"/>
  <c r="E1062" i="1"/>
  <c r="D846" i="2"/>
  <c r="D839" i="2"/>
  <c r="F705" i="2"/>
  <c r="F267" i="1"/>
  <c r="D360" i="1"/>
  <c r="D329" i="1"/>
  <c r="D892" i="1"/>
  <c r="D390" i="1"/>
  <c r="D840" i="1"/>
  <c r="E423" i="1"/>
  <c r="D283" i="1"/>
  <c r="E871" i="1"/>
  <c r="E579" i="2"/>
  <c r="E419" i="2"/>
  <c r="F184" i="2"/>
  <c r="F40" i="2"/>
  <c r="F569" i="2"/>
  <c r="E678" i="2"/>
  <c r="E1175" i="1"/>
  <c r="E591" i="2"/>
  <c r="D885" i="1"/>
  <c r="D436" i="2"/>
  <c r="F632" i="2"/>
  <c r="D326" i="2"/>
  <c r="E718" i="2"/>
  <c r="E401" i="1"/>
  <c r="D1037" i="1"/>
  <c r="F200" i="2"/>
  <c r="E433" i="2"/>
  <c r="F755" i="1"/>
  <c r="E17" i="2"/>
  <c r="D549" i="2"/>
  <c r="E196" i="2"/>
  <c r="D737" i="2"/>
  <c r="D834" i="2"/>
  <c r="D234" i="1"/>
  <c r="D333" i="2"/>
  <c r="F124" i="2"/>
  <c r="F59" i="2"/>
  <c r="F665" i="2"/>
  <c r="E777" i="2"/>
  <c r="F309" i="2"/>
  <c r="E186" i="2"/>
  <c r="D798" i="1"/>
  <c r="F379" i="1"/>
  <c r="D290" i="1"/>
  <c r="D845" i="1"/>
  <c r="F348" i="1"/>
  <c r="E232" i="1"/>
  <c r="F282" i="2"/>
  <c r="F164" i="2"/>
  <c r="D561" i="2"/>
  <c r="F457" i="2"/>
  <c r="F586" i="2"/>
  <c r="D680" i="1"/>
  <c r="E443" i="2"/>
  <c r="F886" i="2"/>
  <c r="E337" i="2"/>
  <c r="E435" i="1"/>
  <c r="F341" i="2"/>
  <c r="E92" i="2"/>
  <c r="F621" i="2"/>
  <c r="D189" i="2"/>
  <c r="F351" i="2"/>
  <c r="D835" i="2"/>
  <c r="D214" i="2"/>
  <c r="D686" i="2"/>
  <c r="E771" i="1"/>
  <c r="E94" i="2"/>
  <c r="E381" i="2"/>
  <c r="F278" i="2"/>
  <c r="F333" i="2"/>
  <c r="E263" i="2"/>
  <c r="F879" i="2"/>
  <c r="D914" i="1"/>
  <c r="F627" i="2"/>
  <c r="F693" i="1"/>
  <c r="F614" i="1"/>
  <c r="D1021" i="1"/>
  <c r="F556" i="1"/>
  <c r="F357" i="1"/>
  <c r="F830" i="1"/>
  <c r="F331" i="1"/>
  <c r="E627" i="1"/>
  <c r="F293" i="2"/>
  <c r="E157" i="2"/>
  <c r="F573" i="2"/>
  <c r="D374" i="2"/>
  <c r="E562" i="2"/>
  <c r="F21" i="2"/>
  <c r="D192" i="2"/>
  <c r="D77" i="2"/>
  <c r="E723" i="1"/>
  <c r="E139" i="2"/>
  <c r="E515" i="2"/>
  <c r="F347" i="2"/>
  <c r="D240" i="2"/>
  <c r="E95" i="2"/>
  <c r="D758" i="2"/>
  <c r="F821" i="1"/>
  <c r="D767" i="2"/>
  <c r="F885" i="2"/>
  <c r="D424" i="2"/>
  <c r="F143" i="2"/>
  <c r="E123" i="2"/>
  <c r="E507" i="2"/>
  <c r="E674" i="2"/>
  <c r="F729" i="1"/>
  <c r="D696" i="2"/>
  <c r="E794" i="1"/>
  <c r="F490" i="2"/>
  <c r="F933" i="1"/>
  <c r="F653" i="1"/>
  <c r="D1163" i="1"/>
  <c r="F1064" i="1"/>
  <c r="D541" i="1"/>
  <c r="D509" i="1"/>
  <c r="E393" i="2"/>
  <c r="D375" i="2"/>
  <c r="F141" i="2"/>
  <c r="F407" i="2"/>
  <c r="F538" i="2"/>
  <c r="D655" i="1"/>
  <c r="D616" i="2"/>
  <c r="F719" i="1"/>
  <c r="F328" i="2"/>
  <c r="F248" i="2"/>
  <c r="D344" i="2"/>
  <c r="D292" i="2"/>
  <c r="E705" i="2"/>
  <c r="F803" i="1"/>
  <c r="E170" i="2"/>
  <c r="D665" i="2"/>
  <c r="E308" i="2"/>
  <c r="E386" i="1"/>
  <c r="D236" i="2"/>
  <c r="D104" i="2"/>
  <c r="E288" i="2"/>
  <c r="F119" i="2"/>
  <c r="D164" i="2"/>
  <c r="E580" i="2"/>
  <c r="E728" i="2"/>
  <c r="D642" i="2"/>
  <c r="E457" i="2"/>
  <c r="D55" i="2"/>
  <c r="E494" i="2"/>
  <c r="D64" i="2"/>
  <c r="D385" i="2"/>
  <c r="E638" i="2"/>
  <c r="E1013" i="1"/>
  <c r="E540" i="1"/>
  <c r="F888" i="1"/>
  <c r="D1059" i="1"/>
  <c r="F544" i="1"/>
  <c r="F987" i="1"/>
  <c r="E581" i="1"/>
  <c r="E835" i="2"/>
  <c r="F772" i="2"/>
  <c r="D695" i="2"/>
  <c r="E349" i="1"/>
  <c r="E318" i="1"/>
  <c r="F262" i="1"/>
  <c r="D323" i="1"/>
  <c r="F791" i="1"/>
  <c r="F841" i="1"/>
  <c r="F709" i="2"/>
  <c r="D784" i="1"/>
  <c r="F666" i="2"/>
  <c r="D742" i="1"/>
  <c r="D1015" i="1"/>
  <c r="F500" i="1"/>
  <c r="F943" i="1"/>
  <c r="E537" i="1"/>
  <c r="E506" i="1"/>
  <c r="D984" i="1"/>
  <c r="D511" i="1"/>
  <c r="E13" i="2"/>
  <c r="F948" i="1"/>
  <c r="F900" i="2"/>
  <c r="F1107" i="1"/>
  <c r="E904" i="1"/>
  <c r="E362" i="1"/>
  <c r="F937" i="1"/>
  <c r="D348" i="1"/>
  <c r="F665" i="1"/>
  <c r="F646" i="2"/>
  <c r="D224" i="2"/>
  <c r="D270" i="2"/>
  <c r="D444" i="2"/>
  <c r="E153" i="2"/>
  <c r="F273" i="2"/>
  <c r="D71" i="2"/>
  <c r="F1018" i="1"/>
  <c r="E1064" i="1"/>
  <c r="F586" i="1"/>
  <c r="E1166" i="1"/>
  <c r="E269" i="1"/>
  <c r="E725" i="1"/>
  <c r="E956" i="1"/>
  <c r="D833" i="1"/>
  <c r="F569" i="1"/>
  <c r="D273" i="2"/>
  <c r="F525" i="2"/>
  <c r="F800" i="1"/>
  <c r="F572" i="1"/>
  <c r="D311" i="2"/>
  <c r="D607" i="2"/>
  <c r="F837" i="2"/>
  <c r="F655" i="1"/>
  <c r="D174" i="2"/>
  <c r="D412" i="2"/>
  <c r="F739" i="1"/>
  <c r="E902" i="2"/>
  <c r="E642" i="1"/>
  <c r="F575" i="2"/>
  <c r="F256" i="2"/>
  <c r="E790" i="2"/>
  <c r="F860" i="2"/>
  <c r="D203" i="2"/>
  <c r="D287" i="1"/>
  <c r="F878" i="1"/>
  <c r="F492" i="1"/>
  <c r="D1035" i="1"/>
  <c r="D838" i="1"/>
  <c r="E483" i="1"/>
  <c r="E451" i="1"/>
  <c r="E492" i="2"/>
  <c r="F276" i="2"/>
  <c r="F212" i="2"/>
  <c r="F560" i="2"/>
  <c r="D781" i="2"/>
  <c r="D783" i="1"/>
  <c r="E749" i="2"/>
  <c r="E767" i="2"/>
  <c r="D243" i="2"/>
  <c r="F132" i="2"/>
  <c r="D545" i="2"/>
  <c r="E431" i="2"/>
  <c r="D532" i="2"/>
  <c r="D664" i="1"/>
  <c r="D562" i="2"/>
  <c r="F870" i="2"/>
  <c r="E442" i="2"/>
  <c r="E368" i="2"/>
  <c r="D119" i="2"/>
  <c r="D317" i="2"/>
  <c r="F255" i="2"/>
  <c r="E441" i="2"/>
  <c r="F38" i="2"/>
  <c r="F207" i="2"/>
  <c r="E739" i="2"/>
  <c r="E809" i="1"/>
  <c r="F1128" i="1"/>
  <c r="E467" i="1"/>
  <c r="F502" i="1"/>
  <c r="D909" i="1"/>
  <c r="D434" i="1"/>
  <c r="E82" i="2"/>
  <c r="F215" i="2"/>
  <c r="D497" i="2"/>
  <c r="E437" i="2"/>
  <c r="E785" i="2"/>
  <c r="F36" i="2"/>
  <c r="E608" i="2"/>
  <c r="F820" i="2"/>
  <c r="D402" i="2"/>
  <c r="F277" i="2"/>
  <c r="E141" i="2"/>
  <c r="F557" i="2"/>
  <c r="D358" i="2"/>
  <c r="E526" i="2"/>
  <c r="F5" i="2"/>
  <c r="D128" i="2"/>
  <c r="D61" i="2"/>
  <c r="E707" i="1"/>
  <c r="F192" i="2"/>
  <c r="D542" i="2"/>
  <c r="D401" i="2"/>
  <c r="F269" i="2"/>
  <c r="D211" i="2"/>
  <c r="E811" i="2"/>
  <c r="D850" i="1"/>
  <c r="F793" i="2"/>
  <c r="D56" i="2"/>
  <c r="F533" i="1"/>
  <c r="F1006" i="1"/>
  <c r="F507" i="1"/>
  <c r="E307" i="1"/>
  <c r="E819" i="1"/>
  <c r="F711" i="1"/>
  <c r="E176" i="2"/>
  <c r="E467" i="2"/>
  <c r="D245" i="2"/>
  <c r="E213" i="2"/>
  <c r="F136" i="2"/>
  <c r="D662" i="2"/>
  <c r="E759" i="1"/>
  <c r="D719" i="2"/>
  <c r="E793" i="1"/>
  <c r="D605" i="1"/>
  <c r="D573" i="1"/>
  <c r="E361" i="2"/>
  <c r="D359" i="2"/>
  <c r="F125" i="2"/>
  <c r="F343" i="2"/>
  <c r="D803" i="2"/>
  <c r="E68" i="2"/>
  <c r="D586" i="2"/>
  <c r="F703" i="1"/>
  <c r="E355" i="2"/>
  <c r="D129" i="2"/>
  <c r="E334" i="2"/>
  <c r="E399" i="2"/>
  <c r="E222" i="2"/>
  <c r="F503" i="2"/>
  <c r="E22" i="2"/>
  <c r="F668" i="1"/>
  <c r="E625" i="2"/>
  <c r="F702" i="1"/>
  <c r="E627" i="2"/>
  <c r="E709" i="1"/>
  <c r="E541" i="2"/>
  <c r="E680" i="1"/>
  <c r="E940" i="1"/>
  <c r="D426" i="1"/>
  <c r="D869" i="1"/>
  <c r="F462" i="1"/>
  <c r="F431" i="1"/>
  <c r="E909" i="1"/>
  <c r="E436" i="1"/>
  <c r="F903" i="2"/>
  <c r="D938" i="1"/>
  <c r="D890" i="2"/>
  <c r="D1097" i="1"/>
  <c r="E1137" i="1"/>
  <c r="E1091" i="1"/>
  <c r="D1183" i="1"/>
  <c r="F3" i="2"/>
  <c r="D649" i="1"/>
  <c r="E764" i="2"/>
  <c r="D824" i="1"/>
  <c r="F418" i="1"/>
  <c r="F387" i="1"/>
  <c r="E865" i="1"/>
  <c r="E392" i="1"/>
  <c r="E626" i="2"/>
  <c r="D911" i="1"/>
  <c r="D557" i="2"/>
  <c r="E651" i="1"/>
  <c r="F262" i="2"/>
  <c r="E670" i="2"/>
  <c r="E1029" i="1"/>
  <c r="E556" i="1"/>
  <c r="F920" i="1"/>
  <c r="E393" i="1"/>
  <c r="F669" i="1"/>
  <c r="F426" i="1"/>
  <c r="D1188" i="1"/>
  <c r="D745" i="1"/>
  <c r="D319" i="2"/>
  <c r="F436" i="2"/>
  <c r="D792" i="1"/>
  <c r="D708" i="1"/>
  <c r="D421" i="2"/>
  <c r="F545" i="1"/>
  <c r="D550" i="1"/>
  <c r="E117" i="2"/>
  <c r="D851" i="2"/>
  <c r="D651" i="2"/>
  <c r="D442" i="1"/>
  <c r="D367" i="1"/>
  <c r="D837" i="2"/>
  <c r="F717" i="2"/>
  <c r="F568" i="2"/>
  <c r="D278" i="1"/>
  <c r="F280" i="2"/>
  <c r="F548" i="2"/>
  <c r="E657" i="2"/>
  <c r="D157" i="2"/>
  <c r="E234" i="2"/>
  <c r="F140" i="2"/>
  <c r="F394" i="2"/>
  <c r="E405" i="2"/>
  <c r="F1036" i="1"/>
  <c r="D762" i="2"/>
  <c r="D123" i="2"/>
  <c r="D241" i="2"/>
  <c r="F122" i="2"/>
  <c r="D706" i="1"/>
  <c r="D740" i="1"/>
  <c r="E563" i="1"/>
  <c r="E173" i="2"/>
  <c r="F405" i="1"/>
  <c r="D957" i="1"/>
  <c r="D1108" i="1"/>
  <c r="D609" i="1"/>
  <c r="E247" i="2"/>
  <c r="F338" i="2"/>
  <c r="E257" i="2"/>
  <c r="D323" i="2"/>
  <c r="E122" i="2"/>
  <c r="D869" i="2"/>
  <c r="E903" i="1"/>
  <c r="E613" i="2"/>
  <c r="D683" i="1"/>
  <c r="E547" i="1"/>
  <c r="E515" i="1"/>
  <c r="E476" i="2"/>
  <c r="F260" i="2"/>
  <c r="F196" i="2"/>
  <c r="F544" i="2"/>
  <c r="D749" i="2"/>
  <c r="D767" i="1"/>
  <c r="E733" i="2"/>
  <c r="E639" i="2"/>
  <c r="F229" i="1"/>
  <c r="D117" i="2"/>
  <c r="D186" i="2"/>
  <c r="F571" i="2"/>
  <c r="E468" i="2"/>
  <c r="D608" i="2"/>
  <c r="F690" i="1"/>
  <c r="D489" i="2"/>
  <c r="E897" i="2"/>
  <c r="D418" i="2"/>
  <c r="E355" i="1"/>
  <c r="F869" i="1"/>
  <c r="E64" i="2"/>
  <c r="F235" i="1"/>
  <c r="D1099" i="1"/>
  <c r="F968" i="1"/>
  <c r="F278" i="1"/>
  <c r="E389" i="2"/>
  <c r="D439" i="2"/>
  <c r="D102" i="2"/>
  <c r="F496" i="2"/>
  <c r="D653" i="2"/>
  <c r="D719" i="1"/>
  <c r="E685" i="2"/>
  <c r="F783" i="1"/>
  <c r="F160" i="1"/>
  <c r="F392" i="2"/>
  <c r="F199" i="2"/>
  <c r="D481" i="2"/>
  <c r="D416" i="2"/>
  <c r="E769" i="2"/>
  <c r="F873" i="2"/>
  <c r="E544" i="2"/>
  <c r="D793" i="2"/>
  <c r="D338" i="2"/>
  <c r="F584" i="1"/>
  <c r="E304" i="2"/>
  <c r="D168" i="2"/>
  <c r="E584" i="2"/>
  <c r="F384" i="2"/>
  <c r="F583" i="2"/>
  <c r="E32" i="2"/>
  <c r="F121" i="2"/>
  <c r="E529" i="2"/>
  <c r="D734" i="1"/>
  <c r="E160" i="1"/>
  <c r="D1085" i="1"/>
  <c r="F620" i="1"/>
  <c r="F421" i="1"/>
  <c r="F894" i="1"/>
  <c r="F395" i="1"/>
  <c r="D429" i="1"/>
  <c r="E194" i="2"/>
  <c r="E93" i="2"/>
  <c r="F509" i="2"/>
  <c r="D310" i="2"/>
  <c r="D514" i="2"/>
  <c r="F858" i="2"/>
  <c r="F1116" i="1"/>
  <c r="D13" i="2"/>
  <c r="E659" i="1"/>
  <c r="E160" i="2"/>
  <c r="D450" i="2"/>
  <c r="E285" i="2"/>
  <c r="E197" i="2"/>
  <c r="D159" i="2"/>
  <c r="F622" i="2"/>
  <c r="E743" i="1"/>
  <c r="D703" i="2"/>
  <c r="E777" i="1"/>
  <c r="E498" i="1"/>
  <c r="E466" i="1"/>
  <c r="F412" i="2"/>
  <c r="E839" i="2"/>
  <c r="E354" i="2"/>
  <c r="D352" i="2"/>
  <c r="F111" i="2"/>
  <c r="D432" i="2"/>
  <c r="F715" i="2"/>
  <c r="D1026" i="1"/>
  <c r="F821" i="2"/>
  <c r="F676" i="2"/>
  <c r="D830" i="2"/>
  <c r="D730" i="2"/>
  <c r="F689" i="2"/>
  <c r="D344" i="1"/>
  <c r="D313" i="1"/>
  <c r="F317" i="1"/>
  <c r="E770" i="1"/>
  <c r="E836" i="1"/>
  <c r="F515" i="2"/>
  <c r="D649" i="2"/>
  <c r="E899" i="1"/>
  <c r="D993" i="1"/>
  <c r="E58" i="2"/>
  <c r="F314" i="1"/>
  <c r="E744" i="1"/>
  <c r="D419" i="1"/>
  <c r="D1181" i="1"/>
  <c r="D430" i="2"/>
  <c r="D270" i="1"/>
  <c r="D229" i="1"/>
  <c r="D321" i="1"/>
  <c r="F230" i="1"/>
  <c r="E409" i="2"/>
  <c r="E761" i="2"/>
  <c r="F655" i="2"/>
  <c r="F74" i="2"/>
  <c r="D495" i="2"/>
  <c r="D314" i="2"/>
  <c r="D275" i="2"/>
  <c r="F304" i="2"/>
  <c r="F6" i="2"/>
  <c r="E48" i="2"/>
  <c r="F792" i="2"/>
  <c r="E5" i="2"/>
  <c r="E598" i="2"/>
  <c r="F134" i="2"/>
  <c r="D59" i="2"/>
  <c r="F314" i="2"/>
  <c r="F296" i="2"/>
  <c r="D716" i="2"/>
  <c r="F160" i="2"/>
  <c r="F514" i="1"/>
  <c r="D921" i="1"/>
  <c r="E631" i="2"/>
  <c r="D746" i="1"/>
  <c r="F634" i="2"/>
  <c r="E739" i="1"/>
  <c r="D596" i="2"/>
  <c r="E855" i="1"/>
  <c r="D255" i="2"/>
  <c r="D368" i="2"/>
  <c r="E386" i="2"/>
  <c r="E1144" i="1"/>
  <c r="E1039" i="1"/>
  <c r="F625" i="1"/>
  <c r="F1098" i="1"/>
  <c r="D809" i="2"/>
  <c r="E576" i="2"/>
  <c r="D721" i="1"/>
  <c r="F458" i="2"/>
  <c r="E714" i="1"/>
  <c r="E607" i="2"/>
  <c r="F648" i="1"/>
  <c r="D327" i="2"/>
  <c r="D1086" i="1"/>
  <c r="D923" i="1"/>
  <c r="F1157" i="1"/>
  <c r="F1056" i="1"/>
  <c r="F1038" i="1"/>
  <c r="F539" i="1"/>
  <c r="D641" i="1"/>
  <c r="F311" i="1"/>
  <c r="D294" i="1"/>
  <c r="F926" i="1"/>
  <c r="F298" i="1"/>
  <c r="D808" i="1"/>
  <c r="D446" i="1"/>
  <c r="E1024" i="1"/>
  <c r="D1050" i="1"/>
  <c r="F1175" i="1"/>
  <c r="F363" i="1"/>
  <c r="F534" i="1"/>
  <c r="E715" i="1"/>
  <c r="F837" i="1"/>
  <c r="E1072" i="1"/>
  <c r="E915" i="1"/>
  <c r="E953" i="1"/>
  <c r="E454" i="1"/>
  <c r="E7" i="2"/>
  <c r="E805" i="1"/>
  <c r="D589" i="1"/>
  <c r="E321" i="1"/>
  <c r="D675" i="1"/>
  <c r="F1111" i="1"/>
  <c r="D298" i="1"/>
  <c r="F470" i="1"/>
  <c r="E832" i="2"/>
  <c r="F234" i="1"/>
  <c r="E1161" i="1"/>
  <c r="D989" i="1"/>
  <c r="F1093" i="1"/>
  <c r="D610" i="1"/>
  <c r="E298" i="1"/>
  <c r="F893" i="2"/>
  <c r="D1182" i="1"/>
  <c r="F377" i="1"/>
  <c r="F1045" i="1"/>
  <c r="F325" i="1"/>
  <c r="E905" i="1"/>
  <c r="D562" i="1"/>
  <c r="E233" i="1"/>
  <c r="D948" i="1"/>
  <c r="F555" i="1"/>
  <c r="F540" i="1"/>
  <c r="E1203" i="1"/>
  <c r="D1053" i="1"/>
  <c r="F396" i="1"/>
  <c r="F872" i="1"/>
  <c r="D385" i="1"/>
  <c r="F517" i="1"/>
  <c r="E1090" i="1"/>
  <c r="E647" i="1"/>
  <c r="D347" i="1"/>
  <c r="E898" i="1"/>
  <c r="D236" i="1"/>
  <c r="F1182" i="1"/>
  <c r="F742" i="1"/>
  <c r="D510" i="1"/>
  <c r="E496" i="1"/>
  <c r="F503" i="1"/>
  <c r="E153" i="1"/>
  <c r="D232" i="1"/>
  <c r="E1026" i="1"/>
  <c r="D727" i="1"/>
  <c r="F840" i="1"/>
  <c r="F563" i="2"/>
  <c r="D838" i="2"/>
  <c r="E360" i="2"/>
  <c r="D581" i="2"/>
  <c r="D756" i="2"/>
  <c r="E410" i="2"/>
  <c r="E76" i="2"/>
  <c r="E504" i="2"/>
  <c r="D584" i="2"/>
  <c r="D806" i="2"/>
  <c r="F786" i="2"/>
  <c r="D472" i="2"/>
  <c r="D332" i="2"/>
  <c r="E818" i="2"/>
  <c r="D134" i="2"/>
  <c r="E313" i="2"/>
  <c r="E306" i="1"/>
  <c r="D1111" i="1"/>
  <c r="F992" i="1"/>
  <c r="F762" i="2"/>
  <c r="D72" i="2"/>
  <c r="F805" i="2"/>
  <c r="D63" i="2"/>
  <c r="D799" i="2"/>
  <c r="D735" i="1"/>
  <c r="D390" i="2"/>
  <c r="D208" i="2"/>
  <c r="E375" i="2"/>
  <c r="F788" i="1"/>
  <c r="F65" i="2"/>
  <c r="F277" i="1"/>
  <c r="D1177" i="1"/>
  <c r="D69" i="2"/>
  <c r="D160" i="2"/>
  <c r="F699" i="2"/>
  <c r="D351" i="2"/>
  <c r="E686" i="2"/>
  <c r="F326" i="2"/>
  <c r="E517" i="2"/>
  <c r="E416" i="2"/>
  <c r="D497" i="1"/>
  <c r="F910" i="1"/>
  <c r="E812" i="1"/>
  <c r="E690" i="1"/>
  <c r="D1117" i="1"/>
  <c r="F6" i="1"/>
  <c r="E817" i="1"/>
  <c r="F427" i="1"/>
  <c r="F161" i="1"/>
  <c r="F598" i="1"/>
  <c r="F360" i="1"/>
  <c r="D1003" i="1"/>
  <c r="E598" i="1"/>
  <c r="F645" i="1"/>
  <c r="E406" i="1"/>
  <c r="D428" i="1"/>
  <c r="D941" i="1"/>
  <c r="F633" i="1"/>
  <c r="E326" i="1"/>
  <c r="E824" i="1"/>
  <c r="E1145" i="1"/>
  <c r="E646" i="1"/>
  <c r="F1031" i="1"/>
  <c r="E567" i="1"/>
  <c r="F1054" i="1"/>
  <c r="D397" i="1"/>
  <c r="E368" i="1"/>
  <c r="F796" i="2"/>
  <c r="E595" i="1"/>
  <c r="E339" i="1"/>
  <c r="E1033" i="1"/>
  <c r="D364" i="1"/>
  <c r="D877" i="1"/>
  <c r="E548" i="1"/>
  <c r="F990" i="1"/>
  <c r="F619" i="1"/>
  <c r="F567" i="1"/>
  <c r="E304" i="1"/>
  <c r="F775" i="1"/>
  <c r="F1166" i="1"/>
  <c r="D987" i="1"/>
  <c r="E56" i="2"/>
  <c r="D868" i="1"/>
  <c r="D369" i="1"/>
  <c r="E896" i="1"/>
  <c r="E779" i="1"/>
  <c r="E391" i="1"/>
  <c r="E577" i="1"/>
  <c r="D1078" i="1"/>
  <c r="D620" i="1"/>
  <c r="D1133" i="1"/>
  <c r="F332" i="1"/>
  <c r="E1107" i="1"/>
  <c r="F616" i="1"/>
  <c r="F981" i="1"/>
  <c r="D815" i="1"/>
  <c r="E1008" i="1"/>
  <c r="F428" i="1"/>
  <c r="D1166" i="1"/>
  <c r="D1124" i="1"/>
  <c r="D625" i="1"/>
  <c r="F983" i="1"/>
  <c r="D626" i="1"/>
  <c r="F342" i="1"/>
  <c r="D293" i="1"/>
  <c r="F364" i="1"/>
  <c r="F1109" i="1"/>
  <c r="D411" i="1"/>
  <c r="E969" i="1"/>
  <c r="F604" i="1"/>
  <c r="D156" i="1"/>
  <c r="E519" i="1"/>
  <c r="E238" i="1"/>
  <c r="F453" i="1"/>
  <c r="E470" i="1"/>
  <c r="F29" i="2"/>
  <c r="E39" i="2"/>
  <c r="F940" i="1"/>
  <c r="D643" i="2"/>
  <c r="D250" i="2"/>
  <c r="D551" i="2"/>
  <c r="F718" i="1"/>
  <c r="E474" i="2"/>
  <c r="E814" i="1"/>
  <c r="D526" i="2"/>
  <c r="F441" i="2"/>
  <c r="F485" i="2"/>
  <c r="F214" i="2"/>
  <c r="E349" i="2"/>
  <c r="E210" i="2"/>
  <c r="E644" i="2"/>
  <c r="E801" i="2"/>
  <c r="F589" i="2"/>
  <c r="E473" i="2"/>
  <c r="F386" i="2"/>
  <c r="D1184" i="1"/>
  <c r="D900" i="2"/>
  <c r="F499" i="2"/>
  <c r="E806" i="1"/>
  <c r="D644" i="2"/>
  <c r="F799" i="1"/>
  <c r="E701" i="2"/>
  <c r="F37" i="2"/>
  <c r="D513" i="2"/>
  <c r="D473" i="2"/>
  <c r="F159" i="2"/>
  <c r="D403" i="1"/>
  <c r="D876" i="1"/>
  <c r="E398" i="1"/>
  <c r="E429" i="1"/>
  <c r="F835" i="1"/>
  <c r="D775" i="2"/>
  <c r="F660" i="1"/>
  <c r="E14" i="2"/>
  <c r="D654" i="1"/>
  <c r="F7" i="2"/>
  <c r="E1111" i="1"/>
  <c r="D94" i="2"/>
  <c r="F187" i="2"/>
  <c r="E484" i="1"/>
  <c r="E1187" i="1"/>
  <c r="E889" i="1"/>
  <c r="E390" i="1"/>
  <c r="D277" i="1"/>
  <c r="D492" i="1"/>
  <c r="D1005" i="1"/>
  <c r="E161" i="1"/>
  <c r="D449" i="1"/>
  <c r="E560" i="1"/>
  <c r="E1154" i="1"/>
  <c r="F389" i="1"/>
  <c r="E962" i="1"/>
  <c r="D1131" i="1"/>
  <c r="D669" i="1"/>
  <c r="D958" i="1"/>
  <c r="F792" i="1"/>
  <c r="D305" i="1"/>
  <c r="D1142" i="1"/>
  <c r="F313" i="1"/>
  <c r="E841" i="1"/>
  <c r="D498" i="1"/>
  <c r="D884" i="1"/>
  <c r="F491" i="1"/>
  <c r="F238" i="1"/>
  <c r="E403" i="1"/>
  <c r="D1067" i="1"/>
  <c r="D1197" i="1"/>
  <c r="D418" i="1"/>
  <c r="F524" i="1"/>
  <c r="E1074" i="1"/>
  <c r="D1060" i="1"/>
  <c r="D561" i="1"/>
  <c r="E946" i="1"/>
  <c r="D482" i="1"/>
  <c r="D539" i="1"/>
  <c r="D1076" i="1"/>
  <c r="F269" i="1"/>
  <c r="D862" i="1"/>
  <c r="F853" i="1"/>
  <c r="D333" i="1"/>
  <c r="E385" i="1"/>
  <c r="D694" i="1"/>
  <c r="E832" i="1"/>
  <c r="E760" i="1"/>
  <c r="D231" i="1"/>
  <c r="D603" i="1"/>
  <c r="E582" i="1"/>
  <c r="D996" i="1"/>
  <c r="F901" i="1"/>
  <c r="D764" i="1"/>
  <c r="E1202" i="1"/>
  <c r="F276" i="1"/>
  <c r="E1152" i="1"/>
  <c r="F271" i="1"/>
  <c r="E960" i="1"/>
  <c r="E947" i="1"/>
  <c r="E264" i="1"/>
  <c r="F476" i="1"/>
  <c r="F236" i="1"/>
  <c r="E641" i="1"/>
  <c r="F1160" i="1"/>
  <c r="E1135" i="1"/>
  <c r="F919" i="1"/>
  <c r="D875" i="1"/>
  <c r="D669" i="2"/>
  <c r="D23" i="2"/>
  <c r="D794" i="2"/>
  <c r="D370" i="2"/>
  <c r="E418" i="2"/>
  <c r="D200" i="2"/>
  <c r="F512" i="2"/>
  <c r="E190" i="2"/>
  <c r="F492" i="2"/>
  <c r="E847" i="1"/>
  <c r="E720" i="1"/>
  <c r="E717" i="1"/>
  <c r="D288" i="2"/>
  <c r="E403" i="2"/>
  <c r="D143" i="2"/>
  <c r="E594" i="2"/>
  <c r="F216" i="2"/>
  <c r="E853" i="2"/>
  <c r="D167" i="2"/>
  <c r="F369" i="1"/>
  <c r="F842" i="1"/>
  <c r="F744" i="2"/>
  <c r="E218" i="2"/>
  <c r="E845" i="2"/>
  <c r="E269" i="2"/>
  <c r="F838" i="2"/>
  <c r="E411" i="2"/>
  <c r="D685" i="2"/>
  <c r="F433" i="2"/>
  <c r="E651" i="2"/>
  <c r="E297" i="2"/>
  <c r="D548" i="1"/>
  <c r="E954" i="1"/>
  <c r="E511" i="1"/>
  <c r="F1025" i="1"/>
  <c r="F784" i="1"/>
  <c r="E677" i="2"/>
  <c r="F794" i="1"/>
  <c r="E720" i="2"/>
  <c r="D788" i="1"/>
  <c r="F713" i="2"/>
  <c r="D754" i="1"/>
  <c r="E136" i="2"/>
  <c r="E1081" i="1"/>
  <c r="F326" i="1"/>
  <c r="F411" i="1"/>
  <c r="F967" i="1"/>
  <c r="D399" i="1"/>
  <c r="F781" i="1"/>
  <c r="D1195" i="1"/>
  <c r="E657" i="1"/>
  <c r="E237" i="1"/>
  <c r="F1047" i="1"/>
  <c r="F406" i="1"/>
  <c r="F855" i="1"/>
  <c r="D450" i="1"/>
  <c r="F1173" i="1"/>
  <c r="D577" i="1"/>
  <c r="E482" i="1"/>
  <c r="F862" i="1"/>
  <c r="F1159" i="1"/>
  <c r="D1179" i="1"/>
  <c r="E882" i="1"/>
  <c r="E880" i="1"/>
  <c r="F678" i="1"/>
  <c r="D463" i="1"/>
  <c r="D161" i="1"/>
  <c r="E513" i="1"/>
  <c r="D990" i="1"/>
  <c r="E234" i="1"/>
  <c r="D556" i="1"/>
  <c r="D1069" i="1"/>
  <c r="E299" i="1"/>
  <c r="E157" i="1"/>
  <c r="D513" i="1"/>
  <c r="D7" i="1"/>
  <c r="E624" i="1"/>
  <c r="E265" i="1"/>
  <c r="D233" i="1"/>
  <c r="E531" i="1"/>
  <c r="E449" i="1"/>
  <c r="F904" i="1"/>
  <c r="E503" i="1"/>
  <c r="F16" i="2"/>
  <c r="E1138" i="1"/>
  <c r="F588" i="1"/>
  <c r="F1028" i="1"/>
  <c r="E583" i="1"/>
  <c r="D276" i="1"/>
  <c r="E834" i="1"/>
  <c r="F158" i="1"/>
  <c r="F1118" i="1"/>
  <c r="E754" i="1"/>
  <c r="E432" i="1"/>
  <c r="E703" i="2"/>
  <c r="F424" i="1"/>
  <c r="D382" i="1"/>
  <c r="E1097" i="1"/>
  <c r="D475" i="1"/>
  <c r="D1012" i="1"/>
  <c r="D306" i="1"/>
  <c r="F903" i="1"/>
  <c r="F974" i="1"/>
  <c r="F475" i="1"/>
  <c r="D861" i="1"/>
  <c r="D370" i="1"/>
  <c r="D318" i="1"/>
  <c r="D939" i="1"/>
  <c r="E534" i="1"/>
  <c r="F581" i="1"/>
  <c r="D1140" i="1"/>
  <c r="E342" i="1"/>
  <c r="D1022" i="1"/>
  <c r="E418" i="1"/>
  <c r="F917" i="1"/>
  <c r="E1088" i="1"/>
  <c r="E2" i="2"/>
  <c r="F2" i="2"/>
  <c r="D2" i="2"/>
  <c r="B239" i="1" l="1"/>
  <c r="A238" i="3"/>
  <c r="C4" i="3"/>
  <c r="B9" i="1"/>
  <c r="A8" i="3"/>
  <c r="D7" i="3"/>
  <c r="B7" i="3"/>
  <c r="C7" i="3"/>
  <c r="B162" i="1"/>
  <c r="A161" i="3"/>
  <c r="D6" i="3"/>
  <c r="D5" i="3"/>
  <c r="B4" i="3"/>
  <c r="C3" i="3"/>
  <c r="D4" i="3"/>
  <c r="D3" i="3"/>
  <c r="A239" i="3" l="1"/>
  <c r="B240" i="1"/>
  <c r="E239" i="1"/>
  <c r="D239" i="1"/>
  <c r="F239" i="1"/>
  <c r="A162" i="3"/>
  <c r="B163" i="1"/>
  <c r="F162" i="1"/>
  <c r="E162" i="1"/>
  <c r="D162" i="1"/>
  <c r="A9" i="3"/>
  <c r="B10" i="1"/>
  <c r="F9" i="1"/>
  <c r="D9" i="1"/>
  <c r="E9" i="1"/>
  <c r="B8" i="3"/>
  <c r="C8" i="3"/>
  <c r="D8" i="3"/>
  <c r="B241" i="1" l="1"/>
  <c r="A240" i="3"/>
  <c r="E240" i="1"/>
  <c r="D240" i="1"/>
  <c r="F240" i="1"/>
  <c r="B11" i="1"/>
  <c r="A10" i="3"/>
  <c r="E10" i="1"/>
  <c r="F10" i="1"/>
  <c r="D10" i="1"/>
  <c r="B9" i="3"/>
  <c r="C9" i="3"/>
  <c r="D9" i="3"/>
  <c r="B164" i="1"/>
  <c r="A163" i="3"/>
  <c r="F163" i="1"/>
  <c r="E163" i="1"/>
  <c r="D163" i="1"/>
  <c r="B242" i="1" l="1"/>
  <c r="A241" i="3"/>
  <c r="F241" i="1"/>
  <c r="D241" i="1"/>
  <c r="E241" i="1"/>
  <c r="D10" i="3"/>
  <c r="B10" i="3"/>
  <c r="C10" i="3"/>
  <c r="B165" i="1"/>
  <c r="A164" i="3"/>
  <c r="F164" i="1"/>
  <c r="E164" i="1"/>
  <c r="D164" i="1"/>
  <c r="A11" i="3"/>
  <c r="B12" i="1"/>
  <c r="D11" i="1"/>
  <c r="E11" i="1"/>
  <c r="F11" i="1"/>
  <c r="B243" i="1" l="1"/>
  <c r="A242" i="3"/>
  <c r="D242" i="1"/>
  <c r="E242" i="1"/>
  <c r="F242" i="1"/>
  <c r="D11" i="3"/>
  <c r="B11" i="3"/>
  <c r="C11" i="3"/>
  <c r="B13" i="1"/>
  <c r="A12" i="3"/>
  <c r="D12" i="1"/>
  <c r="E12" i="1"/>
  <c r="F12" i="1"/>
  <c r="A165" i="3"/>
  <c r="B166" i="1"/>
  <c r="F165" i="1"/>
  <c r="D165" i="1"/>
  <c r="E165" i="1"/>
  <c r="F243" i="1" l="1"/>
  <c r="D243" i="1"/>
  <c r="E243" i="1"/>
  <c r="B244" i="1"/>
  <c r="A243" i="3"/>
  <c r="B12" i="3"/>
  <c r="D12" i="3"/>
  <c r="C12" i="3"/>
  <c r="B14" i="1"/>
  <c r="A13" i="3"/>
  <c r="D13" i="1"/>
  <c r="E13" i="1"/>
  <c r="F13" i="1"/>
  <c r="B167" i="1"/>
  <c r="A166" i="3"/>
  <c r="F166" i="1"/>
  <c r="D166" i="1"/>
  <c r="E166" i="1"/>
  <c r="B245" i="1" l="1"/>
  <c r="E244" i="1"/>
  <c r="A244" i="3"/>
  <c r="F244" i="1"/>
  <c r="D244" i="1"/>
  <c r="B13" i="3"/>
  <c r="C13" i="3"/>
  <c r="D13" i="3"/>
  <c r="B15" i="1"/>
  <c r="A14" i="3"/>
  <c r="E14" i="1"/>
  <c r="F14" i="1"/>
  <c r="D14" i="1"/>
  <c r="B168" i="1"/>
  <c r="A167" i="3"/>
  <c r="E167" i="1"/>
  <c r="F167" i="1"/>
  <c r="D167" i="1"/>
  <c r="E245" i="1" l="1"/>
  <c r="D245" i="1"/>
  <c r="B246" i="1"/>
  <c r="F245" i="1"/>
  <c r="A245" i="3"/>
  <c r="D14" i="3"/>
  <c r="B14" i="3"/>
  <c r="C14" i="3"/>
  <c r="B169" i="1"/>
  <c r="A168" i="3"/>
  <c r="D168" i="1"/>
  <c r="F168" i="1"/>
  <c r="E168" i="1"/>
  <c r="A15" i="3"/>
  <c r="B16" i="1"/>
  <c r="F15" i="1"/>
  <c r="E15" i="1"/>
  <c r="D15" i="1"/>
  <c r="E246" i="1" l="1"/>
  <c r="B247" i="1"/>
  <c r="D246" i="1"/>
  <c r="F246" i="1"/>
  <c r="A246" i="3"/>
  <c r="B17" i="1"/>
  <c r="A16" i="3"/>
  <c r="E16" i="1"/>
  <c r="D16" i="1"/>
  <c r="F16" i="1"/>
  <c r="D15" i="3"/>
  <c r="B15" i="3"/>
  <c r="C15" i="3"/>
  <c r="A169" i="3"/>
  <c r="B170" i="1"/>
  <c r="F169" i="1"/>
  <c r="E169" i="1"/>
  <c r="D169" i="1"/>
  <c r="F247" i="1" l="1"/>
  <c r="D247" i="1"/>
  <c r="B248" i="1"/>
  <c r="E247" i="1"/>
  <c r="A247" i="3"/>
  <c r="B171" i="1"/>
  <c r="A170" i="3"/>
  <c r="E170" i="1"/>
  <c r="D170" i="1"/>
  <c r="F170" i="1"/>
  <c r="B16" i="3"/>
  <c r="C16" i="3"/>
  <c r="D16" i="3"/>
  <c r="B18" i="1"/>
  <c r="A17" i="3"/>
  <c r="F17" i="1"/>
  <c r="D17" i="1"/>
  <c r="E17" i="1"/>
  <c r="E248" i="1" l="1"/>
  <c r="B249" i="1"/>
  <c r="D248" i="1"/>
  <c r="F248" i="1"/>
  <c r="A248" i="3"/>
  <c r="D17" i="3"/>
  <c r="B17" i="3"/>
  <c r="C17" i="3"/>
  <c r="B19" i="1"/>
  <c r="A18" i="3"/>
  <c r="D18" i="1"/>
  <c r="F18" i="1"/>
  <c r="E18" i="1"/>
  <c r="B172" i="1"/>
  <c r="A171" i="3"/>
  <c r="D171" i="1"/>
  <c r="E171" i="1"/>
  <c r="F171" i="1"/>
  <c r="F249" i="1" l="1"/>
  <c r="D249" i="1"/>
  <c r="B250" i="1"/>
  <c r="E249" i="1"/>
  <c r="A249" i="3"/>
  <c r="A19" i="3"/>
  <c r="B20" i="1"/>
  <c r="E19" i="1"/>
  <c r="F19" i="1"/>
  <c r="D19" i="1"/>
  <c r="B173" i="1"/>
  <c r="A172" i="3"/>
  <c r="F172" i="1"/>
  <c r="E172" i="1"/>
  <c r="D172" i="1"/>
  <c r="D18" i="3"/>
  <c r="C18" i="3"/>
  <c r="B18" i="3"/>
  <c r="B251" i="1" l="1"/>
  <c r="E250" i="1"/>
  <c r="D250" i="1"/>
  <c r="F250" i="1"/>
  <c r="A250" i="3"/>
  <c r="A20" i="3"/>
  <c r="B21" i="1"/>
  <c r="F20" i="1"/>
  <c r="D20" i="1"/>
  <c r="E20" i="1"/>
  <c r="A173" i="3"/>
  <c r="B174" i="1"/>
  <c r="D173" i="1"/>
  <c r="E173" i="1"/>
  <c r="F173" i="1"/>
  <c r="B19" i="3"/>
  <c r="C19" i="3"/>
  <c r="D19" i="3"/>
  <c r="B252" i="1" l="1"/>
  <c r="F251" i="1"/>
  <c r="E251" i="1"/>
  <c r="A251" i="3"/>
  <c r="D251" i="1"/>
  <c r="A174" i="3"/>
  <c r="B175" i="1"/>
  <c r="E174" i="1"/>
  <c r="F174" i="1"/>
  <c r="D174" i="1"/>
  <c r="B22" i="1"/>
  <c r="A21" i="3"/>
  <c r="E21" i="1"/>
  <c r="F21" i="1"/>
  <c r="D21" i="1"/>
  <c r="D20" i="3"/>
  <c r="C20" i="3"/>
  <c r="B20" i="3"/>
  <c r="E252" i="1" l="1"/>
  <c r="D252" i="1"/>
  <c r="B253" i="1"/>
  <c r="F252" i="1"/>
  <c r="A252" i="3"/>
  <c r="B21" i="3"/>
  <c r="D21" i="3"/>
  <c r="C21" i="3"/>
  <c r="B23" i="1"/>
  <c r="A22" i="3"/>
  <c r="D22" i="1"/>
  <c r="E22" i="1"/>
  <c r="F22" i="1"/>
  <c r="B176" i="1"/>
  <c r="A175" i="3"/>
  <c r="F175" i="1"/>
  <c r="E175" i="1"/>
  <c r="D175" i="1"/>
  <c r="F253" i="1" l="1"/>
  <c r="E253" i="1"/>
  <c r="D253" i="1"/>
  <c r="B254" i="1"/>
  <c r="A253" i="3"/>
  <c r="B177" i="1"/>
  <c r="A176" i="3"/>
  <c r="D176" i="1"/>
  <c r="F176" i="1"/>
  <c r="E176" i="1"/>
  <c r="D22" i="3"/>
  <c r="C22" i="3"/>
  <c r="B22" i="3"/>
  <c r="A23" i="3"/>
  <c r="B24" i="1"/>
  <c r="F23" i="1"/>
  <c r="D23" i="1"/>
  <c r="E23" i="1"/>
  <c r="F254" i="1" l="1"/>
  <c r="B255" i="1"/>
  <c r="D254" i="1"/>
  <c r="E254" i="1"/>
  <c r="A254" i="3"/>
  <c r="B23" i="3"/>
  <c r="C23" i="3"/>
  <c r="D23" i="3"/>
  <c r="B25" i="1"/>
  <c r="A24" i="3"/>
  <c r="E24" i="1"/>
  <c r="D24" i="1"/>
  <c r="F24" i="1"/>
  <c r="B178" i="1"/>
  <c r="A177" i="3"/>
  <c r="D177" i="1"/>
  <c r="F177" i="1"/>
  <c r="E177" i="1"/>
  <c r="E255" i="1" l="1"/>
  <c r="B256" i="1"/>
  <c r="F255" i="1"/>
  <c r="A255" i="3"/>
  <c r="D255" i="1"/>
  <c r="D24" i="3"/>
  <c r="C24" i="3"/>
  <c r="B24" i="3"/>
  <c r="A25" i="3"/>
  <c r="B26" i="1"/>
  <c r="F25" i="1"/>
  <c r="E25" i="1"/>
  <c r="D25" i="1"/>
  <c r="B179" i="1"/>
  <c r="A178" i="3"/>
  <c r="E178" i="1"/>
  <c r="D178" i="1"/>
  <c r="F178" i="1"/>
  <c r="D256" i="1" l="1"/>
  <c r="F256" i="1"/>
  <c r="B257" i="1"/>
  <c r="E256" i="1"/>
  <c r="A256" i="3"/>
  <c r="B27" i="1"/>
  <c r="A26" i="3"/>
  <c r="F26" i="1"/>
  <c r="E26" i="1"/>
  <c r="D26" i="1"/>
  <c r="B180" i="1"/>
  <c r="A179" i="3"/>
  <c r="D179" i="1"/>
  <c r="F179" i="1"/>
  <c r="E179" i="1"/>
  <c r="C25" i="3"/>
  <c r="B25" i="3"/>
  <c r="D25" i="3"/>
  <c r="D257" i="1" l="1"/>
  <c r="B258" i="1"/>
  <c r="F257" i="1"/>
  <c r="A257" i="3"/>
  <c r="E257" i="1"/>
  <c r="D26" i="3"/>
  <c r="C26" i="3"/>
  <c r="B26" i="3"/>
  <c r="A27" i="3"/>
  <c r="B28" i="1"/>
  <c r="D27" i="1"/>
  <c r="F27" i="1"/>
  <c r="E27" i="1"/>
  <c r="B181" i="1"/>
  <c r="A180" i="3"/>
  <c r="F180" i="1"/>
  <c r="D180" i="1"/>
  <c r="E180" i="1"/>
  <c r="D258" i="1" l="1"/>
  <c r="A258" i="3"/>
  <c r="B259" i="1"/>
  <c r="E258" i="1"/>
  <c r="F258" i="1"/>
  <c r="A28" i="3"/>
  <c r="B29" i="1"/>
  <c r="F28" i="1"/>
  <c r="D28" i="1"/>
  <c r="E28" i="1"/>
  <c r="A181" i="3"/>
  <c r="B182" i="1"/>
  <c r="E181" i="1"/>
  <c r="D181" i="1"/>
  <c r="F181" i="1"/>
  <c r="B27" i="3"/>
  <c r="C27" i="3"/>
  <c r="D27" i="3"/>
  <c r="B260" i="1" l="1"/>
  <c r="F259" i="1"/>
  <c r="E259" i="1"/>
  <c r="D259" i="1"/>
  <c r="A259" i="3"/>
  <c r="B183" i="1"/>
  <c r="A182" i="3"/>
  <c r="F182" i="1"/>
  <c r="D182" i="1"/>
  <c r="E182" i="1"/>
  <c r="B30" i="1"/>
  <c r="A29" i="3"/>
  <c r="D29" i="1"/>
  <c r="F29" i="1"/>
  <c r="E29" i="1"/>
  <c r="D28" i="3"/>
  <c r="B28" i="3"/>
  <c r="C28" i="3"/>
  <c r="D260" i="1" l="1"/>
  <c r="B261" i="1"/>
  <c r="F260" i="1"/>
  <c r="A260" i="3"/>
  <c r="E260" i="1"/>
  <c r="C29" i="3"/>
  <c r="B29" i="3"/>
  <c r="D29" i="3"/>
  <c r="B184" i="1"/>
  <c r="A183" i="3"/>
  <c r="F183" i="1"/>
  <c r="E183" i="1"/>
  <c r="D183" i="1"/>
  <c r="B31" i="1"/>
  <c r="A30" i="3"/>
  <c r="F30" i="1"/>
  <c r="E30" i="1"/>
  <c r="D30" i="1"/>
  <c r="D261" i="1" l="1"/>
  <c r="A261" i="3"/>
  <c r="F261" i="1"/>
  <c r="E261" i="1"/>
  <c r="A31" i="3"/>
  <c r="B32" i="1"/>
  <c r="D31" i="1"/>
  <c r="F31" i="1"/>
  <c r="E31" i="1"/>
  <c r="A184" i="3"/>
  <c r="B185" i="1"/>
  <c r="F184" i="1"/>
  <c r="E184" i="1"/>
  <c r="D184" i="1"/>
  <c r="D30" i="3"/>
  <c r="C30" i="3"/>
  <c r="B30" i="3"/>
  <c r="A185" i="3" l="1"/>
  <c r="B186" i="1"/>
  <c r="F185" i="1"/>
  <c r="D185" i="1"/>
  <c r="E185" i="1"/>
  <c r="B33" i="1"/>
  <c r="A32" i="3"/>
  <c r="D32" i="1"/>
  <c r="E32" i="1"/>
  <c r="F32" i="1"/>
  <c r="B31" i="3"/>
  <c r="C31" i="3"/>
  <c r="D31" i="3"/>
  <c r="D32" i="3" l="1"/>
  <c r="C32" i="3"/>
  <c r="B32" i="3"/>
  <c r="B34" i="1"/>
  <c r="A33" i="3"/>
  <c r="D33" i="1"/>
  <c r="E33" i="1"/>
  <c r="F33" i="1"/>
  <c r="B187" i="1"/>
  <c r="A186" i="3"/>
  <c r="F186" i="1"/>
  <c r="E186" i="1"/>
  <c r="D186" i="1"/>
  <c r="B188" i="1" l="1"/>
  <c r="A187" i="3"/>
  <c r="D187" i="1"/>
  <c r="F187" i="1"/>
  <c r="E187" i="1"/>
  <c r="D33" i="3"/>
  <c r="C33" i="3"/>
  <c r="B33" i="3"/>
  <c r="B35" i="1"/>
  <c r="A34" i="3"/>
  <c r="E34" i="1"/>
  <c r="F34" i="1"/>
  <c r="D34" i="1"/>
  <c r="D34" i="3" l="1"/>
  <c r="C34" i="3"/>
  <c r="B34" i="3"/>
  <c r="A35" i="3"/>
  <c r="B36" i="1"/>
  <c r="D35" i="1"/>
  <c r="E35" i="1"/>
  <c r="F35" i="1"/>
  <c r="B189" i="1"/>
  <c r="A188" i="3"/>
  <c r="E188" i="1"/>
  <c r="F188" i="1"/>
  <c r="D188" i="1"/>
  <c r="B190" i="1" l="1"/>
  <c r="A189" i="3"/>
  <c r="D189" i="1"/>
  <c r="E189" i="1"/>
  <c r="F189" i="1"/>
  <c r="A36" i="3"/>
  <c r="B37" i="1"/>
  <c r="D36" i="1"/>
  <c r="E36" i="1"/>
  <c r="F36" i="1"/>
  <c r="B35" i="3"/>
  <c r="C35" i="3"/>
  <c r="D35" i="3"/>
  <c r="B38" i="1" l="1"/>
  <c r="A37" i="3"/>
  <c r="E37" i="1"/>
  <c r="D37" i="1"/>
  <c r="F37" i="1"/>
  <c r="D36" i="3"/>
  <c r="C36" i="3"/>
  <c r="B36" i="3"/>
  <c r="B191" i="1"/>
  <c r="A190" i="3"/>
  <c r="F190" i="1"/>
  <c r="D190" i="1"/>
  <c r="E190" i="1"/>
  <c r="B192" i="1" l="1"/>
  <c r="A191" i="3"/>
  <c r="D191" i="1"/>
  <c r="E191" i="1"/>
  <c r="F191" i="1"/>
  <c r="D37" i="3"/>
  <c r="B37" i="3"/>
  <c r="C37" i="3"/>
  <c r="B39" i="1"/>
  <c r="A38" i="3"/>
  <c r="E38" i="1"/>
  <c r="F38" i="1"/>
  <c r="D38" i="1"/>
  <c r="D38" i="3" l="1"/>
  <c r="C38" i="3"/>
  <c r="B38" i="3"/>
  <c r="A39" i="3"/>
  <c r="B40" i="1"/>
  <c r="E39" i="1"/>
  <c r="F39" i="1"/>
  <c r="D39" i="1"/>
  <c r="B193" i="1"/>
  <c r="A192" i="3"/>
  <c r="F192" i="1"/>
  <c r="E192" i="1"/>
  <c r="D192" i="1"/>
  <c r="B194" i="1" l="1"/>
  <c r="A193" i="3"/>
  <c r="E193" i="1"/>
  <c r="F193" i="1"/>
  <c r="D193" i="1"/>
  <c r="B41" i="1"/>
  <c r="A40" i="3"/>
  <c r="E40" i="1"/>
  <c r="F40" i="1"/>
  <c r="D40" i="1"/>
  <c r="B39" i="3"/>
  <c r="C39" i="3"/>
  <c r="D39" i="3"/>
  <c r="A41" i="3" l="1"/>
  <c r="B42" i="1"/>
  <c r="D41" i="1"/>
  <c r="F41" i="1"/>
  <c r="E41" i="1"/>
  <c r="B40" i="3"/>
  <c r="D40" i="3"/>
  <c r="C40" i="3"/>
  <c r="A194" i="3"/>
  <c r="B195" i="1"/>
  <c r="E194" i="1"/>
  <c r="F194" i="1"/>
  <c r="D194" i="1"/>
  <c r="B43" i="1" l="1"/>
  <c r="A42" i="3"/>
  <c r="F42" i="1"/>
  <c r="E42" i="1"/>
  <c r="D42" i="1"/>
  <c r="B196" i="1"/>
  <c r="A195" i="3"/>
  <c r="E195" i="1"/>
  <c r="D195" i="1"/>
  <c r="F195" i="1"/>
  <c r="C41" i="3"/>
  <c r="B41" i="3"/>
  <c r="D41" i="3"/>
  <c r="D42" i="3" l="1"/>
  <c r="C42" i="3"/>
  <c r="B42" i="3"/>
  <c r="B197" i="1"/>
  <c r="A196" i="3"/>
  <c r="D196" i="1"/>
  <c r="E196" i="1"/>
  <c r="F196" i="1"/>
  <c r="A43" i="3"/>
  <c r="B44" i="1"/>
  <c r="F43" i="1"/>
  <c r="E43" i="1"/>
  <c r="D43" i="1"/>
  <c r="B45" i="1" l="1"/>
  <c r="A44" i="3"/>
  <c r="E44" i="1"/>
  <c r="F44" i="1"/>
  <c r="D44" i="1"/>
  <c r="B43" i="3"/>
  <c r="C43" i="3"/>
  <c r="D43" i="3"/>
  <c r="B198" i="1"/>
  <c r="A197" i="3"/>
  <c r="E197" i="1"/>
  <c r="F197" i="1"/>
  <c r="D197" i="1"/>
  <c r="B199" i="1" l="1"/>
  <c r="A198" i="3"/>
  <c r="D198" i="1"/>
  <c r="E198" i="1"/>
  <c r="F198" i="1"/>
  <c r="D44" i="3"/>
  <c r="C44" i="3"/>
  <c r="B44" i="3"/>
  <c r="B46" i="1"/>
  <c r="A45" i="3"/>
  <c r="E45" i="1"/>
  <c r="D45" i="1"/>
  <c r="F45" i="1"/>
  <c r="D45" i="3" l="1"/>
  <c r="C45" i="3"/>
  <c r="B45" i="3"/>
  <c r="B47" i="1"/>
  <c r="A46" i="3"/>
  <c r="D46" i="1"/>
  <c r="E46" i="1"/>
  <c r="F46" i="1"/>
  <c r="B200" i="1"/>
  <c r="A199" i="3"/>
  <c r="E199" i="1"/>
  <c r="D199" i="1"/>
  <c r="F199" i="1"/>
  <c r="B201" i="1" l="1"/>
  <c r="A200" i="3"/>
  <c r="F200" i="1"/>
  <c r="E200" i="1"/>
  <c r="D200" i="1"/>
  <c r="D46" i="3"/>
  <c r="C46" i="3"/>
  <c r="B46" i="3"/>
  <c r="A47" i="3"/>
  <c r="B48" i="1"/>
  <c r="F47" i="1"/>
  <c r="D47" i="1"/>
  <c r="E47" i="1"/>
  <c r="B49" i="1" l="1"/>
  <c r="A48" i="3"/>
  <c r="D48" i="1"/>
  <c r="E48" i="1"/>
  <c r="F48" i="1"/>
  <c r="B47" i="3"/>
  <c r="C47" i="3"/>
  <c r="D47" i="3"/>
  <c r="B202" i="1"/>
  <c r="A201" i="3"/>
  <c r="D201" i="1"/>
  <c r="F201" i="1"/>
  <c r="E201" i="1"/>
  <c r="B203" i="1" l="1"/>
  <c r="A202" i="3"/>
  <c r="F202" i="1"/>
  <c r="E202" i="1"/>
  <c r="D202" i="1"/>
  <c r="B48" i="3"/>
  <c r="C48" i="3"/>
  <c r="D48" i="3"/>
  <c r="A49" i="3"/>
  <c r="B50" i="1"/>
  <c r="D49" i="1"/>
  <c r="F49" i="1"/>
  <c r="E49" i="1"/>
  <c r="B51" i="1" l="1"/>
  <c r="A50" i="3"/>
  <c r="E50" i="1"/>
  <c r="F50" i="1"/>
  <c r="D50" i="1"/>
  <c r="D49" i="3"/>
  <c r="C49" i="3"/>
  <c r="B49" i="3"/>
  <c r="B204" i="1"/>
  <c r="A203" i="3"/>
  <c r="D203" i="1"/>
  <c r="E203" i="1"/>
  <c r="F203" i="1"/>
  <c r="B205" i="1" l="1"/>
  <c r="A204" i="3"/>
  <c r="F204" i="1"/>
  <c r="E204" i="1"/>
  <c r="D204" i="1"/>
  <c r="D50" i="3"/>
  <c r="C50" i="3"/>
  <c r="B50" i="3"/>
  <c r="A51" i="3"/>
  <c r="B52" i="1"/>
  <c r="E51" i="1"/>
  <c r="F51" i="1"/>
  <c r="D51" i="1"/>
  <c r="A52" i="3" l="1"/>
  <c r="B53" i="1"/>
  <c r="D52" i="1"/>
  <c r="F52" i="1"/>
  <c r="E52" i="1"/>
  <c r="B51" i="3"/>
  <c r="C51" i="3"/>
  <c r="D51" i="3"/>
  <c r="A205" i="3"/>
  <c r="B206" i="1"/>
  <c r="D205" i="1"/>
  <c r="E205" i="1"/>
  <c r="F205" i="1"/>
  <c r="B207" i="1" l="1"/>
  <c r="A206" i="3"/>
  <c r="D206" i="1"/>
  <c r="E206" i="1"/>
  <c r="F206" i="1"/>
  <c r="B54" i="1"/>
  <c r="A53" i="3"/>
  <c r="E53" i="1"/>
  <c r="F53" i="1"/>
  <c r="D53" i="1"/>
  <c r="D52" i="3"/>
  <c r="C52" i="3"/>
  <c r="B52" i="3"/>
  <c r="D53" i="3" l="1"/>
  <c r="B53" i="3"/>
  <c r="C53" i="3"/>
  <c r="B55" i="1"/>
  <c r="A54" i="3"/>
  <c r="E54" i="1"/>
  <c r="D54" i="1"/>
  <c r="F54" i="1"/>
  <c r="B208" i="1"/>
  <c r="A207" i="3"/>
  <c r="F207" i="1"/>
  <c r="E207" i="1"/>
  <c r="D207" i="1"/>
  <c r="B209" i="1" l="1"/>
  <c r="A208" i="3"/>
  <c r="E208" i="1"/>
  <c r="D208" i="1"/>
  <c r="F208" i="1"/>
  <c r="D54" i="3"/>
  <c r="C54" i="3"/>
  <c r="B54" i="3"/>
  <c r="A55" i="3"/>
  <c r="B56" i="1"/>
  <c r="F55" i="1"/>
  <c r="D55" i="1"/>
  <c r="E55" i="1"/>
  <c r="B57" i="1" l="1"/>
  <c r="A56" i="3"/>
  <c r="F56" i="1"/>
  <c r="D56" i="1"/>
  <c r="E56" i="1"/>
  <c r="B55" i="3"/>
  <c r="C55" i="3"/>
  <c r="D55" i="3"/>
  <c r="B210" i="1"/>
  <c r="A209" i="3"/>
  <c r="F209" i="1"/>
  <c r="E209" i="1"/>
  <c r="D209" i="1"/>
  <c r="B211" i="1" l="1"/>
  <c r="A210" i="3"/>
  <c r="F210" i="1"/>
  <c r="E210" i="1"/>
  <c r="D210" i="1"/>
  <c r="B56" i="3"/>
  <c r="C56" i="3"/>
  <c r="D56" i="3"/>
  <c r="A57" i="3"/>
  <c r="B58" i="1"/>
  <c r="D57" i="1"/>
  <c r="F57" i="1"/>
  <c r="E57" i="1"/>
  <c r="B59" i="1" l="1"/>
  <c r="A58" i="3"/>
  <c r="F58" i="1"/>
  <c r="D58" i="1"/>
  <c r="E58" i="1"/>
  <c r="C57" i="3"/>
  <c r="B57" i="3"/>
  <c r="D57" i="3"/>
  <c r="B212" i="1"/>
  <c r="A211" i="3"/>
  <c r="F211" i="1"/>
  <c r="D211" i="1"/>
  <c r="E211" i="1"/>
  <c r="D58" i="3" l="1"/>
  <c r="C58" i="3"/>
  <c r="B58" i="3"/>
  <c r="A59" i="3"/>
  <c r="B60" i="1"/>
  <c r="F59" i="1"/>
  <c r="D59" i="1"/>
  <c r="E59" i="1"/>
  <c r="B213" i="1"/>
  <c r="A212" i="3"/>
  <c r="E212" i="1"/>
  <c r="F212" i="1"/>
  <c r="D212" i="1"/>
  <c r="B214" i="1" l="1"/>
  <c r="A213" i="3"/>
  <c r="F213" i="1"/>
  <c r="E213" i="1"/>
  <c r="D213" i="1"/>
  <c r="B61" i="1"/>
  <c r="A60" i="3"/>
  <c r="E60" i="1"/>
  <c r="D60" i="1"/>
  <c r="F60" i="1"/>
  <c r="B59" i="3"/>
  <c r="C59" i="3"/>
  <c r="D59" i="3"/>
  <c r="D60" i="3" l="1"/>
  <c r="C60" i="3"/>
  <c r="B60" i="3"/>
  <c r="B62" i="1"/>
  <c r="A61" i="3"/>
  <c r="D61" i="1"/>
  <c r="E61" i="1"/>
  <c r="F61" i="1"/>
  <c r="B215" i="1"/>
  <c r="A214" i="3"/>
  <c r="D214" i="1"/>
  <c r="F214" i="1"/>
  <c r="E214" i="1"/>
  <c r="D61" i="3" l="1"/>
  <c r="C61" i="3"/>
  <c r="B61" i="3"/>
  <c r="B216" i="1"/>
  <c r="A215" i="3"/>
  <c r="E215" i="1"/>
  <c r="D215" i="1"/>
  <c r="F215" i="1"/>
  <c r="B63" i="1"/>
  <c r="A62" i="3"/>
  <c r="F62" i="1"/>
  <c r="E62" i="1"/>
  <c r="D62" i="1"/>
  <c r="D62" i="3" l="1"/>
  <c r="C62" i="3"/>
  <c r="B62" i="3"/>
  <c r="A63" i="3"/>
  <c r="B64" i="1"/>
  <c r="D63" i="1"/>
  <c r="F63" i="1"/>
  <c r="E63" i="1"/>
  <c r="A216" i="3"/>
  <c r="B217" i="1"/>
  <c r="F216" i="1"/>
  <c r="E216" i="1"/>
  <c r="D216" i="1"/>
  <c r="B65" i="1" l="1"/>
  <c r="A64" i="3"/>
  <c r="D64" i="1"/>
  <c r="E64" i="1"/>
  <c r="F64" i="1"/>
  <c r="B218" i="1"/>
  <c r="A217" i="3"/>
  <c r="F217" i="1"/>
  <c r="E217" i="1"/>
  <c r="D217" i="1"/>
  <c r="B63" i="3"/>
  <c r="C63" i="3"/>
  <c r="D63" i="3"/>
  <c r="B219" i="1" l="1"/>
  <c r="A218" i="3"/>
  <c r="D218" i="1"/>
  <c r="F218" i="1"/>
  <c r="E218" i="1"/>
  <c r="B64" i="3"/>
  <c r="C64" i="3"/>
  <c r="D64" i="3"/>
  <c r="B66" i="1"/>
  <c r="A65" i="3"/>
  <c r="D65" i="1"/>
  <c r="F65" i="1"/>
  <c r="E65" i="1"/>
  <c r="B67" i="1" l="1"/>
  <c r="A66" i="3"/>
  <c r="F66" i="1"/>
  <c r="E66" i="1"/>
  <c r="D66" i="1"/>
  <c r="B220" i="1"/>
  <c r="A219" i="3"/>
  <c r="D219" i="1"/>
  <c r="E219" i="1"/>
  <c r="F219" i="1"/>
  <c r="D65" i="3"/>
  <c r="C65" i="3"/>
  <c r="B65" i="3"/>
  <c r="D66" i="3" l="1"/>
  <c r="C66" i="3"/>
  <c r="B66" i="3"/>
  <c r="B221" i="1"/>
  <c r="A220" i="3"/>
  <c r="E220" i="1"/>
  <c r="F220" i="1"/>
  <c r="D220" i="1"/>
  <c r="A67" i="3"/>
  <c r="B68" i="1"/>
  <c r="D67" i="1"/>
  <c r="E67" i="1"/>
  <c r="F67" i="1"/>
  <c r="A68" i="3" l="1"/>
  <c r="B69" i="1"/>
  <c r="F68" i="1"/>
  <c r="D68" i="1"/>
  <c r="E68" i="1"/>
  <c r="B67" i="3"/>
  <c r="C67" i="3"/>
  <c r="D67" i="3"/>
  <c r="A221" i="3"/>
  <c r="B222" i="1"/>
  <c r="D221" i="1"/>
  <c r="F221" i="1"/>
  <c r="E221" i="1"/>
  <c r="B70" i="1" l="1"/>
  <c r="A69" i="3"/>
  <c r="D69" i="1"/>
  <c r="F69" i="1"/>
  <c r="E69" i="1"/>
  <c r="B223" i="1"/>
  <c r="A222" i="3"/>
  <c r="D222" i="1"/>
  <c r="F222" i="1"/>
  <c r="E222" i="1"/>
  <c r="D68" i="3"/>
  <c r="C68" i="3"/>
  <c r="B68" i="3"/>
  <c r="B224" i="1" l="1"/>
  <c r="A223" i="3"/>
  <c r="F223" i="1"/>
  <c r="D223" i="1"/>
  <c r="E223" i="1"/>
  <c r="D69" i="3"/>
  <c r="B69" i="3"/>
  <c r="C69" i="3"/>
  <c r="B71" i="1"/>
  <c r="A70" i="3"/>
  <c r="E70" i="1"/>
  <c r="F70" i="1"/>
  <c r="D70" i="1"/>
  <c r="D70" i="3" l="1"/>
  <c r="C70" i="3"/>
  <c r="B70" i="3"/>
  <c r="A71" i="3"/>
  <c r="B72" i="1"/>
  <c r="F71" i="1"/>
  <c r="E71" i="1"/>
  <c r="D71" i="1"/>
  <c r="B225" i="1"/>
  <c r="A224" i="3"/>
  <c r="F224" i="1"/>
  <c r="E224" i="1"/>
  <c r="D224" i="1"/>
  <c r="B73" i="1" l="1"/>
  <c r="A72" i="3"/>
  <c r="D72" i="1"/>
  <c r="F72" i="1"/>
  <c r="E72" i="1"/>
  <c r="B226" i="1"/>
  <c r="A225" i="3"/>
  <c r="F225" i="1"/>
  <c r="E225" i="1"/>
  <c r="D225" i="1"/>
  <c r="B71" i="3"/>
  <c r="C71" i="3"/>
  <c r="D71" i="3"/>
  <c r="B227" i="1" l="1"/>
  <c r="A226" i="3"/>
  <c r="F226" i="1"/>
  <c r="E226" i="1"/>
  <c r="D226" i="1"/>
  <c r="B72" i="3"/>
  <c r="C72" i="3"/>
  <c r="D72" i="3"/>
  <c r="A73" i="3"/>
  <c r="B74" i="1"/>
  <c r="E73" i="1"/>
  <c r="F73" i="1"/>
  <c r="D73" i="1"/>
  <c r="B75" i="1" l="1"/>
  <c r="A74" i="3"/>
  <c r="F74" i="1"/>
  <c r="D74" i="1"/>
  <c r="E74" i="1"/>
  <c r="C73" i="3"/>
  <c r="B73" i="3"/>
  <c r="D73" i="3"/>
  <c r="B228" i="1"/>
  <c r="A227" i="3"/>
  <c r="F227" i="1"/>
  <c r="D227" i="1"/>
  <c r="E227" i="1"/>
  <c r="D74" i="3" l="1"/>
  <c r="C74" i="3"/>
  <c r="B74" i="3"/>
  <c r="A228" i="3"/>
  <c r="D228" i="1"/>
  <c r="F228" i="1"/>
  <c r="E228" i="1"/>
  <c r="A75" i="3"/>
  <c r="B76" i="1"/>
  <c r="E75" i="1"/>
  <c r="F75" i="1"/>
  <c r="D75" i="1"/>
  <c r="B77" i="1" l="1"/>
  <c r="A76" i="3"/>
  <c r="F76" i="1"/>
  <c r="E76" i="1"/>
  <c r="D76" i="1"/>
  <c r="B75" i="3"/>
  <c r="C75" i="3"/>
  <c r="D75" i="3"/>
  <c r="D76" i="3" l="1"/>
  <c r="B76" i="3"/>
  <c r="C76" i="3"/>
  <c r="B78" i="1"/>
  <c r="A77" i="3"/>
  <c r="E77" i="1"/>
  <c r="F77" i="1"/>
  <c r="D77" i="1"/>
  <c r="D77" i="3" l="1"/>
  <c r="C77" i="3"/>
  <c r="B77" i="3"/>
  <c r="B79" i="1"/>
  <c r="A78" i="3"/>
  <c r="E78" i="1"/>
  <c r="D78" i="1"/>
  <c r="F78" i="1"/>
  <c r="D78" i="3" l="1"/>
  <c r="C78" i="3"/>
  <c r="B78" i="3"/>
  <c r="A79" i="3"/>
  <c r="B80" i="1"/>
  <c r="D79" i="1"/>
  <c r="F79" i="1"/>
  <c r="E79" i="1"/>
  <c r="B81" i="1" l="1"/>
  <c r="A80" i="3"/>
  <c r="E80" i="1"/>
  <c r="D80" i="1"/>
  <c r="F80" i="1"/>
  <c r="B79" i="3"/>
  <c r="C79" i="3"/>
  <c r="D79" i="3"/>
  <c r="B82" i="1" l="1"/>
  <c r="A81" i="3"/>
  <c r="E81" i="1"/>
  <c r="F81" i="1"/>
  <c r="D81" i="1"/>
  <c r="B80" i="3"/>
  <c r="D80" i="3"/>
  <c r="C80" i="3"/>
  <c r="D81" i="3" l="1"/>
  <c r="C81" i="3"/>
  <c r="B81" i="3"/>
  <c r="B83" i="1"/>
  <c r="A82" i="3"/>
  <c r="F82" i="1"/>
  <c r="D82" i="1"/>
  <c r="E82" i="1"/>
  <c r="D82" i="3" l="1"/>
  <c r="C82" i="3"/>
  <c r="B82" i="3"/>
  <c r="A83" i="3"/>
  <c r="B84" i="1"/>
  <c r="F83" i="1"/>
  <c r="E83" i="1"/>
  <c r="D83" i="1"/>
  <c r="A84" i="3" l="1"/>
  <c r="B85" i="1"/>
  <c r="D84" i="1"/>
  <c r="F84" i="1"/>
  <c r="E84" i="1"/>
  <c r="B83" i="3"/>
  <c r="C83" i="3"/>
  <c r="D83" i="3"/>
  <c r="B86" i="1" l="1"/>
  <c r="A85" i="3"/>
  <c r="F85" i="1"/>
  <c r="E85" i="1"/>
  <c r="D85" i="1"/>
  <c r="D84" i="3"/>
  <c r="C84" i="3"/>
  <c r="B84" i="3"/>
  <c r="D85" i="3" l="1"/>
  <c r="B85" i="3"/>
  <c r="C85" i="3"/>
  <c r="B87" i="1"/>
  <c r="A86" i="3"/>
  <c r="E86" i="1"/>
  <c r="D86" i="1"/>
  <c r="F86" i="1"/>
  <c r="D86" i="3" l="1"/>
  <c r="C86" i="3"/>
  <c r="B86" i="3"/>
  <c r="A87" i="3"/>
  <c r="B88" i="1"/>
  <c r="F87" i="1"/>
  <c r="D87" i="1"/>
  <c r="E87" i="1"/>
  <c r="B89" i="1" l="1"/>
  <c r="A88" i="3"/>
  <c r="F88" i="1"/>
  <c r="D88" i="1"/>
  <c r="E88" i="1"/>
  <c r="B87" i="3"/>
  <c r="C87" i="3"/>
  <c r="D87" i="3"/>
  <c r="B88" i="3" l="1"/>
  <c r="C88" i="3"/>
  <c r="D88" i="3"/>
  <c r="A89" i="3"/>
  <c r="B90" i="1"/>
  <c r="E89" i="1"/>
  <c r="F89" i="1"/>
  <c r="D89" i="1"/>
  <c r="B91" i="1" l="1"/>
  <c r="A90" i="3"/>
  <c r="F90" i="1"/>
  <c r="D90" i="1"/>
  <c r="E90" i="1"/>
  <c r="C89" i="3"/>
  <c r="B89" i="3"/>
  <c r="D89" i="3"/>
  <c r="D90" i="3" l="1"/>
  <c r="C90" i="3"/>
  <c r="B90" i="3"/>
  <c r="B92" i="1"/>
  <c r="A91" i="3"/>
  <c r="D91" i="1"/>
  <c r="F91" i="1"/>
  <c r="E91" i="1"/>
  <c r="B91" i="3" l="1"/>
  <c r="C91" i="3"/>
  <c r="D91" i="3"/>
  <c r="A92" i="3"/>
  <c r="B93" i="1"/>
  <c r="F92" i="1"/>
  <c r="E92" i="1"/>
  <c r="D92" i="1"/>
  <c r="A93" i="3" l="1"/>
  <c r="B94" i="1"/>
  <c r="D93" i="1"/>
  <c r="E93" i="1"/>
  <c r="F93" i="1"/>
  <c r="B92" i="3"/>
  <c r="C92" i="3"/>
  <c r="D92" i="3"/>
  <c r="B95" i="1" l="1"/>
  <c r="A94" i="3"/>
  <c r="D94" i="1"/>
  <c r="E94" i="1"/>
  <c r="F94" i="1"/>
  <c r="C93" i="3"/>
  <c r="D93" i="3"/>
  <c r="B93" i="3"/>
  <c r="B94" i="3" l="1"/>
  <c r="C94" i="3"/>
  <c r="D94" i="3"/>
  <c r="B96" i="1"/>
  <c r="A95" i="3"/>
  <c r="F95" i="1"/>
  <c r="E95" i="1"/>
  <c r="D95" i="1"/>
  <c r="B95" i="3" l="1"/>
  <c r="C95" i="3"/>
  <c r="D95" i="3"/>
  <c r="B97" i="1"/>
  <c r="A96" i="3"/>
  <c r="E96" i="1"/>
  <c r="F96" i="1"/>
  <c r="D96" i="1"/>
  <c r="C96" i="3" l="1"/>
  <c r="D96" i="3"/>
  <c r="B96" i="3"/>
  <c r="A97" i="3"/>
  <c r="B98" i="1"/>
  <c r="E97" i="1"/>
  <c r="F97" i="1"/>
  <c r="D97" i="1"/>
  <c r="B99" i="1" l="1"/>
  <c r="A98" i="3"/>
  <c r="F98" i="1"/>
  <c r="E98" i="1"/>
  <c r="D98" i="1"/>
  <c r="B97" i="3"/>
  <c r="C97" i="3"/>
  <c r="D97" i="3"/>
  <c r="B98" i="3" l="1"/>
  <c r="C98" i="3"/>
  <c r="D98" i="3"/>
  <c r="B100" i="1"/>
  <c r="A99" i="3"/>
  <c r="D99" i="1"/>
  <c r="F99" i="1"/>
  <c r="E99" i="1"/>
  <c r="B99" i="3" l="1"/>
  <c r="C99" i="3"/>
  <c r="D99" i="3"/>
  <c r="B101" i="1"/>
  <c r="A100" i="3"/>
  <c r="F100" i="1"/>
  <c r="E100" i="1"/>
  <c r="D100" i="1"/>
  <c r="C100" i="3" l="1"/>
  <c r="D100" i="3"/>
  <c r="B100" i="3"/>
  <c r="B102" i="1"/>
  <c r="A101" i="3"/>
  <c r="E101" i="1"/>
  <c r="F101" i="1"/>
  <c r="D101" i="1"/>
  <c r="D101" i="3" l="1"/>
  <c r="B101" i="3"/>
  <c r="C101" i="3"/>
  <c r="B103" i="1"/>
  <c r="A102" i="3"/>
  <c r="F102" i="1"/>
  <c r="D102" i="1"/>
  <c r="E102" i="1"/>
  <c r="B102" i="3" l="1"/>
  <c r="C102" i="3"/>
  <c r="D102" i="3"/>
  <c r="B104" i="1"/>
  <c r="A103" i="3"/>
  <c r="F103" i="1"/>
  <c r="E103" i="1"/>
  <c r="D103" i="1"/>
  <c r="B103" i="3" l="1"/>
  <c r="C103" i="3"/>
  <c r="D103" i="3"/>
  <c r="B105" i="1"/>
  <c r="A104" i="3"/>
  <c r="F104" i="1"/>
  <c r="E104" i="1"/>
  <c r="D104" i="1"/>
  <c r="C104" i="3" l="1"/>
  <c r="D104" i="3"/>
  <c r="B104" i="3"/>
  <c r="A105" i="3"/>
  <c r="B106" i="1"/>
  <c r="D105" i="1"/>
  <c r="E105" i="1"/>
  <c r="F105" i="1"/>
  <c r="B107" i="1" l="1"/>
  <c r="A106" i="3"/>
  <c r="D106" i="1"/>
  <c r="F106" i="1"/>
  <c r="E106" i="1"/>
  <c r="C105" i="3"/>
  <c r="D105" i="3"/>
  <c r="B105" i="3"/>
  <c r="B106" i="3" l="1"/>
  <c r="C106" i="3"/>
  <c r="D106" i="3"/>
  <c r="B108" i="1"/>
  <c r="A107" i="3"/>
  <c r="E107" i="1"/>
  <c r="D107" i="1"/>
  <c r="F107" i="1"/>
  <c r="B107" i="3" l="1"/>
  <c r="C107" i="3"/>
  <c r="D107" i="3"/>
  <c r="B109" i="1"/>
  <c r="A108" i="3"/>
  <c r="E108" i="1"/>
  <c r="D108" i="1"/>
  <c r="F108" i="1"/>
  <c r="C108" i="3" l="1"/>
  <c r="D108" i="3"/>
  <c r="B108" i="3"/>
  <c r="A109" i="3"/>
  <c r="B110" i="1"/>
  <c r="F109" i="1"/>
  <c r="E109" i="1"/>
  <c r="D109" i="1"/>
  <c r="B111" i="1" l="1"/>
  <c r="A110" i="3"/>
  <c r="E110" i="1"/>
  <c r="F110" i="1"/>
  <c r="D110" i="1"/>
  <c r="C109" i="3"/>
  <c r="D109" i="3"/>
  <c r="B109" i="3"/>
  <c r="B110" i="3" l="1"/>
  <c r="C110" i="3"/>
  <c r="D110" i="3"/>
  <c r="B112" i="1"/>
  <c r="A111" i="3"/>
  <c r="E111" i="1"/>
  <c r="F111" i="1"/>
  <c r="D111" i="1"/>
  <c r="B111" i="3" l="1"/>
  <c r="C111" i="3"/>
  <c r="D111" i="3"/>
  <c r="B113" i="1"/>
  <c r="A112" i="3"/>
  <c r="F112" i="1"/>
  <c r="E112" i="1"/>
  <c r="D112" i="1"/>
  <c r="C112" i="3" l="1"/>
  <c r="D112" i="3"/>
  <c r="B112" i="3"/>
  <c r="A113" i="3"/>
  <c r="B114" i="1"/>
  <c r="F113" i="1"/>
  <c r="D113" i="1"/>
  <c r="E113" i="1"/>
  <c r="B115" i="1" l="1"/>
  <c r="A114" i="3"/>
  <c r="D114" i="1"/>
  <c r="E114" i="1"/>
  <c r="F114" i="1"/>
  <c r="B113" i="3"/>
  <c r="C113" i="3"/>
  <c r="D113" i="3"/>
  <c r="B114" i="3" l="1"/>
  <c r="C114" i="3"/>
  <c r="D114" i="3"/>
  <c r="B116" i="1"/>
  <c r="A115" i="3"/>
  <c r="D115" i="1"/>
  <c r="F115" i="1"/>
  <c r="E115" i="1"/>
  <c r="C115" i="3" l="1"/>
  <c r="D115" i="3"/>
  <c r="B115" i="3"/>
  <c r="B117" i="1"/>
  <c r="A116" i="3"/>
  <c r="F116" i="1"/>
  <c r="E116" i="1"/>
  <c r="D116" i="1"/>
  <c r="B116" i="3" l="1"/>
  <c r="D116" i="3"/>
  <c r="C116" i="3"/>
  <c r="B118" i="1"/>
  <c r="A117" i="3"/>
  <c r="F117" i="1"/>
  <c r="D117" i="1"/>
  <c r="E117" i="1"/>
  <c r="B117" i="3" l="1"/>
  <c r="C117" i="3"/>
  <c r="D117" i="3"/>
  <c r="B119" i="1"/>
  <c r="A118" i="3"/>
  <c r="E118" i="1"/>
  <c r="D118" i="1"/>
  <c r="F118" i="1"/>
  <c r="C118" i="3" l="1"/>
  <c r="D118" i="3"/>
  <c r="B118" i="3"/>
  <c r="B120" i="1"/>
  <c r="A119" i="3"/>
  <c r="E119" i="1"/>
  <c r="F119" i="1"/>
  <c r="D119" i="1"/>
  <c r="C119" i="3" l="1"/>
  <c r="D119" i="3"/>
  <c r="B119" i="3"/>
  <c r="B121" i="1"/>
  <c r="A120" i="3"/>
  <c r="F120" i="1"/>
  <c r="D120" i="1"/>
  <c r="E120" i="1"/>
  <c r="B120" i="3" l="1"/>
  <c r="D120" i="3"/>
  <c r="C120" i="3"/>
  <c r="A121" i="3"/>
  <c r="B122" i="1"/>
  <c r="F121" i="1"/>
  <c r="E121" i="1"/>
  <c r="D121" i="1"/>
  <c r="B123" i="1" l="1"/>
  <c r="A122" i="3"/>
  <c r="F122" i="1"/>
  <c r="D122" i="1"/>
  <c r="E122" i="1"/>
  <c r="C121" i="3"/>
  <c r="D121" i="3"/>
  <c r="B121" i="3"/>
  <c r="C122" i="3" l="1"/>
  <c r="D122" i="3"/>
  <c r="B122" i="3"/>
  <c r="B124" i="1"/>
  <c r="A123" i="3"/>
  <c r="D123" i="1"/>
  <c r="E123" i="1"/>
  <c r="F123" i="1"/>
  <c r="C123" i="3" l="1"/>
  <c r="D123" i="3"/>
  <c r="B123" i="3"/>
  <c r="B125" i="1"/>
  <c r="A124" i="3"/>
  <c r="F124" i="1"/>
  <c r="E124" i="1"/>
  <c r="D124" i="1"/>
  <c r="B124" i="3" l="1"/>
  <c r="D124" i="3"/>
  <c r="C124" i="3"/>
  <c r="A125" i="3"/>
  <c r="B126" i="1"/>
  <c r="D125" i="1"/>
  <c r="E125" i="1"/>
  <c r="F125" i="1"/>
  <c r="B127" i="1" l="1"/>
  <c r="A126" i="3"/>
  <c r="E126" i="1"/>
  <c r="D126" i="1"/>
  <c r="F126" i="1"/>
  <c r="B125" i="3"/>
  <c r="D125" i="3"/>
  <c r="C125" i="3"/>
  <c r="C126" i="3" l="1"/>
  <c r="D126" i="3"/>
  <c r="B126" i="3"/>
  <c r="B128" i="1"/>
  <c r="A127" i="3"/>
  <c r="F127" i="1"/>
  <c r="D127" i="1"/>
  <c r="E127" i="1"/>
  <c r="C127" i="3" l="1"/>
  <c r="D127" i="3"/>
  <c r="B127" i="3"/>
  <c r="B129" i="1"/>
  <c r="A128" i="3"/>
  <c r="F128" i="1"/>
  <c r="E128" i="1"/>
  <c r="D128" i="1"/>
  <c r="B128" i="3" l="1"/>
  <c r="D128" i="3"/>
  <c r="C128" i="3"/>
  <c r="A129" i="3"/>
  <c r="B130" i="1"/>
  <c r="F129" i="1"/>
  <c r="D129" i="1"/>
  <c r="E129" i="1"/>
  <c r="B131" i="1" l="1"/>
  <c r="A130" i="3"/>
  <c r="F130" i="1"/>
  <c r="D130" i="1"/>
  <c r="E130" i="1"/>
  <c r="C129" i="3"/>
  <c r="D129" i="3"/>
  <c r="B129" i="3"/>
  <c r="C130" i="3" l="1"/>
  <c r="D130" i="3"/>
  <c r="B130" i="3"/>
  <c r="B132" i="1"/>
  <c r="A131" i="3"/>
  <c r="E131" i="1"/>
  <c r="D131" i="1"/>
  <c r="F131" i="1"/>
  <c r="C131" i="3" l="1"/>
  <c r="D131" i="3"/>
  <c r="B131" i="3"/>
  <c r="B133" i="1"/>
  <c r="A132" i="3"/>
  <c r="D132" i="1"/>
  <c r="E132" i="1"/>
  <c r="F132" i="1"/>
  <c r="B132" i="3" l="1"/>
  <c r="D132" i="3"/>
  <c r="C132" i="3"/>
  <c r="B134" i="1"/>
  <c r="A133" i="3"/>
  <c r="D133" i="1"/>
  <c r="F133" i="1"/>
  <c r="E133" i="1"/>
  <c r="B133" i="3" l="1"/>
  <c r="D133" i="3"/>
  <c r="C133" i="3"/>
  <c r="B135" i="1"/>
  <c r="A134" i="3"/>
  <c r="D134" i="1"/>
  <c r="F134" i="1"/>
  <c r="E134" i="1"/>
  <c r="C134" i="3" l="1"/>
  <c r="D134" i="3"/>
  <c r="B134" i="3"/>
  <c r="B136" i="1"/>
  <c r="A135" i="3"/>
  <c r="E135" i="1"/>
  <c r="F135" i="1"/>
  <c r="D135" i="1"/>
  <c r="D135" i="3" l="1"/>
  <c r="C135" i="3"/>
  <c r="B135" i="3"/>
  <c r="B137" i="1"/>
  <c r="A136" i="3"/>
  <c r="D136" i="1"/>
  <c r="E136" i="1"/>
  <c r="F136" i="1"/>
  <c r="D136" i="3" l="1"/>
  <c r="B136" i="3"/>
  <c r="C136" i="3"/>
  <c r="A137" i="3"/>
  <c r="B138" i="1"/>
  <c r="E137" i="1"/>
  <c r="D137" i="1"/>
  <c r="F137" i="1"/>
  <c r="B139" i="1" l="1"/>
  <c r="A138" i="3"/>
  <c r="E138" i="1"/>
  <c r="D138" i="1"/>
  <c r="F138" i="1"/>
  <c r="C137" i="3"/>
  <c r="B137" i="3"/>
  <c r="D137" i="3"/>
  <c r="C138" i="3" l="1"/>
  <c r="D138" i="3"/>
  <c r="B138" i="3"/>
  <c r="B140" i="1"/>
  <c r="A139" i="3"/>
  <c r="D139" i="1"/>
  <c r="F139" i="1"/>
  <c r="E139" i="1"/>
  <c r="D139" i="3" l="1"/>
  <c r="C139" i="3"/>
  <c r="B139" i="3"/>
  <c r="B141" i="1"/>
  <c r="A140" i="3"/>
  <c r="E140" i="1"/>
  <c r="F140" i="1"/>
  <c r="D140" i="1"/>
  <c r="D140" i="3" l="1"/>
  <c r="B140" i="3"/>
  <c r="C140" i="3"/>
  <c r="A141" i="3"/>
  <c r="B142" i="1"/>
  <c r="E141" i="1"/>
  <c r="D141" i="1"/>
  <c r="F141" i="1"/>
  <c r="B143" i="1" l="1"/>
  <c r="A142" i="3"/>
  <c r="F142" i="1"/>
  <c r="D142" i="1"/>
  <c r="E142" i="1"/>
  <c r="C141" i="3"/>
  <c r="B141" i="3"/>
  <c r="D141" i="3"/>
  <c r="C142" i="3" l="1"/>
  <c r="D142" i="3"/>
  <c r="B142" i="3"/>
  <c r="B144" i="1"/>
  <c r="A143" i="3"/>
  <c r="D143" i="1"/>
  <c r="F143" i="1"/>
  <c r="E143" i="1"/>
  <c r="D143" i="3" l="1"/>
  <c r="C143" i="3"/>
  <c r="B143" i="3"/>
  <c r="B145" i="1"/>
  <c r="A144" i="3"/>
  <c r="D144" i="1"/>
  <c r="E144" i="1"/>
  <c r="F144" i="1"/>
  <c r="D144" i="3" l="1"/>
  <c r="B144" i="3"/>
  <c r="C144" i="3"/>
  <c r="A145" i="3"/>
  <c r="B146" i="1"/>
  <c r="F145" i="1"/>
  <c r="D145" i="1"/>
  <c r="E145" i="1"/>
  <c r="B147" i="1" l="1"/>
  <c r="A146" i="3"/>
  <c r="D146" i="1"/>
  <c r="E146" i="1"/>
  <c r="F146" i="1"/>
  <c r="C145" i="3"/>
  <c r="B145" i="3"/>
  <c r="D145" i="3"/>
  <c r="C146" i="3" l="1"/>
  <c r="D146" i="3"/>
  <c r="B146" i="3"/>
  <c r="B148" i="1"/>
  <c r="A147" i="3"/>
  <c r="D147" i="1"/>
  <c r="F147" i="1"/>
  <c r="E147" i="1"/>
  <c r="D147" i="3" l="1"/>
  <c r="C147" i="3"/>
  <c r="B147" i="3"/>
  <c r="B149" i="1"/>
  <c r="A148" i="3"/>
  <c r="E148" i="1"/>
  <c r="D148" i="1"/>
  <c r="F148" i="1"/>
  <c r="D148" i="3" l="1"/>
  <c r="B148" i="3"/>
  <c r="C148" i="3"/>
  <c r="B150" i="1"/>
  <c r="A149" i="3"/>
  <c r="D149" i="1"/>
  <c r="E149" i="1"/>
  <c r="F149" i="1"/>
  <c r="C149" i="3" l="1"/>
  <c r="B149" i="3"/>
  <c r="D149" i="3"/>
  <c r="B151" i="1"/>
  <c r="A150" i="3"/>
  <c r="F150" i="1"/>
  <c r="D150" i="1"/>
  <c r="E150" i="1"/>
  <c r="C150" i="3" l="1"/>
  <c r="D150" i="3"/>
  <c r="E150" i="3"/>
  <c r="B150" i="3"/>
  <c r="B152" i="1"/>
  <c r="A151" i="3"/>
  <c r="E151" i="1"/>
  <c r="D151" i="1"/>
  <c r="F151" i="1"/>
  <c r="E144" i="3"/>
  <c r="E148" i="3"/>
  <c r="E142" i="3"/>
  <c r="E146" i="3"/>
  <c r="D151" i="3" l="1"/>
  <c r="C151" i="3"/>
  <c r="E151" i="3"/>
  <c r="B151" i="3"/>
  <c r="A152" i="3"/>
  <c r="E152" i="1"/>
  <c r="F152" i="1"/>
  <c r="D152" i="1"/>
  <c r="E218" i="3"/>
  <c r="E67" i="3"/>
  <c r="E220" i="3"/>
  <c r="E221" i="3"/>
  <c r="E68" i="3"/>
  <c r="E283" i="3"/>
  <c r="E69" i="3"/>
  <c r="E61" i="3"/>
  <c r="E70" i="3"/>
  <c r="E222" i="3"/>
  <c r="E198" i="3"/>
  <c r="E469" i="3"/>
  <c r="E318" i="3"/>
  <c r="E280" i="3"/>
  <c r="E295" i="3"/>
  <c r="E163" i="3"/>
  <c r="E375" i="3"/>
  <c r="E408" i="3"/>
  <c r="E501" i="3"/>
  <c r="E304" i="3"/>
  <c r="E419" i="3"/>
  <c r="E467" i="3"/>
  <c r="E340" i="3"/>
  <c r="E223" i="3"/>
  <c r="E271" i="3"/>
  <c r="E368" i="3"/>
  <c r="E51" i="3"/>
  <c r="E196" i="3"/>
  <c r="E431" i="3"/>
  <c r="E74" i="3"/>
  <c r="E194" i="3"/>
  <c r="E225" i="3"/>
  <c r="E260" i="3"/>
  <c r="E315" i="3"/>
  <c r="E234" i="3"/>
  <c r="E238" i="3"/>
  <c r="E226" i="3"/>
  <c r="E224" i="3"/>
  <c r="E36" i="3"/>
  <c r="E216" i="3"/>
  <c r="E65" i="3"/>
  <c r="E422" i="3"/>
  <c r="E338" i="3"/>
  <c r="E254" i="3"/>
  <c r="E360" i="3"/>
  <c r="E273" i="3"/>
  <c r="E325" i="3"/>
  <c r="E184" i="3"/>
  <c r="E16" i="3"/>
  <c r="E432" i="3"/>
  <c r="E290" i="3"/>
  <c r="E345" i="3"/>
  <c r="E181" i="3"/>
  <c r="E444" i="3"/>
  <c r="E50" i="3"/>
  <c r="E383" i="3"/>
  <c r="E240" i="3"/>
  <c r="E439" i="3"/>
  <c r="E464" i="3"/>
  <c r="E40" i="3"/>
  <c r="E157" i="3"/>
  <c r="E160" i="3"/>
  <c r="E527" i="3"/>
  <c r="E71" i="3"/>
  <c r="E506" i="3"/>
  <c r="E488" i="3"/>
  <c r="E58" i="3"/>
  <c r="E12" i="3"/>
  <c r="E414" i="3"/>
  <c r="E243" i="3"/>
  <c r="E336" i="3"/>
  <c r="E185" i="3"/>
  <c r="E282" i="3"/>
  <c r="E352" i="3"/>
  <c r="E458" i="3"/>
  <c r="E405" i="3"/>
  <c r="E279" i="3"/>
  <c r="E494" i="3"/>
  <c r="E359" i="3"/>
  <c r="E358" i="3"/>
  <c r="E452" i="3"/>
  <c r="E327" i="3"/>
  <c r="E387" i="3"/>
  <c r="E287" i="3"/>
  <c r="E322" i="3"/>
  <c r="E30" i="3"/>
  <c r="E391" i="3"/>
  <c r="E484" i="3"/>
  <c r="E382" i="3"/>
  <c r="E24" i="3"/>
  <c r="E442" i="3"/>
  <c r="E460" i="3"/>
  <c r="E209" i="3"/>
  <c r="E417" i="3"/>
  <c r="E411" i="3"/>
  <c r="E350" i="3"/>
  <c r="E403" i="3"/>
  <c r="E313" i="3"/>
  <c r="E32" i="3"/>
  <c r="E72" i="3"/>
  <c r="E513" i="3"/>
  <c r="E483" i="3"/>
  <c r="E166" i="3"/>
  <c r="E320" i="3"/>
  <c r="E291" i="3"/>
  <c r="E300" i="3"/>
  <c r="E394" i="3"/>
  <c r="E366" i="3"/>
  <c r="E521" i="3"/>
  <c r="E378" i="3"/>
  <c r="E201" i="3"/>
  <c r="E190" i="3"/>
  <c r="E39" i="3"/>
  <c r="E491" i="3"/>
  <c r="E278" i="3"/>
  <c r="E173" i="3"/>
  <c r="E53" i="3"/>
  <c r="E301" i="3"/>
  <c r="E443" i="3"/>
  <c r="E214" i="3"/>
  <c r="E441" i="3"/>
  <c r="E374" i="3"/>
  <c r="E284" i="3"/>
  <c r="E409" i="3"/>
  <c r="E365" i="3"/>
  <c r="E406" i="3"/>
  <c r="E45" i="3"/>
  <c r="E380" i="3"/>
  <c r="E515" i="3"/>
  <c r="E528" i="3"/>
  <c r="E402" i="3"/>
  <c r="E257" i="3"/>
  <c r="E6" i="3"/>
  <c r="E56" i="3"/>
  <c r="E428" i="3"/>
  <c r="E250" i="3"/>
  <c r="E447" i="3"/>
  <c r="E495" i="3"/>
  <c r="E158" i="3"/>
  <c r="E183" i="3"/>
  <c r="E204" i="3"/>
  <c r="E451" i="3"/>
  <c r="E317" i="3"/>
  <c r="E498" i="3"/>
  <c r="E233" i="3"/>
  <c r="E371" i="3"/>
  <c r="E161" i="3"/>
  <c r="E386" i="3"/>
  <c r="E258" i="3"/>
  <c r="E319" i="3"/>
  <c r="E175" i="3"/>
  <c r="E153" i="3"/>
  <c r="E262" i="3"/>
  <c r="E312" i="3"/>
  <c r="E43" i="3"/>
  <c r="E263" i="3"/>
  <c r="E7" i="3"/>
  <c r="E28" i="3"/>
  <c r="E331" i="3"/>
  <c r="E449" i="3"/>
  <c r="E329" i="3"/>
  <c r="E514" i="3"/>
  <c r="E511" i="3"/>
  <c r="E215" i="3"/>
  <c r="E59" i="3"/>
  <c r="E456" i="3"/>
  <c r="E510" i="3"/>
  <c r="E242" i="3"/>
  <c r="E486" i="3"/>
  <c r="E332" i="3"/>
  <c r="E459" i="3"/>
  <c r="E353" i="3"/>
  <c r="E357" i="3"/>
  <c r="E156" i="3"/>
  <c r="E155" i="3"/>
  <c r="E27" i="3"/>
  <c r="E323" i="3"/>
  <c r="E192" i="3"/>
  <c r="E62" i="3"/>
  <c r="E364" i="3"/>
  <c r="E321" i="3"/>
  <c r="E362" i="3"/>
  <c r="E482" i="3"/>
  <c r="E298" i="3"/>
  <c r="E244" i="3"/>
  <c r="E493" i="3"/>
  <c r="E55" i="3"/>
  <c r="E208" i="3"/>
  <c r="E314" i="3"/>
  <c r="E516" i="3"/>
  <c r="E440" i="3"/>
  <c r="E187" i="3"/>
  <c r="E167" i="3"/>
  <c r="E399" i="3"/>
  <c r="E369" i="3"/>
  <c r="E14" i="3"/>
  <c r="E416" i="3"/>
  <c r="E15" i="3"/>
  <c r="E355" i="3"/>
  <c r="E182" i="3"/>
  <c r="E455" i="3"/>
  <c r="E210" i="3"/>
  <c r="E468" i="3"/>
  <c r="E496" i="3"/>
  <c r="E524" i="3"/>
  <c r="E522" i="3"/>
  <c r="E389" i="3"/>
  <c r="E354" i="3"/>
  <c r="E286" i="3"/>
  <c r="E407" i="3"/>
  <c r="E60" i="3"/>
  <c r="E392" i="3"/>
  <c r="E413" i="3"/>
  <c r="E199" i="3"/>
  <c r="E499" i="3"/>
  <c r="E255" i="3"/>
  <c r="E526" i="3"/>
  <c r="E47" i="3"/>
  <c r="E384" i="3"/>
  <c r="E335" i="3"/>
  <c r="E461" i="3"/>
  <c r="E337" i="3"/>
  <c r="E450" i="3"/>
  <c r="E203" i="3"/>
  <c r="E324" i="3"/>
  <c r="E518" i="3"/>
  <c r="E207" i="3"/>
  <c r="E73" i="3"/>
  <c r="E268" i="3"/>
  <c r="E462" i="3"/>
  <c r="E454" i="3"/>
  <c r="E448" i="3"/>
  <c r="E457" i="3"/>
  <c r="E309" i="3"/>
  <c r="E351" i="3"/>
  <c r="E393" i="3"/>
  <c r="E176" i="3"/>
  <c r="E370" i="3"/>
  <c r="E227" i="3"/>
  <c r="E237" i="3"/>
  <c r="E426" i="3"/>
  <c r="E191" i="3"/>
  <c r="E236" i="3"/>
  <c r="E395" i="3"/>
  <c r="E270" i="3"/>
  <c r="E508" i="3"/>
  <c r="E241" i="3"/>
  <c r="E8" i="3"/>
  <c r="E476" i="3"/>
  <c r="E165" i="3"/>
  <c r="E306" i="3"/>
  <c r="E26" i="3"/>
  <c r="E46" i="3"/>
  <c r="E35" i="3"/>
  <c r="E479" i="3"/>
  <c r="E264" i="3"/>
  <c r="E512" i="3"/>
  <c r="E473" i="3"/>
  <c r="E213" i="3"/>
  <c r="E296" i="3"/>
  <c r="E179" i="3"/>
  <c r="E356" i="3"/>
  <c r="E379" i="3"/>
  <c r="E178" i="3"/>
  <c r="E256" i="3"/>
  <c r="E49" i="3"/>
  <c r="E377" i="3"/>
  <c r="E34" i="3"/>
  <c r="E54" i="3"/>
  <c r="E520" i="3"/>
  <c r="E251" i="3"/>
  <c r="E385" i="3"/>
  <c r="E154" i="3"/>
  <c r="E230" i="3"/>
  <c r="E248" i="3"/>
  <c r="E205" i="3"/>
  <c r="E453" i="3"/>
  <c r="E285" i="3"/>
  <c r="E341" i="3"/>
  <c r="E326" i="3"/>
  <c r="E445" i="3"/>
  <c r="E410" i="3"/>
  <c r="E404" i="3"/>
  <c r="E245" i="3"/>
  <c r="E308" i="3"/>
  <c r="E435" i="3"/>
  <c r="E276" i="3"/>
  <c r="E259" i="3"/>
  <c r="E434" i="3"/>
  <c r="E170" i="3"/>
  <c r="E42" i="3"/>
  <c r="E381" i="3"/>
  <c r="E472" i="3"/>
  <c r="E13" i="3"/>
  <c r="E189" i="3"/>
  <c r="E372" i="3"/>
  <c r="E299" i="3"/>
  <c r="E11" i="3"/>
  <c r="E471" i="3"/>
  <c r="E466" i="3"/>
  <c r="E497" i="3"/>
  <c r="E427" i="3"/>
  <c r="E425" i="3"/>
  <c r="E249" i="3"/>
  <c r="E302" i="3"/>
  <c r="E288" i="3"/>
  <c r="E478" i="3"/>
  <c r="E398" i="3"/>
  <c r="E507" i="3"/>
  <c r="E430" i="3"/>
  <c r="E247" i="3"/>
  <c r="E294" i="3"/>
  <c r="E193" i="3"/>
  <c r="E186" i="3"/>
  <c r="E517" i="3"/>
  <c r="E174" i="3"/>
  <c r="E253" i="3"/>
  <c r="E487" i="3"/>
  <c r="E17" i="3"/>
  <c r="E390" i="3"/>
  <c r="E347" i="3"/>
  <c r="E481" i="3"/>
  <c r="E21" i="3"/>
  <c r="E525" i="3"/>
  <c r="E64" i="3"/>
  <c r="E297" i="3"/>
  <c r="E197" i="3"/>
  <c r="E305" i="3"/>
  <c r="E420" i="3"/>
  <c r="E500" i="3"/>
  <c r="E3" i="3"/>
  <c r="E396" i="3"/>
  <c r="E180" i="3"/>
  <c r="E485" i="3"/>
  <c r="E19" i="3"/>
  <c r="E307" i="3"/>
  <c r="E489" i="3"/>
  <c r="E172" i="3"/>
  <c r="E477" i="3"/>
  <c r="E328" i="3"/>
  <c r="E418" i="3"/>
  <c r="E22" i="3"/>
  <c r="E293" i="3"/>
  <c r="E509" i="3"/>
  <c r="E265" i="3"/>
  <c r="E239" i="3"/>
  <c r="E436" i="3"/>
  <c r="E423" i="3"/>
  <c r="E316" i="3"/>
  <c r="E219" i="3"/>
  <c r="E272" i="3"/>
  <c r="E400" i="3"/>
  <c r="E162" i="3"/>
  <c r="E169" i="3"/>
  <c r="E401" i="3"/>
  <c r="E25" i="3"/>
  <c r="E475" i="3"/>
  <c r="E421" i="3"/>
  <c r="E57" i="3"/>
  <c r="E44" i="3"/>
  <c r="E344" i="3"/>
  <c r="E266" i="3"/>
  <c r="E269" i="3"/>
  <c r="E38" i="3"/>
  <c r="E333" i="3"/>
  <c r="E376" i="3"/>
  <c r="E10" i="3"/>
  <c r="E303" i="3"/>
  <c r="E18" i="3"/>
  <c r="E4" i="3"/>
  <c r="E48" i="3"/>
  <c r="E310" i="3"/>
  <c r="E437" i="3"/>
  <c r="E229" i="3"/>
  <c r="E429" i="3"/>
  <c r="E23" i="3"/>
  <c r="E504" i="3"/>
  <c r="E195" i="3"/>
  <c r="E373" i="3"/>
  <c r="E311" i="3"/>
  <c r="E339" i="3"/>
  <c r="E20" i="3"/>
  <c r="E388" i="3"/>
  <c r="E202" i="3"/>
  <c r="E330" i="3"/>
  <c r="E281" i="3"/>
  <c r="E29" i="3"/>
  <c r="E267" i="3"/>
  <c r="E9" i="3"/>
  <c r="E235" i="3"/>
  <c r="E523" i="3"/>
  <c r="E274" i="3"/>
  <c r="E5" i="3"/>
  <c r="E424" i="3"/>
  <c r="E433" i="3"/>
  <c r="E275" i="3"/>
  <c r="E519" i="3"/>
  <c r="E211" i="3"/>
  <c r="E232" i="3"/>
  <c r="E334" i="3"/>
  <c r="E231" i="3"/>
  <c r="E363" i="3"/>
  <c r="E188" i="3"/>
  <c r="E502" i="3"/>
  <c r="E415" i="3"/>
  <c r="E342" i="3"/>
  <c r="E474" i="3"/>
  <c r="E446" i="3"/>
  <c r="E292" i="3"/>
  <c r="E168" i="3"/>
  <c r="E252" i="3"/>
  <c r="E41" i="3"/>
  <c r="E463" i="3"/>
  <c r="E171" i="3"/>
  <c r="E346" i="3"/>
  <c r="E289" i="3"/>
  <c r="E480" i="3"/>
  <c r="E212" i="3"/>
  <c r="E200" i="3"/>
  <c r="E37" i="3"/>
  <c r="E412" i="3"/>
  <c r="E348" i="3"/>
  <c r="E465" i="3"/>
  <c r="E277" i="3"/>
  <c r="E246" i="3"/>
  <c r="E159" i="3"/>
  <c r="E505" i="3"/>
  <c r="E164" i="3"/>
  <c r="E52" i="3"/>
  <c r="E31" i="3"/>
  <c r="E261" i="3"/>
  <c r="E470" i="3"/>
  <c r="E361" i="3"/>
  <c r="E177" i="3"/>
  <c r="E490" i="3"/>
  <c r="E349" i="3"/>
  <c r="E438" i="3"/>
  <c r="E343" i="3"/>
  <c r="E503" i="3"/>
  <c r="E206" i="3"/>
  <c r="E492" i="3"/>
  <c r="E397" i="3"/>
  <c r="E33" i="3"/>
  <c r="E367" i="3"/>
  <c r="E217" i="3"/>
  <c r="E66" i="3"/>
  <c r="E63" i="3"/>
  <c r="E228" i="3"/>
  <c r="E76" i="3"/>
  <c r="E75" i="3"/>
  <c r="E77" i="3"/>
  <c r="E78" i="3"/>
  <c r="E79" i="3"/>
  <c r="E81" i="3"/>
  <c r="E80" i="3"/>
  <c r="E82" i="3"/>
  <c r="E86" i="3"/>
  <c r="E83" i="3"/>
  <c r="E84" i="3"/>
  <c r="E85" i="3"/>
  <c r="E87" i="3"/>
  <c r="E88" i="3"/>
  <c r="E89" i="3"/>
  <c r="E90" i="3"/>
  <c r="E91" i="3"/>
  <c r="E92" i="3"/>
  <c r="E94" i="3"/>
  <c r="E93" i="3"/>
  <c r="E95" i="3"/>
  <c r="E96" i="3"/>
  <c r="E98" i="3"/>
  <c r="E97" i="3"/>
  <c r="E99" i="3"/>
  <c r="E100" i="3"/>
  <c r="E101" i="3"/>
  <c r="E102" i="3"/>
  <c r="E103" i="3"/>
  <c r="E104" i="3"/>
  <c r="E106" i="3"/>
  <c r="E105" i="3"/>
  <c r="E107" i="3"/>
  <c r="E108" i="3"/>
  <c r="E109" i="3"/>
  <c r="E110" i="3"/>
  <c r="E111" i="3"/>
  <c r="E112" i="3"/>
  <c r="E114" i="3"/>
  <c r="E113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3" i="3"/>
  <c r="E149" i="3"/>
  <c r="E147" i="3"/>
  <c r="E145" i="3"/>
  <c r="E141" i="3"/>
  <c r="D225" i="3" l="1"/>
  <c r="B220" i="3"/>
  <c r="C220" i="3"/>
  <c r="B221" i="3"/>
  <c r="D220" i="3"/>
  <c r="C221" i="3"/>
  <c r="C222" i="3"/>
  <c r="D221" i="3"/>
  <c r="D223" i="3"/>
  <c r="D222" i="3"/>
  <c r="B222" i="3"/>
  <c r="C223" i="3"/>
  <c r="B223" i="3"/>
  <c r="B224" i="3"/>
  <c r="C224" i="3"/>
  <c r="B225" i="3"/>
  <c r="D224" i="3"/>
  <c r="C225" i="3"/>
  <c r="C226" i="3"/>
  <c r="B227" i="3"/>
  <c r="B226" i="3"/>
  <c r="D226" i="3"/>
  <c r="C227" i="3"/>
  <c r="D227" i="3"/>
  <c r="B239" i="3"/>
  <c r="D512" i="3"/>
  <c r="B286" i="3"/>
  <c r="D181" i="3"/>
  <c r="D475" i="3"/>
  <c r="C270" i="3"/>
  <c r="B525" i="3"/>
  <c r="D261" i="3"/>
  <c r="B435" i="3"/>
  <c r="C477" i="3"/>
  <c r="D170" i="3"/>
  <c r="C324" i="3"/>
  <c r="C194" i="3"/>
  <c r="D267" i="3"/>
  <c r="C304" i="3"/>
  <c r="C459" i="3"/>
  <c r="D430" i="3"/>
  <c r="D239" i="3"/>
  <c r="B495" i="3"/>
  <c r="C451" i="3"/>
  <c r="C400" i="3"/>
  <c r="D381" i="3"/>
  <c r="C528" i="3"/>
  <c r="D436" i="3"/>
  <c r="C420" i="3"/>
  <c r="D483" i="3"/>
  <c r="D485" i="3"/>
  <c r="D198" i="3"/>
  <c r="C397" i="3"/>
  <c r="B349" i="3"/>
  <c r="B511" i="3"/>
  <c r="C196" i="3"/>
  <c r="C312" i="3"/>
  <c r="B287" i="3"/>
  <c r="B504" i="3"/>
  <c r="D245" i="3"/>
  <c r="D448" i="3"/>
  <c r="C255" i="3"/>
  <c r="C201" i="3"/>
  <c r="D356" i="3"/>
  <c r="D489" i="3"/>
  <c r="D493" i="3"/>
  <c r="D215" i="3"/>
  <c r="B272" i="3"/>
  <c r="C520" i="3"/>
  <c r="D378" i="3"/>
  <c r="B216" i="3"/>
  <c r="B381" i="3"/>
  <c r="D446" i="3"/>
  <c r="B356" i="3"/>
  <c r="C178" i="3"/>
  <c r="C197" i="3"/>
  <c r="D316" i="3"/>
  <c r="C268" i="3"/>
  <c r="B291" i="3"/>
  <c r="D264" i="3"/>
  <c r="D490" i="3"/>
  <c r="D526" i="3"/>
  <c r="D343" i="3"/>
  <c r="C392" i="3"/>
  <c r="C309" i="3"/>
  <c r="B229" i="3"/>
  <c r="B319" i="3"/>
  <c r="D402" i="3"/>
  <c r="C480" i="3"/>
  <c r="D269" i="3"/>
  <c r="C512" i="3"/>
  <c r="B396" i="3"/>
  <c r="D340" i="3"/>
  <c r="D390" i="3"/>
  <c r="C294" i="3"/>
  <c r="B486" i="3"/>
  <c r="B516" i="3"/>
  <c r="C157" i="3"/>
  <c r="B444" i="3"/>
  <c r="D480" i="3"/>
  <c r="D331" i="3"/>
  <c r="D345" i="3"/>
  <c r="B323" i="3"/>
  <c r="C306" i="3"/>
  <c r="D346" i="3"/>
  <c r="D335" i="3"/>
  <c r="B178" i="3"/>
  <c r="D328" i="3"/>
  <c r="D365" i="3"/>
  <c r="D372" i="3"/>
  <c r="C256" i="3"/>
  <c r="C347" i="3"/>
  <c r="C161" i="3"/>
  <c r="D159" i="3"/>
  <c r="D192" i="3"/>
  <c r="B485" i="3"/>
  <c r="B510" i="3"/>
  <c r="C457" i="3"/>
  <c r="C278" i="3"/>
  <c r="C200" i="3"/>
  <c r="B378" i="3"/>
  <c r="D357" i="3"/>
  <c r="B301" i="3"/>
  <c r="C511" i="3"/>
  <c r="B366" i="3"/>
  <c r="B437" i="3"/>
  <c r="B455" i="3"/>
  <c r="D439" i="3"/>
  <c r="D450" i="3"/>
  <c r="D422" i="3"/>
  <c r="D410" i="3"/>
  <c r="C388" i="3"/>
  <c r="D168" i="3"/>
  <c r="B469" i="3"/>
  <c r="B163" i="3"/>
  <c r="B386" i="3"/>
  <c r="B420" i="3"/>
  <c r="D201" i="3"/>
  <c r="C215" i="3"/>
  <c r="B446" i="3"/>
  <c r="B441" i="3"/>
  <c r="B410" i="3"/>
  <c r="D257" i="3"/>
  <c r="D204" i="3"/>
  <c r="B459" i="3"/>
  <c r="D481" i="3"/>
  <c r="D196" i="3"/>
  <c r="D366" i="3"/>
  <c r="C280" i="3"/>
  <c r="C513" i="3"/>
  <c r="D317" i="3"/>
  <c r="C430" i="3"/>
  <c r="D435" i="3"/>
  <c r="D495" i="3"/>
  <c r="D491" i="3"/>
  <c r="B348" i="3"/>
  <c r="C154" i="3"/>
  <c r="C267" i="3"/>
  <c r="B249" i="3"/>
  <c r="D318" i="3"/>
  <c r="B237" i="3"/>
  <c r="D505" i="3"/>
  <c r="C160" i="3"/>
  <c r="B330" i="3"/>
  <c r="C236" i="3"/>
  <c r="C352" i="3"/>
  <c r="C171" i="3"/>
  <c r="B256" i="3"/>
  <c r="B328" i="3"/>
  <c r="C181" i="3"/>
  <c r="D515" i="3"/>
  <c r="D427" i="3"/>
  <c r="D280" i="3"/>
  <c r="B439" i="3"/>
  <c r="D180" i="3"/>
  <c r="C297" i="3"/>
  <c r="C257" i="3"/>
  <c r="B426" i="3"/>
  <c r="D306" i="3"/>
  <c r="B242" i="3"/>
  <c r="B182" i="3"/>
  <c r="C233" i="3"/>
  <c r="C394" i="3"/>
  <c r="B433" i="3"/>
  <c r="D296" i="3"/>
  <c r="D298" i="3"/>
  <c r="C234" i="3"/>
  <c r="B340" i="3"/>
  <c r="C230" i="3"/>
  <c r="C205" i="3"/>
  <c r="B409" i="3"/>
  <c r="B275" i="3"/>
  <c r="B217" i="3"/>
  <c r="C285" i="3"/>
  <c r="C523" i="3"/>
  <c r="D339" i="3"/>
  <c r="D153" i="3"/>
  <c r="B252" i="3"/>
  <c r="C483" i="3"/>
  <c r="D208" i="3"/>
  <c r="C163" i="3"/>
  <c r="C453" i="3"/>
  <c r="B491" i="3"/>
  <c r="C525" i="3"/>
  <c r="B218" i="3"/>
  <c r="B307" i="3"/>
  <c r="B254" i="3"/>
  <c r="C368" i="3"/>
  <c r="C445" i="3"/>
  <c r="B179" i="3"/>
  <c r="C176" i="3"/>
  <c r="C362" i="3"/>
  <c r="D311" i="3"/>
  <c r="B200" i="3"/>
  <c r="D294" i="3"/>
  <c r="C351" i="3"/>
  <c r="B436" i="3"/>
  <c r="D193" i="3"/>
  <c r="D462" i="3"/>
  <c r="B358" i="3"/>
  <c r="D486" i="3"/>
  <c r="C373" i="3"/>
  <c r="D320" i="3"/>
  <c r="C408" i="3"/>
  <c r="C275" i="3"/>
  <c r="B528" i="3"/>
  <c r="D315" i="3"/>
  <c r="B412" i="3"/>
  <c r="B325" i="3"/>
  <c r="C475" i="3"/>
  <c r="B489" i="3"/>
  <c r="C284" i="3"/>
  <c r="C348" i="3"/>
  <c r="D289" i="3"/>
  <c r="B165" i="3"/>
  <c r="B311" i="3"/>
  <c r="C286" i="3"/>
  <c r="B260" i="3"/>
  <c r="B211" i="3"/>
  <c r="C421" i="3"/>
  <c r="C170" i="3"/>
  <c r="D194" i="3"/>
  <c r="D166" i="3"/>
  <c r="B430" i="3"/>
  <c r="B399" i="3"/>
  <c r="C315" i="3"/>
  <c r="C435" i="3"/>
  <c r="C422" i="3"/>
  <c r="D276" i="3"/>
  <c r="B331" i="3"/>
  <c r="C438" i="3"/>
  <c r="B518" i="3"/>
  <c r="B201" i="3"/>
  <c r="B369" i="3"/>
  <c r="C526" i="3"/>
  <c r="B373" i="3"/>
  <c r="B512" i="3"/>
  <c r="D364" i="3"/>
  <c r="C455" i="3"/>
  <c r="C402" i="3"/>
  <c r="D501" i="3"/>
  <c r="C372" i="3"/>
  <c r="B411" i="3"/>
  <c r="C327" i="3"/>
  <c r="C413" i="3"/>
  <c r="B230" i="3"/>
  <c r="B316" i="3"/>
  <c r="C471" i="3"/>
  <c r="C412" i="3"/>
  <c r="D453" i="3"/>
  <c r="C482" i="3"/>
  <c r="C273" i="3"/>
  <c r="B452" i="3"/>
  <c r="B247" i="3"/>
  <c r="D171" i="3"/>
  <c r="B196" i="3"/>
  <c r="D268" i="3"/>
  <c r="C396" i="3"/>
  <c r="C495" i="3"/>
  <c r="D286" i="3"/>
  <c r="D510" i="3"/>
  <c r="B190" i="3"/>
  <c r="B265" i="3"/>
  <c r="D329" i="3"/>
  <c r="B156" i="3"/>
  <c r="B387" i="3"/>
  <c r="B299" i="3"/>
  <c r="C390" i="3"/>
  <c r="C524" i="3"/>
  <c r="D187" i="3"/>
  <c r="D396" i="3"/>
  <c r="C261" i="3"/>
  <c r="B476" i="3"/>
  <c r="C329" i="3"/>
  <c r="C155" i="3"/>
  <c r="B180" i="3"/>
  <c r="C386" i="3"/>
  <c r="B181" i="3"/>
  <c r="C328" i="3"/>
  <c r="C437" i="3"/>
  <c r="B153" i="3"/>
  <c r="D190" i="3"/>
  <c r="C298" i="3"/>
  <c r="C259" i="3"/>
  <c r="D347" i="3"/>
  <c r="C485" i="3"/>
  <c r="B417" i="3"/>
  <c r="C281" i="3"/>
  <c r="D188" i="3"/>
  <c r="D232" i="3"/>
  <c r="C427" i="3"/>
  <c r="C279" i="3"/>
  <c r="B214" i="3"/>
  <c r="B474" i="3"/>
  <c r="D270" i="3"/>
  <c r="D476" i="3"/>
  <c r="C426" i="3"/>
  <c r="D183" i="3"/>
  <c r="D369" i="3"/>
  <c r="B498" i="3"/>
  <c r="B397" i="3"/>
  <c r="C506" i="3"/>
  <c r="C527" i="3"/>
  <c r="C263" i="3"/>
  <c r="C217" i="3"/>
  <c r="B519" i="3"/>
  <c r="C172" i="3"/>
  <c r="B199" i="3"/>
  <c r="D520" i="3"/>
  <c r="C399" i="3"/>
  <c r="B497" i="3"/>
  <c r="B157" i="3"/>
  <c r="C242" i="3"/>
  <c r="B271" i="3"/>
  <c r="C501" i="3"/>
  <c r="D219" i="3"/>
  <c r="B172" i="3"/>
  <c r="D200" i="3"/>
  <c r="B413" i="3"/>
  <c r="B259" i="3"/>
  <c r="B208" i="3"/>
  <c r="C423" i="3"/>
  <c r="B258" i="3"/>
  <c r="D471" i="3"/>
  <c r="C308" i="3"/>
  <c r="B159" i="3"/>
  <c r="C311" i="3"/>
  <c r="D238" i="3"/>
  <c r="D438" i="3"/>
  <c r="C519" i="3"/>
  <c r="D499" i="3"/>
  <c r="C182" i="3"/>
  <c r="C500" i="3"/>
  <c r="B321" i="3"/>
  <c r="D203" i="3"/>
  <c r="C262" i="3"/>
  <c r="B499" i="3"/>
  <c r="D413" i="3"/>
  <c r="C354" i="3"/>
  <c r="C378" i="3"/>
  <c r="D503" i="3"/>
  <c r="C361" i="3"/>
  <c r="D333" i="3"/>
  <c r="C211" i="3"/>
  <c r="D465" i="3"/>
  <c r="D487" i="3"/>
  <c r="D423" i="3"/>
  <c r="D332" i="3"/>
  <c r="D397" i="3"/>
  <c r="C387" i="3"/>
  <c r="C238" i="3"/>
  <c r="D401" i="3"/>
  <c r="B520" i="3"/>
  <c r="D310" i="3"/>
  <c r="B403" i="3"/>
  <c r="B213" i="3"/>
  <c r="D509" i="3"/>
  <c r="C374" i="3"/>
  <c r="B406" i="3"/>
  <c r="B327" i="3"/>
  <c r="D416" i="3"/>
  <c r="B251" i="3"/>
  <c r="C391" i="3"/>
  <c r="C358" i="3"/>
  <c r="D351" i="3"/>
  <c r="C404" i="3"/>
  <c r="D160" i="3"/>
  <c r="D406" i="3"/>
  <c r="D299" i="3"/>
  <c r="B424" i="3"/>
  <c r="D454" i="3"/>
  <c r="C319" i="3"/>
  <c r="B390" i="3"/>
  <c r="C287" i="3"/>
  <c r="C199" i="3"/>
  <c r="B337" i="3"/>
  <c r="B361" i="3"/>
  <c r="C332" i="3"/>
  <c r="B517" i="3"/>
  <c r="B194" i="3"/>
  <c r="C249" i="3"/>
  <c r="D432" i="3"/>
  <c r="B277" i="3"/>
  <c r="C353" i="3"/>
  <c r="C340" i="3"/>
  <c r="D516" i="3"/>
  <c r="D371" i="3"/>
  <c r="D467" i="3"/>
  <c r="B392" i="3"/>
  <c r="D383" i="3"/>
  <c r="B391" i="3"/>
  <c r="C164" i="3"/>
  <c r="D444" i="3"/>
  <c r="B308" i="3"/>
  <c r="C449" i="3"/>
  <c r="C460" i="3"/>
  <c r="D241" i="3"/>
  <c r="B202" i="3"/>
  <c r="C405" i="3"/>
  <c r="C416" i="3"/>
  <c r="B493" i="3"/>
  <c r="D161" i="3"/>
  <c r="B414" i="3"/>
  <c r="D382" i="3"/>
  <c r="D325" i="3"/>
  <c r="D185" i="3"/>
  <c r="C232" i="3"/>
  <c r="B184" i="3"/>
  <c r="B466" i="3"/>
  <c r="B238" i="3"/>
  <c r="C213" i="3"/>
  <c r="D163" i="3"/>
  <c r="C452" i="3"/>
  <c r="C366" i="3"/>
  <c r="B342" i="3"/>
  <c r="C282" i="3"/>
  <c r="B329" i="3"/>
  <c r="C156" i="3"/>
  <c r="D391" i="3"/>
  <c r="C248" i="3"/>
  <c r="C341" i="3"/>
  <c r="B189" i="3"/>
  <c r="D496" i="3"/>
  <c r="B171" i="3"/>
  <c r="B198" i="3"/>
  <c r="D370" i="3"/>
  <c r="C510" i="3"/>
  <c r="C271" i="3"/>
  <c r="B385" i="3"/>
  <c r="D344" i="3"/>
  <c r="B281" i="3"/>
  <c r="D164" i="3"/>
  <c r="B509" i="3"/>
  <c r="B443" i="3"/>
  <c r="D309" i="3"/>
  <c r="D216" i="3"/>
  <c r="C252" i="3"/>
  <c r="B195" i="3"/>
  <c r="D359" i="3"/>
  <c r="C241" i="3"/>
  <c r="B354" i="3"/>
  <c r="B465" i="3"/>
  <c r="B360" i="3"/>
  <c r="C377" i="3"/>
  <c r="C183" i="3"/>
  <c r="B187" i="3"/>
  <c r="C342" i="3"/>
  <c r="C383" i="3"/>
  <c r="D297" i="3"/>
  <c r="C159" i="3"/>
  <c r="C497" i="3"/>
  <c r="B155" i="3"/>
  <c r="D519" i="3"/>
  <c r="C492" i="3"/>
  <c r="D253" i="3"/>
  <c r="B456" i="3"/>
  <c r="B419" i="3"/>
  <c r="D368" i="3"/>
  <c r="D442" i="3"/>
  <c r="D500" i="3"/>
  <c r="C356" i="3"/>
  <c r="D484" i="3"/>
  <c r="C436" i="3"/>
  <c r="D260" i="3"/>
  <c r="C158" i="3"/>
  <c r="B350" i="3"/>
  <c r="B320" i="3"/>
  <c r="B428" i="3"/>
  <c r="D279" i="3"/>
  <c r="B346" i="3"/>
  <c r="D207" i="3"/>
  <c r="C169" i="3"/>
  <c r="B338" i="3"/>
  <c r="D256" i="3"/>
  <c r="D205" i="3"/>
  <c r="C516" i="3"/>
  <c r="D447" i="3"/>
  <c r="B515" i="3"/>
  <c r="B304" i="3"/>
  <c r="D301" i="3"/>
  <c r="B362" i="3"/>
  <c r="B205" i="3"/>
  <c r="B309" i="3"/>
  <c r="B429" i="3"/>
  <c r="C409" i="3"/>
  <c r="C431" i="3"/>
  <c r="C389" i="3"/>
  <c r="D443" i="3"/>
  <c r="B398" i="3"/>
  <c r="C447" i="3"/>
  <c r="B232" i="3"/>
  <c r="B402" i="3"/>
  <c r="B438" i="3"/>
  <c r="C371" i="3"/>
  <c r="C507" i="3"/>
  <c r="B164" i="3"/>
  <c r="D464" i="3"/>
  <c r="D441" i="3"/>
  <c r="C179" i="3"/>
  <c r="D162" i="3"/>
  <c r="D506" i="3"/>
  <c r="C376" i="3"/>
  <c r="B282" i="3"/>
  <c r="D292" i="3"/>
  <c r="C245" i="3"/>
  <c r="C184" i="3"/>
  <c r="C468" i="3"/>
  <c r="C504" i="3"/>
  <c r="D508" i="3"/>
  <c r="C310" i="3"/>
  <c r="C382" i="3"/>
  <c r="D367" i="3"/>
  <c r="D252" i="3"/>
  <c r="C195" i="3"/>
  <c r="B231" i="3"/>
  <c r="D504" i="3"/>
  <c r="D235" i="3"/>
  <c r="C193" i="3"/>
  <c r="B267" i="3"/>
  <c r="B524" i="3"/>
  <c r="C509" i="3"/>
  <c r="B207" i="3"/>
  <c r="D248" i="3"/>
  <c r="C344" i="3"/>
  <c r="D472" i="3"/>
  <c r="B333" i="3"/>
  <c r="B357" i="3"/>
  <c r="D230" i="3"/>
  <c r="C476" i="3"/>
  <c r="C187" i="3"/>
  <c r="C499" i="3"/>
  <c r="C470" i="3"/>
  <c r="C322" i="3"/>
  <c r="C458" i="3"/>
  <c r="C343" i="3"/>
  <c r="C418" i="3"/>
  <c r="C175" i="3"/>
  <c r="D411" i="3"/>
  <c r="C243" i="3"/>
  <c r="B343" i="3"/>
  <c r="B370" i="3"/>
  <c r="B482" i="3"/>
  <c r="D156" i="3"/>
  <c r="C363" i="3"/>
  <c r="D358" i="3"/>
  <c r="B502" i="3"/>
  <c r="B315" i="3"/>
  <c r="C258" i="3"/>
  <c r="C206" i="3"/>
  <c r="D229" i="3"/>
  <c r="B168" i="3"/>
  <c r="D251" i="3"/>
  <c r="D513" i="3"/>
  <c r="D437" i="3"/>
  <c r="B400" i="3"/>
  <c r="D363" i="3"/>
  <c r="C464" i="3"/>
  <c r="C428" i="3"/>
  <c r="C208" i="3"/>
  <c r="B295" i="3"/>
  <c r="D408" i="3"/>
  <c r="B423" i="3"/>
  <c r="D466" i="3"/>
  <c r="C330" i="3"/>
  <c r="B310" i="3"/>
  <c r="B483" i="3"/>
  <c r="D376" i="3"/>
  <c r="C180" i="3"/>
  <c r="D375" i="3"/>
  <c r="C185" i="3"/>
  <c r="C228" i="3"/>
  <c r="C254" i="3"/>
  <c r="C364" i="3"/>
  <c r="C398" i="3"/>
  <c r="B508" i="3"/>
  <c r="C283" i="3"/>
  <c r="C466" i="3"/>
  <c r="B513" i="3"/>
  <c r="C508" i="3"/>
  <c r="B359" i="3"/>
  <c r="B453" i="3"/>
  <c r="B401" i="3"/>
  <c r="B192" i="3"/>
  <c r="B197" i="3"/>
  <c r="B473" i="3"/>
  <c r="D353" i="3"/>
  <c r="B405" i="3"/>
  <c r="D255" i="3"/>
  <c r="C198" i="3"/>
  <c r="D352" i="3"/>
  <c r="B339" i="3"/>
  <c r="B480" i="3"/>
  <c r="D477" i="3"/>
  <c r="C479" i="3"/>
  <c r="B415" i="3"/>
  <c r="D380" i="3"/>
  <c r="C209" i="3"/>
  <c r="C247" i="3"/>
  <c r="D169" i="3"/>
  <c r="D420" i="3"/>
  <c r="B383" i="3"/>
  <c r="C487" i="3"/>
  <c r="B407" i="3"/>
  <c r="C218" i="3"/>
  <c r="D473" i="3"/>
  <c r="B506" i="3"/>
  <c r="C450" i="3"/>
  <c r="B170" i="3"/>
  <c r="D209" i="3"/>
  <c r="B408" i="3"/>
  <c r="D217" i="3"/>
  <c r="C272" i="3"/>
  <c r="C456" i="3"/>
  <c r="D395" i="3"/>
  <c r="C274" i="3"/>
  <c r="C335" i="3"/>
  <c r="C326" i="3"/>
  <c r="B243" i="3"/>
  <c r="D468" i="3"/>
  <c r="C212" i="3"/>
  <c r="D482" i="3"/>
  <c r="C474" i="3"/>
  <c r="C415" i="3"/>
  <c r="B501" i="3"/>
  <c r="D349" i="3"/>
  <c r="D319" i="3"/>
  <c r="C446" i="3"/>
  <c r="D338" i="3"/>
  <c r="C401" i="3"/>
  <c r="C384" i="3"/>
  <c r="C439" i="3"/>
  <c r="D451" i="3"/>
  <c r="B268" i="3"/>
  <c r="D259" i="3"/>
  <c r="B461" i="3"/>
  <c r="C481" i="3"/>
  <c r="D488" i="3"/>
  <c r="D242" i="3"/>
  <c r="D334" i="3"/>
  <c r="D218" i="3"/>
  <c r="B158" i="3"/>
  <c r="D421" i="3"/>
  <c r="D494" i="3"/>
  <c r="D291" i="3"/>
  <c r="C425" i="3"/>
  <c r="B193" i="3"/>
  <c r="B460" i="3"/>
  <c r="B471" i="3"/>
  <c r="B448" i="3"/>
  <c r="B384" i="3"/>
  <c r="D277" i="3"/>
  <c r="D293" i="3"/>
  <c r="C385" i="3"/>
  <c r="B294" i="3"/>
  <c r="D172" i="3"/>
  <c r="C339" i="3"/>
  <c r="C333" i="3"/>
  <c r="D379" i="3"/>
  <c r="B204" i="3"/>
  <c r="C419" i="3"/>
  <c r="C505" i="3"/>
  <c r="D272" i="3"/>
  <c r="D240" i="3"/>
  <c r="C186" i="3"/>
  <c r="B434" i="3"/>
  <c r="B322" i="3"/>
  <c r="D274" i="3"/>
  <c r="C250" i="3"/>
  <c r="B484" i="3"/>
  <c r="C277" i="3"/>
  <c r="D404" i="3"/>
  <c r="D228" i="3"/>
  <c r="B246" i="3"/>
  <c r="B235" i="3"/>
  <c r="B447" i="3"/>
  <c r="C461" i="3"/>
  <c r="B393" i="3"/>
  <c r="B490" i="3"/>
  <c r="C320" i="3"/>
  <c r="D377" i="3"/>
  <c r="B395" i="3"/>
  <c r="B234" i="3"/>
  <c r="D507" i="3"/>
  <c r="C253" i="3"/>
  <c r="B257" i="3"/>
  <c r="D460" i="3"/>
  <c r="B219" i="3"/>
  <c r="B467" i="3"/>
  <c r="D384" i="3"/>
  <c r="B283" i="3"/>
  <c r="C246" i="3"/>
  <c r="D167" i="3"/>
  <c r="D182" i="3"/>
  <c r="D263" i="3"/>
  <c r="D285" i="3"/>
  <c r="C515" i="3"/>
  <c r="C484" i="3"/>
  <c r="D175" i="3"/>
  <c r="C317" i="3"/>
  <c r="D362" i="3"/>
  <c r="B188" i="3"/>
  <c r="C240" i="3"/>
  <c r="D385" i="3"/>
  <c r="D434" i="3"/>
  <c r="B526" i="3"/>
  <c r="B432" i="3"/>
  <c r="D249" i="3"/>
  <c r="B527" i="3"/>
  <c r="C323" i="3"/>
  <c r="B161" i="3"/>
  <c r="B427" i="3"/>
  <c r="C441" i="3"/>
  <c r="C469" i="3"/>
  <c r="D258" i="3"/>
  <c r="D498" i="3"/>
  <c r="C300" i="3"/>
  <c r="D302" i="3"/>
  <c r="D389" i="3"/>
  <c r="B468" i="3"/>
  <c r="B382" i="3"/>
  <c r="C190" i="3"/>
  <c r="B389" i="3"/>
  <c r="D191" i="3"/>
  <c r="D426" i="3"/>
  <c r="D284" i="3"/>
  <c r="B334" i="3"/>
  <c r="D278" i="3"/>
  <c r="C454" i="3"/>
  <c r="B425" i="3"/>
  <c r="B431" i="3"/>
  <c r="B374" i="3"/>
  <c r="B523" i="3"/>
  <c r="C290" i="3"/>
  <c r="B379" i="3"/>
  <c r="D341" i="3"/>
  <c r="D265" i="3"/>
  <c r="D403" i="3"/>
  <c r="C239" i="3"/>
  <c r="D457" i="3"/>
  <c r="D158" i="3"/>
  <c r="C325" i="3"/>
  <c r="C403" i="3"/>
  <c r="B284" i="3"/>
  <c r="D429" i="3"/>
  <c r="C289" i="3"/>
  <c r="B289" i="3"/>
  <c r="C473" i="3"/>
  <c r="B210" i="3"/>
  <c r="D452" i="3"/>
  <c r="D266" i="3"/>
  <c r="C518" i="3"/>
  <c r="B167" i="3"/>
  <c r="D324" i="3"/>
  <c r="B185" i="3"/>
  <c r="D173" i="3"/>
  <c r="B154" i="3"/>
  <c r="C214" i="3"/>
  <c r="B313" i="3"/>
  <c r="D243" i="3"/>
  <c r="B352" i="3"/>
  <c r="D518" i="3"/>
  <c r="C359" i="3"/>
  <c r="B191" i="3"/>
  <c r="D295" i="3"/>
  <c r="D527" i="3"/>
  <c r="B394" i="3"/>
  <c r="B464" i="3"/>
  <c r="D231" i="3"/>
  <c r="C210" i="3"/>
  <c r="C166" i="3"/>
  <c r="B250" i="3"/>
  <c r="D528" i="3"/>
  <c r="D348" i="3"/>
  <c r="C288" i="3"/>
  <c r="C301" i="3"/>
  <c r="C432" i="3"/>
  <c r="D247" i="3"/>
  <c r="B488" i="3"/>
  <c r="D300" i="3"/>
  <c r="D409" i="3"/>
  <c r="B248" i="3"/>
  <c r="C411" i="3"/>
  <c r="B279" i="3"/>
  <c r="B215" i="3"/>
  <c r="D323" i="3"/>
  <c r="C260" i="3"/>
  <c r="C202" i="3"/>
  <c r="D524" i="3"/>
  <c r="B174" i="3"/>
  <c r="B371" i="3"/>
  <c r="B300" i="3"/>
  <c r="D407" i="3"/>
  <c r="B236" i="3"/>
  <c r="B445" i="3"/>
  <c r="C496" i="3"/>
  <c r="B470" i="3"/>
  <c r="B209" i="3"/>
  <c r="C462" i="3"/>
  <c r="D523" i="3"/>
  <c r="B253" i="3"/>
  <c r="D398" i="3"/>
  <c r="C244" i="3"/>
  <c r="B296" i="3"/>
  <c r="B162" i="3"/>
  <c r="C486" i="3"/>
  <c r="D387" i="3"/>
  <c r="C490" i="3"/>
  <c r="B363" i="3"/>
  <c r="D195" i="3"/>
  <c r="D211" i="3"/>
  <c r="B481" i="3"/>
  <c r="C472" i="3"/>
  <c r="B263" i="3"/>
  <c r="B479" i="3"/>
  <c r="D273" i="3"/>
  <c r="B169" i="3"/>
  <c r="D459" i="3"/>
  <c r="D206" i="3"/>
  <c r="B312" i="3"/>
  <c r="C360" i="3"/>
  <c r="C318" i="3"/>
  <c r="D213" i="3"/>
  <c r="B335" i="3"/>
  <c r="D179" i="3"/>
  <c r="B261" i="3"/>
  <c r="D492" i="3"/>
  <c r="B332" i="3"/>
  <c r="B353" i="3"/>
  <c r="C349" i="3"/>
  <c r="C424" i="3"/>
  <c r="D282" i="3"/>
  <c r="B303" i="3"/>
  <c r="B462" i="3"/>
  <c r="B326" i="3"/>
  <c r="D287" i="3"/>
  <c r="C503" i="3"/>
  <c r="C334" i="3"/>
  <c r="C291" i="3"/>
  <c r="C350" i="3"/>
  <c r="D176" i="3"/>
  <c r="B477" i="3"/>
  <c r="B457" i="3"/>
  <c r="B278" i="3"/>
  <c r="B324" i="3"/>
  <c r="D418" i="3"/>
  <c r="C494" i="3"/>
  <c r="D417" i="3"/>
  <c r="B306" i="3"/>
  <c r="B475" i="3"/>
  <c r="B376" i="3"/>
  <c r="C293" i="3"/>
  <c r="C192" i="3"/>
  <c r="B270" i="3"/>
  <c r="C338" i="3"/>
  <c r="B293" i="3"/>
  <c r="B440" i="3"/>
  <c r="D419" i="3"/>
  <c r="B514" i="3"/>
  <c r="C440" i="3"/>
  <c r="B288" i="3"/>
  <c r="D275" i="3"/>
  <c r="B472" i="3"/>
  <c r="C514" i="3"/>
  <c r="C491" i="3"/>
  <c r="D326" i="3"/>
  <c r="D212" i="3"/>
  <c r="B355" i="3"/>
  <c r="C417" i="3"/>
  <c r="D350" i="3"/>
  <c r="D184" i="3"/>
  <c r="B450" i="3"/>
  <c r="B318" i="3"/>
  <c r="C167" i="3"/>
  <c r="B367" i="3"/>
  <c r="D283" i="3"/>
  <c r="B507" i="3"/>
  <c r="C292" i="3"/>
  <c r="C177" i="3"/>
  <c r="B505" i="3"/>
  <c r="C379" i="3"/>
  <c r="C269" i="3"/>
  <c r="D399" i="3"/>
  <c r="B503" i="3"/>
  <c r="C380" i="3"/>
  <c r="C370" i="3"/>
  <c r="B492" i="3"/>
  <c r="D354" i="3"/>
  <c r="B280" i="3"/>
  <c r="B212" i="3"/>
  <c r="D307" i="3"/>
  <c r="B336" i="3"/>
  <c r="C173" i="3"/>
  <c r="C381" i="3"/>
  <c r="D165" i="3"/>
  <c r="D392" i="3"/>
  <c r="B404" i="3"/>
  <c r="D517" i="3"/>
  <c r="D197" i="3"/>
  <c r="D233" i="3"/>
  <c r="C174" i="3"/>
  <c r="D244" i="3"/>
  <c r="C314" i="3"/>
  <c r="B454" i="3"/>
  <c r="B421" i="3"/>
  <c r="D237" i="3"/>
  <c r="B416" i="3"/>
  <c r="B500" i="3"/>
  <c r="D431" i="3"/>
  <c r="C264" i="3"/>
  <c r="B176" i="3"/>
  <c r="B206" i="3"/>
  <c r="C410" i="3"/>
  <c r="D355" i="3"/>
  <c r="B266" i="3"/>
  <c r="B228" i="3"/>
  <c r="C313" i="3"/>
  <c r="D314" i="3"/>
  <c r="B458" i="3"/>
  <c r="B377" i="3"/>
  <c r="B487" i="3"/>
  <c r="C307" i="3"/>
  <c r="C235" i="3"/>
  <c r="C521" i="3"/>
  <c r="D154" i="3"/>
  <c r="C296" i="3"/>
  <c r="B262" i="3"/>
  <c r="D262" i="3"/>
  <c r="B290" i="3"/>
  <c r="B380" i="3"/>
  <c r="D186" i="3"/>
  <c r="D360" i="3"/>
  <c r="D424" i="3"/>
  <c r="C316" i="3"/>
  <c r="B302" i="3"/>
  <c r="C522" i="3"/>
  <c r="B166" i="3"/>
  <c r="B365" i="3"/>
  <c r="C168" i="3"/>
  <c r="D254" i="3"/>
  <c r="D250" i="3"/>
  <c r="B175" i="3"/>
  <c r="C204" i="3"/>
  <c r="C407" i="3"/>
  <c r="B463" i="3"/>
  <c r="D321" i="3"/>
  <c r="C165" i="3"/>
  <c r="C345" i="3"/>
  <c r="B522" i="3"/>
  <c r="C336" i="3"/>
  <c r="B240" i="3"/>
  <c r="B422" i="3"/>
  <c r="D303" i="3"/>
  <c r="D440" i="3"/>
  <c r="B292" i="3"/>
  <c r="C265" i="3"/>
  <c r="D470" i="3"/>
  <c r="B276" i="3"/>
  <c r="B341" i="3"/>
  <c r="C478" i="3"/>
  <c r="D400" i="3"/>
  <c r="B375" i="3"/>
  <c r="C231" i="3"/>
  <c r="C188" i="3"/>
  <c r="C444" i="3"/>
  <c r="C365" i="3"/>
  <c r="D361" i="3"/>
  <c r="D522" i="3"/>
  <c r="C395" i="3"/>
  <c r="C189" i="3"/>
  <c r="C191" i="3"/>
  <c r="C302" i="3"/>
  <c r="C229" i="3"/>
  <c r="C216" i="3"/>
  <c r="D373" i="3"/>
  <c r="C237" i="3"/>
  <c r="B314" i="3"/>
  <c r="D514" i="3"/>
  <c r="B183" i="3"/>
  <c r="D290" i="3"/>
  <c r="D322" i="3"/>
  <c r="D497" i="3"/>
  <c r="D271" i="3"/>
  <c r="D469" i="3"/>
  <c r="D456" i="3"/>
  <c r="B297" i="3"/>
  <c r="C346" i="3"/>
  <c r="C276" i="3"/>
  <c r="D394" i="3"/>
  <c r="D521" i="3"/>
  <c r="B160" i="3"/>
  <c r="B255" i="3"/>
  <c r="C299" i="3"/>
  <c r="B285" i="3"/>
  <c r="C303" i="3"/>
  <c r="D304" i="3"/>
  <c r="D449" i="3"/>
  <c r="D305" i="3"/>
  <c r="C251" i="3"/>
  <c r="D455" i="3"/>
  <c r="B347" i="3"/>
  <c r="D155" i="3"/>
  <c r="B494" i="3"/>
  <c r="B203" i="3"/>
  <c r="D511" i="3"/>
  <c r="C433" i="3"/>
  <c r="B305" i="3"/>
  <c r="B298" i="3"/>
  <c r="D210" i="3"/>
  <c r="D374" i="3"/>
  <c r="C153" i="3"/>
  <c r="D337" i="3"/>
  <c r="B241" i="3"/>
  <c r="D479" i="3"/>
  <c r="D336" i="3"/>
  <c r="B521" i="3"/>
  <c r="D388" i="3"/>
  <c r="C393" i="3"/>
  <c r="C369" i="3"/>
  <c r="C355" i="3"/>
  <c r="B364" i="3"/>
  <c r="B345" i="3"/>
  <c r="C488" i="3"/>
  <c r="D474" i="3"/>
  <c r="C517" i="3"/>
  <c r="D428" i="3"/>
  <c r="B233" i="3"/>
  <c r="D174" i="3"/>
  <c r="C203" i="3"/>
  <c r="C357" i="3"/>
  <c r="C448" i="3"/>
  <c r="B245" i="3"/>
  <c r="B173" i="3"/>
  <c r="D445" i="3"/>
  <c r="B388" i="3"/>
  <c r="B186" i="3"/>
  <c r="D393" i="3"/>
  <c r="D246" i="3"/>
  <c r="B372" i="3"/>
  <c r="C502" i="3"/>
  <c r="C414" i="3"/>
  <c r="C463" i="3"/>
  <c r="C375" i="3"/>
  <c r="B317" i="3"/>
  <c r="D425" i="3"/>
  <c r="B264" i="3"/>
  <c r="D189" i="3"/>
  <c r="D463" i="3"/>
  <c r="C467" i="3"/>
  <c r="D327" i="3"/>
  <c r="B449" i="3"/>
  <c r="B451" i="3"/>
  <c r="B269" i="3"/>
  <c r="C489" i="3"/>
  <c r="D234" i="3"/>
  <c r="D288" i="3"/>
  <c r="D199" i="3"/>
  <c r="D342" i="3"/>
  <c r="D433" i="3"/>
  <c r="D386" i="3"/>
  <c r="C442" i="3"/>
  <c r="C429" i="3"/>
  <c r="B177" i="3"/>
  <c r="D214" i="3"/>
  <c r="C305" i="3"/>
  <c r="D177" i="3"/>
  <c r="D236" i="3"/>
  <c r="D414" i="3"/>
  <c r="C367" i="3"/>
  <c r="D308" i="3"/>
  <c r="B344" i="3"/>
  <c r="C434" i="3"/>
  <c r="D178" i="3"/>
  <c r="B442" i="3"/>
  <c r="D412" i="3"/>
  <c r="B368" i="3"/>
  <c r="D405" i="3"/>
  <c r="D502" i="3"/>
  <c r="D202" i="3"/>
  <c r="C337" i="3"/>
  <c r="B478" i="3"/>
  <c r="B418" i="3"/>
  <c r="D313" i="3"/>
  <c r="D157" i="3"/>
  <c r="D461" i="3"/>
  <c r="C207" i="3"/>
  <c r="D525" i="3"/>
  <c r="D312" i="3"/>
  <c r="D415" i="3"/>
  <c r="C321" i="3"/>
  <c r="C443" i="3"/>
  <c r="C219" i="3"/>
  <c r="B273" i="3"/>
  <c r="C498" i="3"/>
  <c r="B244" i="3"/>
  <c r="D281" i="3"/>
  <c r="C266" i="3"/>
  <c r="D458" i="3"/>
  <c r="C331" i="3"/>
  <c r="C465" i="3"/>
  <c r="C406" i="3"/>
  <c r="C493" i="3"/>
  <c r="D330" i="3"/>
  <c r="B496" i="3"/>
  <c r="B351" i="3"/>
  <c r="C295" i="3"/>
  <c r="C162" i="3"/>
  <c r="B274" i="3"/>
  <c r="D478" i="3"/>
  <c r="D152" i="3"/>
  <c r="E152" i="3"/>
  <c r="B152" i="3"/>
  <c r="C152" i="3"/>
</calcChain>
</file>

<file path=xl/sharedStrings.xml><?xml version="1.0" encoding="utf-8"?>
<sst xmlns="http://schemas.openxmlformats.org/spreadsheetml/2006/main" count="21" uniqueCount="12">
  <si>
    <t xml:space="preserve">Fecha </t>
  </si>
  <si>
    <t>Codigo de Barras</t>
  </si>
  <si>
    <t>Unidades</t>
  </si>
  <si>
    <t xml:space="preserve">Descripcion del Producto </t>
  </si>
  <si>
    <t>DESCRIPCION DEL PRODUCTO</t>
  </si>
  <si>
    <t>FECHA DE INVENTARIO</t>
  </si>
  <si>
    <t>Metros</t>
  </si>
  <si>
    <t>Kilos</t>
  </si>
  <si>
    <t>Descripcion</t>
  </si>
  <si>
    <t>TOTAL</t>
  </si>
  <si>
    <t>Columna1</t>
  </si>
  <si>
    <t>CODIGO DE BARRAS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</si>
</sst>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-* #,##0.00_-;\-* #,##0.00_-;_-* &quot;-&quot;??_-;_-@_-"/>
    <numFmt numFmtId="164" formatCode="[$-80A]d&quot; de &quot;mmmm&quot; de &quot;yyyy;@"/>
    <numFmt numFmtId="165" formatCode="_-* #,##0_-;\-* #,##0_-;_-* &quot;-&quot;??_-;_-@_-"/>
  </numFmts>
  <fonts count="5" x14ac:knownFonts="1"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2"/>
      <color rgb="FF00B050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theme="8" tint="0.79998168889431442"/>
      </patternFill>
    </fill>
  </fills>
  <borders count="3">
    <border>
      <left/>
      <right/>
      <top/>
      <bottom/>
      <diagonal/>
    </border>
    <border>
      <left/>
      <right/>
      <top style="thin">
        <color theme="8" tint="0.39997558519241921"/>
      </top>
      <bottom style="thin">
        <color theme="8" tint="0.39997558519241921"/>
      </bottom>
      <diagonal/>
    </border>
    <border>
      <left style="thin">
        <color theme="8" tint="0.39997558519241921"/>
      </left>
      <right/>
      <top style="thin">
        <color theme="8" tint="0.39997558519241921"/>
      </top>
      <bottom style="thin">
        <color theme="8" tint="0.39997558519241921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31">
    <xf numFmtId="0" fontId="0" fillId="0" borderId="0" xfId="0"/>
    <xf numFmtId="0" fontId="0" fillId="2" borderId="0" xfId="0" applyFill="1"/>
    <xf numFmtId="0" fontId="0" fillId="3" borderId="0" xfId="0" applyFill="1"/>
    <xf numFmtId="164" fontId="0" fillId="4" borderId="0" xfId="0" applyNumberFormat="1" applyFill="1"/>
    <xf numFmtId="164" fontId="0" fillId="0" borderId="0" xfId="0" applyNumberFormat="1"/>
    <xf numFmtId="0" fontId="0" fillId="6" borderId="0" xfId="0" applyFill="1"/>
    <xf numFmtId="3" fontId="1" fillId="7" borderId="1" xfId="0" applyNumberFormat="1" applyFont="1" applyFill="1" applyBorder="1" applyAlignment="1">
      <alignment horizontal="left" vertical="center"/>
    </xf>
    <xf numFmtId="3" fontId="1" fillId="7" borderId="0" xfId="0" applyNumberFormat="1" applyFont="1" applyFill="1" applyBorder="1" applyAlignment="1">
      <alignment horizontal="left" vertic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22" fontId="0" fillId="2" borderId="0" xfId="0" applyNumberFormat="1" applyFill="1"/>
    <xf numFmtId="0" fontId="0" fillId="2" borderId="0" xfId="0" applyFill="1" applyProtection="1">
      <protection locked="0"/>
    </xf>
    <xf numFmtId="0" fontId="0" fillId="8" borderId="0" xfId="0" applyFill="1" applyProtection="1"/>
    <xf numFmtId="0" fontId="2" fillId="8" borderId="0" xfId="0" applyFont="1" applyFill="1" applyProtection="1"/>
    <xf numFmtId="22" fontId="0" fillId="8" borderId="0" xfId="0" applyNumberFormat="1" applyFill="1"/>
    <xf numFmtId="0" fontId="0" fillId="0" borderId="0" xfId="0" applyFill="1"/>
    <xf numFmtId="0" fontId="0" fillId="9" borderId="0" xfId="0" applyFill="1" applyProtection="1">
      <protection locked="0"/>
    </xf>
    <xf numFmtId="0" fontId="0" fillId="9" borderId="0" xfId="0" applyFill="1" applyBorder="1" applyProtection="1">
      <protection locked="0"/>
    </xf>
    <xf numFmtId="164" fontId="0" fillId="0" borderId="0" xfId="0" applyNumberFormat="1" applyFill="1"/>
    <xf numFmtId="0" fontId="0" fillId="10" borderId="0" xfId="0" applyFill="1" applyProtection="1">
      <protection locked="0"/>
    </xf>
    <xf numFmtId="165" fontId="0" fillId="2" borderId="0" xfId="1" applyNumberFormat="1" applyFont="1" applyFill="1" applyProtection="1">
      <protection locked="0"/>
    </xf>
    <xf numFmtId="165" fontId="0" fillId="8" borderId="0" xfId="1" applyNumberFormat="1" applyFont="1" applyFill="1" applyProtection="1"/>
    <xf numFmtId="165" fontId="3" fillId="12" borderId="2" xfId="1" applyNumberFormat="1" applyFont="1" applyFill="1" applyBorder="1" applyProtection="1">
      <protection locked="0"/>
    </xf>
    <xf numFmtId="165" fontId="3" fillId="0" borderId="2" xfId="1" applyNumberFormat="1" applyFont="1" applyBorder="1" applyProtection="1">
      <protection locked="0"/>
    </xf>
    <xf numFmtId="165" fontId="0" fillId="5" borderId="0" xfId="1" applyNumberFormat="1" applyFont="1" applyFill="1" applyBorder="1" applyProtection="1"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0" fillId="3" borderId="0" xfId="1" applyNumberFormat="1" applyFont="1" applyFill="1" applyProtection="1">
      <protection locked="0"/>
    </xf>
    <xf numFmtId="165" fontId="0" fillId="11" borderId="0" xfId="1" applyNumberFormat="1" applyFont="1" applyFill="1" applyProtection="1">
      <protection locked="0"/>
    </xf>
    <xf numFmtId="165" fontId="0" fillId="2" borderId="0" xfId="1" applyNumberFormat="1" applyFont="1" applyFill="1"/>
    <xf numFmtId="165" fontId="0" fillId="0" borderId="0" xfId="1" applyNumberFormat="1" applyFont="1"/>
  </cellXfs>
  <cellStyles count="2">
    <cellStyle name="Millares" xfId="1" builtinId="3"/>
    <cellStyle name="Normal" xfId="0" builtinId="0"/>
  </cellStyles>
  <dxfs count="6">
    <dxf>
      <fill>
        <patternFill patternType="solid">
          <fgColor indexed="64"/>
          <bgColor theme="4" tint="0.39997558519241921"/>
        </patternFill>
      </fill>
    </dxf>
    <dxf>
      <fill>
        <patternFill patternType="solid">
          <fgColor indexed="64"/>
          <bgColor theme="4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3" formatCode="#,##0"/>
      <fill>
        <patternFill patternType="solid">
          <fgColor indexed="64"/>
          <bgColor theme="4" tint="-0.499984740745262"/>
        </patternFill>
      </fill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3" formatCode="#,##0"/>
      <fill>
        <patternFill patternType="solid">
          <fgColor indexed="64"/>
          <bgColor theme="4" tint="-0.499984740745262"/>
        </patternFill>
      </fill>
      <alignment horizontal="left" vertical="center" textRotation="0" wrapText="0" indent="0" justifyLastLine="0" shrinkToFit="0" readingOrder="0"/>
    </dxf>
    <dxf>
      <fill>
        <patternFill patternType="solid">
          <fgColor indexed="64"/>
          <bgColor theme="4" tint="0.39997558519241921"/>
        </patternFill>
      </fill>
    </dxf>
    <dxf>
      <numFmt numFmtId="165" formatCode="_-* #,##0_-;\-* #,##0_-;_-* &quot;-&quot;??_-;_-@_-"/>
      <fill>
        <patternFill patternType="solid">
          <fgColor indexed="64"/>
          <bgColor theme="4" tint="0.39997558519241921"/>
        </patternFill>
      </fill>
    </dxf>
  </dxfs>
  <tableStyles count="0" defaultTableStyle="TableStyleMedium2" defaultPivotStyle="PivotStyleLight16"/>
  <colors>
    <mruColors>
      <color rgb="FFE5E4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ar/folders/4n/t8hwjdws1bsfb43sgk9j24mh0000gn/T/com.microsoft.Outlook/Outlook%20Temp/mCodBarras%20LABRO%202019%20may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e de datos"/>
      <sheetName val="Ingreso codigo"/>
      <sheetName val="Imp. 1 item pagina"/>
      <sheetName val="Hoja1"/>
      <sheetName val="imp. 3 item pagina"/>
      <sheetName val="Imp. 5 item pagina"/>
    </sheetNames>
    <sheetDataSet>
      <sheetData sheetId="0">
        <row r="1">
          <cell r="B1" t="str">
            <v>BASE DE DATOS PRODUCTOS</v>
          </cell>
          <cell r="E1" t="str">
            <v xml:space="preserve">Total de productos </v>
          </cell>
          <cell r="F1">
            <v>376</v>
          </cell>
        </row>
        <row r="3">
          <cell r="B3" t="str">
            <v>Codigo de barras</v>
          </cell>
          <cell r="C3" t="str">
            <v>Nombre producto</v>
          </cell>
          <cell r="D3" t="str">
            <v>Metros</v>
          </cell>
          <cell r="E3" t="str">
            <v>Kilos</v>
          </cell>
          <cell r="F3" t="str">
            <v>Caja</v>
          </cell>
        </row>
        <row r="4">
          <cell r="B4">
            <v>200611001</v>
          </cell>
          <cell r="C4" t="str">
            <v>Pelicula PVC 35 mic. CH 611 mm</v>
          </cell>
          <cell r="D4">
            <v>2820</v>
          </cell>
          <cell r="E4">
            <v>78</v>
          </cell>
          <cell r="F4">
            <v>1</v>
          </cell>
        </row>
        <row r="5">
          <cell r="B5">
            <v>200611002</v>
          </cell>
          <cell r="C5" t="str">
            <v>Pelicula PVC 35 mic. CH 611 mm</v>
          </cell>
          <cell r="D5">
            <v>2870</v>
          </cell>
          <cell r="E5">
            <v>78.7</v>
          </cell>
          <cell r="F5">
            <v>2</v>
          </cell>
        </row>
        <row r="6">
          <cell r="B6">
            <v>200611003</v>
          </cell>
          <cell r="C6" t="str">
            <v>Pelicula PVC 35 mic. CH 611 mm</v>
          </cell>
          <cell r="D6">
            <v>2782</v>
          </cell>
          <cell r="E6">
            <v>78.8</v>
          </cell>
          <cell r="F6">
            <v>3</v>
          </cell>
        </row>
        <row r="7">
          <cell r="B7">
            <v>200611004</v>
          </cell>
          <cell r="C7" t="str">
            <v>Pelicula PVC 35 mic. CH 611 mm</v>
          </cell>
          <cell r="D7">
            <v>2941</v>
          </cell>
          <cell r="E7">
            <v>81.400000000000006</v>
          </cell>
          <cell r="F7">
            <v>4</v>
          </cell>
        </row>
        <row r="8">
          <cell r="B8">
            <v>200611005</v>
          </cell>
          <cell r="C8" t="str">
            <v>Pelicula PVC 35 mic. CH 611 mm</v>
          </cell>
          <cell r="D8">
            <v>2800</v>
          </cell>
          <cell r="E8">
            <v>77.2</v>
          </cell>
          <cell r="F8">
            <v>5</v>
          </cell>
        </row>
        <row r="9">
          <cell r="B9">
            <v>200611006</v>
          </cell>
          <cell r="C9" t="str">
            <v>Pelicula PVC 35 mic. CH 611 mm</v>
          </cell>
          <cell r="D9">
            <v>2820</v>
          </cell>
          <cell r="E9">
            <v>79.400000000000006</v>
          </cell>
          <cell r="F9">
            <v>6</v>
          </cell>
        </row>
        <row r="10">
          <cell r="B10">
            <v>200611007</v>
          </cell>
          <cell r="C10" t="str">
            <v>Pelicula PVC 35 mic. CH 611 mm</v>
          </cell>
          <cell r="D10">
            <v>2814</v>
          </cell>
          <cell r="E10">
            <v>78.5</v>
          </cell>
          <cell r="F10">
            <v>7</v>
          </cell>
        </row>
        <row r="11">
          <cell r="B11">
            <v>200611008</v>
          </cell>
          <cell r="C11" t="str">
            <v>Pelicula PVC 35 mic. CH 611 mm</v>
          </cell>
          <cell r="D11">
            <v>2913</v>
          </cell>
          <cell r="E11">
            <v>83.3</v>
          </cell>
          <cell r="F11">
            <v>8</v>
          </cell>
        </row>
        <row r="12">
          <cell r="B12">
            <v>200611009</v>
          </cell>
          <cell r="C12" t="str">
            <v>Pelicula PVC 35 mic. CH 611 mm</v>
          </cell>
          <cell r="D12">
            <v>2832</v>
          </cell>
          <cell r="E12">
            <v>79.7</v>
          </cell>
          <cell r="F12">
            <v>9</v>
          </cell>
        </row>
        <row r="13">
          <cell r="B13">
            <v>200611010</v>
          </cell>
          <cell r="C13" t="str">
            <v>Pelicula PVC 35 mic. CH 611 mm</v>
          </cell>
          <cell r="D13">
            <v>2916</v>
          </cell>
          <cell r="E13">
            <v>82.7</v>
          </cell>
          <cell r="F13">
            <v>10</v>
          </cell>
        </row>
        <row r="14">
          <cell r="B14">
            <v>200611011</v>
          </cell>
          <cell r="C14" t="str">
            <v>Pelicula PVC 35 mic. CH 611 mm</v>
          </cell>
          <cell r="D14">
            <v>2808</v>
          </cell>
          <cell r="E14">
            <v>80.400000000000006</v>
          </cell>
          <cell r="F14">
            <v>11</v>
          </cell>
        </row>
        <row r="15">
          <cell r="B15">
            <v>200611012</v>
          </cell>
          <cell r="C15" t="str">
            <v>Pelicula PVC 35 mic. CH 611 mm</v>
          </cell>
          <cell r="D15">
            <v>2827</v>
          </cell>
          <cell r="E15">
            <v>76.5</v>
          </cell>
          <cell r="F15">
            <v>12</v>
          </cell>
        </row>
        <row r="16">
          <cell r="B16">
            <v>200611013</v>
          </cell>
          <cell r="C16" t="str">
            <v>Pelicula PVC 35 mic. CH 611 mm</v>
          </cell>
          <cell r="D16">
            <v>2828</v>
          </cell>
          <cell r="E16">
            <v>80.099999999999994</v>
          </cell>
          <cell r="F16">
            <v>13</v>
          </cell>
        </row>
        <row r="17">
          <cell r="B17">
            <v>200611014</v>
          </cell>
          <cell r="C17" t="str">
            <v>Pelicula PVC 35 mic. CH 611 mm</v>
          </cell>
          <cell r="D17">
            <v>2870</v>
          </cell>
          <cell r="E17">
            <v>77.7</v>
          </cell>
          <cell r="F17">
            <v>14</v>
          </cell>
        </row>
        <row r="18">
          <cell r="B18">
            <v>200611015</v>
          </cell>
          <cell r="C18" t="str">
            <v>Pelicula PVC 35 mic. CH 611 mm</v>
          </cell>
          <cell r="D18">
            <v>2931</v>
          </cell>
          <cell r="E18">
            <v>86.1</v>
          </cell>
          <cell r="F18">
            <v>15</v>
          </cell>
        </row>
        <row r="19">
          <cell r="B19">
            <v>200611016</v>
          </cell>
          <cell r="C19" t="str">
            <v>Pelicula PVC 35 mic. CH 611 mm</v>
          </cell>
          <cell r="D19">
            <v>2931</v>
          </cell>
          <cell r="E19">
            <v>85.7</v>
          </cell>
          <cell r="F19">
            <v>16</v>
          </cell>
        </row>
        <row r="20">
          <cell r="B20">
            <v>200611017</v>
          </cell>
          <cell r="C20" t="str">
            <v>Pelicula PVC 35 mic. CH 611 mm</v>
          </cell>
          <cell r="D20">
            <v>2822</v>
          </cell>
          <cell r="E20">
            <v>79</v>
          </cell>
          <cell r="F20">
            <v>17</v>
          </cell>
        </row>
        <row r="21">
          <cell r="B21">
            <v>200611018</v>
          </cell>
          <cell r="C21" t="str">
            <v>Pelicula PVC 35 mic. CH 611 mm</v>
          </cell>
          <cell r="D21">
            <v>2981</v>
          </cell>
          <cell r="E21">
            <v>88.2</v>
          </cell>
          <cell r="F21">
            <v>18</v>
          </cell>
        </row>
        <row r="22">
          <cell r="B22">
            <v>200611019</v>
          </cell>
          <cell r="C22" t="str">
            <v>Pelicula PVC 35 mic. CH 611 mm</v>
          </cell>
          <cell r="D22">
            <v>2981</v>
          </cell>
          <cell r="E22">
            <v>87.7</v>
          </cell>
          <cell r="F22">
            <v>19</v>
          </cell>
        </row>
        <row r="23">
          <cell r="B23">
            <v>200611020</v>
          </cell>
          <cell r="C23" t="str">
            <v>Pelicula PVC 35 mic. CH 611 mm</v>
          </cell>
          <cell r="D23">
            <v>2947</v>
          </cell>
          <cell r="E23">
            <v>80.2</v>
          </cell>
          <cell r="F23">
            <v>20</v>
          </cell>
        </row>
        <row r="24">
          <cell r="B24">
            <v>200611021</v>
          </cell>
          <cell r="C24" t="str">
            <v>Pelicula PVC 35 mic. CH 611 mm</v>
          </cell>
          <cell r="D24">
            <v>2814</v>
          </cell>
          <cell r="E24">
            <v>79.7</v>
          </cell>
          <cell r="F24">
            <v>21</v>
          </cell>
        </row>
        <row r="25">
          <cell r="B25">
            <v>200611022</v>
          </cell>
          <cell r="C25" t="str">
            <v>Pelicula PVC 35 mic. CH 611 mm</v>
          </cell>
          <cell r="D25">
            <v>2804</v>
          </cell>
          <cell r="E25">
            <v>79.7</v>
          </cell>
          <cell r="F25">
            <v>22</v>
          </cell>
        </row>
        <row r="26">
          <cell r="B26">
            <v>200611023</v>
          </cell>
          <cell r="C26" t="str">
            <v>Pelicula PVC 35 mic. CH 611 mm</v>
          </cell>
          <cell r="D26">
            <v>2890</v>
          </cell>
          <cell r="E26">
            <v>82.6</v>
          </cell>
          <cell r="F26">
            <v>23</v>
          </cell>
        </row>
        <row r="27">
          <cell r="B27">
            <v>200611024</v>
          </cell>
          <cell r="C27" t="str">
            <v>Pelicula PVC 35 mic. CH 611 mm</v>
          </cell>
          <cell r="D27">
            <v>2827</v>
          </cell>
          <cell r="E27">
            <v>77.3</v>
          </cell>
          <cell r="F27">
            <v>24</v>
          </cell>
        </row>
        <row r="28">
          <cell r="B28">
            <v>200611025</v>
          </cell>
          <cell r="C28" t="str">
            <v>Pelicula PVC 35 mic. CH 611 mm</v>
          </cell>
          <cell r="D28">
            <v>2805</v>
          </cell>
          <cell r="E28">
            <v>76.599999999999994</v>
          </cell>
          <cell r="F28">
            <v>25</v>
          </cell>
        </row>
        <row r="29">
          <cell r="B29">
            <v>200611026</v>
          </cell>
          <cell r="C29" t="str">
            <v>Pelicula PVC 35 mic. CH 611 mm</v>
          </cell>
          <cell r="D29">
            <v>2813</v>
          </cell>
          <cell r="E29">
            <v>82.3</v>
          </cell>
          <cell r="F29">
            <v>26</v>
          </cell>
        </row>
        <row r="30">
          <cell r="B30">
            <v>200611027</v>
          </cell>
          <cell r="C30" t="str">
            <v>Pelicula PVC 35 mic. CH 611 mm</v>
          </cell>
          <cell r="D30">
            <v>2805</v>
          </cell>
          <cell r="E30">
            <v>77.3</v>
          </cell>
          <cell r="F30">
            <v>27</v>
          </cell>
        </row>
        <row r="31">
          <cell r="B31">
            <v>200611028</v>
          </cell>
          <cell r="C31" t="str">
            <v>Pelicula PVC 35 mic. CH 611 mm</v>
          </cell>
          <cell r="D31">
            <v>2822</v>
          </cell>
          <cell r="E31">
            <v>81.400000000000006</v>
          </cell>
          <cell r="F31">
            <v>28</v>
          </cell>
        </row>
        <row r="32">
          <cell r="B32">
            <v>200611029</v>
          </cell>
          <cell r="C32" t="str">
            <v>Pelicula PVC 35 mic. CH 611 mm</v>
          </cell>
          <cell r="D32">
            <v>2822</v>
          </cell>
          <cell r="E32">
            <v>81.900000000000006</v>
          </cell>
          <cell r="F32">
            <v>29</v>
          </cell>
        </row>
        <row r="33">
          <cell r="B33">
            <v>200611030</v>
          </cell>
          <cell r="C33" t="str">
            <v>Pelicula PVC 35 mic. CH 611 mm</v>
          </cell>
          <cell r="D33">
            <v>2822</v>
          </cell>
          <cell r="E33">
            <v>81.400000000000006</v>
          </cell>
          <cell r="F33">
            <v>30</v>
          </cell>
        </row>
        <row r="34">
          <cell r="B34">
            <v>200611031</v>
          </cell>
          <cell r="C34" t="str">
            <v>Pelicula PVC 35 mic. CH 611 mm</v>
          </cell>
          <cell r="D34">
            <v>2840</v>
          </cell>
          <cell r="E34">
            <v>77.599999999999994</v>
          </cell>
          <cell r="F34">
            <v>31</v>
          </cell>
        </row>
        <row r="35">
          <cell r="B35">
            <v>200611032</v>
          </cell>
          <cell r="C35" t="str">
            <v>Pelicula PVC 35 mic. CH 611 mm</v>
          </cell>
          <cell r="D35">
            <v>2926</v>
          </cell>
          <cell r="E35">
            <v>82.9</v>
          </cell>
          <cell r="F35">
            <v>32</v>
          </cell>
        </row>
        <row r="36">
          <cell r="B36">
            <v>200611033</v>
          </cell>
          <cell r="C36" t="str">
            <v>Pelicula PVC 35 mic. CH 611 mm</v>
          </cell>
          <cell r="D36">
            <v>2916</v>
          </cell>
          <cell r="E36">
            <v>82</v>
          </cell>
          <cell r="F36">
            <v>33</v>
          </cell>
        </row>
        <row r="37">
          <cell r="B37">
            <v>200611034</v>
          </cell>
          <cell r="C37" t="str">
            <v>Pelicula PVC 35 mic. CH 611 mm</v>
          </cell>
          <cell r="D37">
            <v>2926</v>
          </cell>
          <cell r="E37">
            <v>82.5</v>
          </cell>
          <cell r="F37">
            <v>34</v>
          </cell>
        </row>
        <row r="38">
          <cell r="B38">
            <v>200611035</v>
          </cell>
          <cell r="C38" t="str">
            <v>Pelicula PVC 35 mic. CH 611 mm</v>
          </cell>
          <cell r="D38">
            <v>2807</v>
          </cell>
          <cell r="E38">
            <v>80.2</v>
          </cell>
          <cell r="F38">
            <v>35</v>
          </cell>
        </row>
        <row r="39">
          <cell r="B39">
            <v>200611036</v>
          </cell>
          <cell r="C39" t="str">
            <v>Pelicula PVC 35 mic. CH 611 mm</v>
          </cell>
          <cell r="D39">
            <v>2934</v>
          </cell>
          <cell r="E39">
            <v>86.1</v>
          </cell>
          <cell r="F39">
            <v>36</v>
          </cell>
        </row>
        <row r="40">
          <cell r="B40">
            <v>200611037</v>
          </cell>
          <cell r="C40" t="str">
            <v>Pelicula PVC 35 mic. CH 611 mm</v>
          </cell>
          <cell r="D40">
            <v>2825</v>
          </cell>
          <cell r="E40">
            <v>80.7</v>
          </cell>
          <cell r="F40">
            <v>37</v>
          </cell>
        </row>
        <row r="41">
          <cell r="B41">
            <v>200611038</v>
          </cell>
          <cell r="C41" t="str">
            <v>Pelicula PVC 35 mic. CH 611 mm</v>
          </cell>
          <cell r="D41">
            <v>2787</v>
          </cell>
          <cell r="E41">
            <v>77.2</v>
          </cell>
          <cell r="F41">
            <v>38</v>
          </cell>
        </row>
        <row r="42">
          <cell r="B42">
            <v>200611039</v>
          </cell>
          <cell r="C42" t="str">
            <v>Pelicula PVC 35 mic. CH 611 mm</v>
          </cell>
          <cell r="D42">
            <v>2805</v>
          </cell>
          <cell r="E42">
            <v>81</v>
          </cell>
          <cell r="F42">
            <v>39</v>
          </cell>
        </row>
        <row r="43">
          <cell r="B43">
            <v>200611040</v>
          </cell>
          <cell r="C43" t="str">
            <v>Pelicula PVC 35 mic. CH 611 mm</v>
          </cell>
          <cell r="D43">
            <v>2820</v>
          </cell>
          <cell r="E43">
            <v>80.2</v>
          </cell>
          <cell r="F43">
            <v>40</v>
          </cell>
        </row>
        <row r="44">
          <cell r="B44">
            <v>200611041</v>
          </cell>
          <cell r="C44" t="str">
            <v>Pelicula PVC 35 mic. CH 611 mm</v>
          </cell>
          <cell r="D44">
            <v>2627</v>
          </cell>
          <cell r="E44">
            <v>81.3</v>
          </cell>
          <cell r="F44">
            <v>41</v>
          </cell>
        </row>
        <row r="45">
          <cell r="B45">
            <v>200611042</v>
          </cell>
          <cell r="C45" t="str">
            <v>Pelicula PVC 35 mic. CH 611 mm</v>
          </cell>
          <cell r="D45">
            <v>2832</v>
          </cell>
          <cell r="E45">
            <v>80.5</v>
          </cell>
          <cell r="F45">
            <v>42</v>
          </cell>
        </row>
        <row r="46">
          <cell r="B46">
            <v>200611043</v>
          </cell>
          <cell r="C46" t="str">
            <v>Pelicula PVC 35 mic. CH 611 mm</v>
          </cell>
          <cell r="D46">
            <v>2828</v>
          </cell>
          <cell r="E46">
            <v>81.099999999999994</v>
          </cell>
          <cell r="F46">
            <v>43</v>
          </cell>
        </row>
        <row r="47">
          <cell r="B47">
            <v>200611044</v>
          </cell>
          <cell r="C47" t="str">
            <v>Pelicula PVC 35 mic. CH 611 mm</v>
          </cell>
          <cell r="D47">
            <v>2916</v>
          </cell>
          <cell r="E47">
            <v>85.9</v>
          </cell>
          <cell r="F47">
            <v>44</v>
          </cell>
        </row>
        <row r="48">
          <cell r="B48">
            <v>200611045</v>
          </cell>
          <cell r="C48" t="str">
            <v>Pelicula PVC 35 mic. CH 611 mm</v>
          </cell>
          <cell r="D48">
            <v>2828</v>
          </cell>
          <cell r="E48">
            <v>80.400000000000006</v>
          </cell>
          <cell r="F48">
            <v>45</v>
          </cell>
        </row>
        <row r="49">
          <cell r="B49">
            <v>200611046</v>
          </cell>
          <cell r="C49" t="str">
            <v>Pelicula PVC 35 mic. CH 611 mm</v>
          </cell>
          <cell r="D49">
            <v>2787</v>
          </cell>
          <cell r="E49">
            <v>78.099999999999994</v>
          </cell>
          <cell r="F49">
            <v>46</v>
          </cell>
        </row>
        <row r="50">
          <cell r="B50">
            <v>200611047</v>
          </cell>
          <cell r="C50" t="str">
            <v>Pelicula PVC 35 mic. CH 611 mm</v>
          </cell>
          <cell r="D50">
            <v>2934</v>
          </cell>
          <cell r="E50">
            <v>86.5</v>
          </cell>
          <cell r="F50">
            <v>47</v>
          </cell>
        </row>
        <row r="51">
          <cell r="B51">
            <v>200611048</v>
          </cell>
          <cell r="C51" t="str">
            <v>Pelicula PVC 35 mic. CH 611 mm</v>
          </cell>
          <cell r="D51">
            <v>2840</v>
          </cell>
          <cell r="E51">
            <v>78.2</v>
          </cell>
          <cell r="F51">
            <v>48</v>
          </cell>
        </row>
        <row r="52">
          <cell r="B52">
            <v>200611049</v>
          </cell>
          <cell r="C52" t="str">
            <v>Pelicula PVC 35 mic. CH 611 mm</v>
          </cell>
          <cell r="D52">
            <v>2823</v>
          </cell>
          <cell r="E52">
            <v>81.5</v>
          </cell>
          <cell r="F52">
            <v>49</v>
          </cell>
        </row>
        <row r="53">
          <cell r="B53">
            <v>200611050</v>
          </cell>
          <cell r="C53" t="str">
            <v>Pelicula PVC 35 mic. CH 611 mm</v>
          </cell>
          <cell r="D53">
            <v>2820</v>
          </cell>
          <cell r="E53">
            <v>80.8</v>
          </cell>
          <cell r="F53">
            <v>50</v>
          </cell>
        </row>
        <row r="54">
          <cell r="B54">
            <v>200611051</v>
          </cell>
          <cell r="C54" t="str">
            <v>Pelicula PVC 35 mic. CH 611 mm</v>
          </cell>
          <cell r="D54">
            <v>2780</v>
          </cell>
          <cell r="E54">
            <v>80</v>
          </cell>
          <cell r="F54">
            <v>51</v>
          </cell>
        </row>
        <row r="55">
          <cell r="B55">
            <v>200611052</v>
          </cell>
          <cell r="C55" t="str">
            <v>Pelicula PVC 35 mic. CH 611 mm</v>
          </cell>
          <cell r="D55">
            <v>2837</v>
          </cell>
          <cell r="E55">
            <v>81.400000000000006</v>
          </cell>
          <cell r="F55">
            <v>52</v>
          </cell>
        </row>
        <row r="56">
          <cell r="B56">
            <v>200611053</v>
          </cell>
          <cell r="C56" t="str">
            <v>Pelicula PVC 35 mic. CH 611 mm</v>
          </cell>
          <cell r="D56">
            <v>2780</v>
          </cell>
          <cell r="E56">
            <v>79.099999999999994</v>
          </cell>
          <cell r="F56">
            <v>53</v>
          </cell>
        </row>
        <row r="57">
          <cell r="B57">
            <v>200611054</v>
          </cell>
          <cell r="C57" t="str">
            <v>Pelicula PVC 35 mic. CH 611 mm</v>
          </cell>
          <cell r="D57">
            <v>2916</v>
          </cell>
          <cell r="E57">
            <v>84.8</v>
          </cell>
          <cell r="F57">
            <v>54</v>
          </cell>
        </row>
        <row r="58">
          <cell r="B58">
            <v>200611055</v>
          </cell>
          <cell r="C58" t="str">
            <v>Pelicula PVC 35 mic. CH 611 mm</v>
          </cell>
          <cell r="D58">
            <v>2891</v>
          </cell>
          <cell r="E58">
            <v>85.7</v>
          </cell>
          <cell r="F58">
            <v>55</v>
          </cell>
        </row>
        <row r="59">
          <cell r="B59">
            <v>200611056</v>
          </cell>
          <cell r="C59" t="str">
            <v>Pelicula PVC 35 mic. CH 611 mm</v>
          </cell>
          <cell r="D59">
            <v>2848</v>
          </cell>
          <cell r="E59">
            <v>79.3</v>
          </cell>
          <cell r="F59">
            <v>56</v>
          </cell>
        </row>
        <row r="60">
          <cell r="B60">
            <v>200611057</v>
          </cell>
          <cell r="C60" t="str">
            <v>Pelicula PVC 35 mic. CH 611 mm</v>
          </cell>
          <cell r="D60">
            <v>2835</v>
          </cell>
          <cell r="E60">
            <v>81.3</v>
          </cell>
          <cell r="F60">
            <v>57</v>
          </cell>
        </row>
        <row r="61">
          <cell r="B61">
            <v>200611058</v>
          </cell>
          <cell r="C61" t="str">
            <v>Pelicula PVC 35 mic. CH 611 mm</v>
          </cell>
          <cell r="D61">
            <v>2789</v>
          </cell>
          <cell r="E61">
            <v>75.599999999999994</v>
          </cell>
          <cell r="F61">
            <v>58</v>
          </cell>
        </row>
        <row r="62">
          <cell r="B62">
            <v>200611059</v>
          </cell>
          <cell r="C62" t="str">
            <v>Pelicula PVC 35 mic. CH 611 mm</v>
          </cell>
          <cell r="D62">
            <v>2843</v>
          </cell>
          <cell r="E62">
            <v>80.3</v>
          </cell>
          <cell r="F62">
            <v>59</v>
          </cell>
        </row>
        <row r="63">
          <cell r="B63">
            <v>200611060</v>
          </cell>
          <cell r="C63" t="str">
            <v>Pelicula PVC 35 mic. CH 611 mm</v>
          </cell>
          <cell r="D63">
            <v>2836</v>
          </cell>
          <cell r="E63">
            <v>81</v>
          </cell>
          <cell r="F63">
            <v>60</v>
          </cell>
        </row>
        <row r="64">
          <cell r="B64">
            <v>200611061</v>
          </cell>
          <cell r="C64" t="str">
            <v>Pelicula PVC 35 mic. CH 611 mm</v>
          </cell>
          <cell r="D64">
            <v>2825</v>
          </cell>
          <cell r="E64">
            <v>80.400000000000006</v>
          </cell>
          <cell r="F64">
            <v>61</v>
          </cell>
        </row>
        <row r="65">
          <cell r="B65">
            <v>200611062</v>
          </cell>
          <cell r="C65" t="str">
            <v>Pelicula PVC 35 mic. CH 611 mm</v>
          </cell>
          <cell r="D65">
            <v>2891</v>
          </cell>
          <cell r="E65">
            <v>85.4</v>
          </cell>
          <cell r="F65">
            <v>62</v>
          </cell>
        </row>
        <row r="66">
          <cell r="B66">
            <v>200611063</v>
          </cell>
          <cell r="C66" t="str">
            <v>Pelicula PVC 35 mic. CH 611 mm</v>
          </cell>
          <cell r="D66">
            <v>2780</v>
          </cell>
          <cell r="E66">
            <v>75.3</v>
          </cell>
          <cell r="F66">
            <v>63</v>
          </cell>
        </row>
        <row r="67">
          <cell r="B67">
            <v>200611064</v>
          </cell>
          <cell r="C67" t="str">
            <v>Pelicula PVC 35 mic. CH 611 mm</v>
          </cell>
          <cell r="D67">
            <v>2825</v>
          </cell>
          <cell r="E67">
            <v>80.5</v>
          </cell>
          <cell r="F67">
            <v>64</v>
          </cell>
        </row>
        <row r="68">
          <cell r="B68">
            <v>200611065</v>
          </cell>
          <cell r="C68" t="str">
            <v>Pelicula PVC 35 mic. CH 611 mm</v>
          </cell>
          <cell r="D68">
            <v>2838</v>
          </cell>
          <cell r="E68">
            <v>82.7</v>
          </cell>
          <cell r="F68">
            <v>65</v>
          </cell>
        </row>
        <row r="69">
          <cell r="B69">
            <v>200611066</v>
          </cell>
          <cell r="C69" t="str">
            <v>Pelicula PVC 35 mic. CH 611 mm</v>
          </cell>
          <cell r="D69">
            <v>2836</v>
          </cell>
          <cell r="E69">
            <v>80.400000000000006</v>
          </cell>
          <cell r="F69">
            <v>66</v>
          </cell>
        </row>
        <row r="70">
          <cell r="B70">
            <v>200611067</v>
          </cell>
          <cell r="C70" t="str">
            <v>Pelicula PVC 35 mic. CH 611 mm</v>
          </cell>
          <cell r="D70">
            <v>3265</v>
          </cell>
          <cell r="E70">
            <v>94.2</v>
          </cell>
          <cell r="F70">
            <v>67</v>
          </cell>
        </row>
        <row r="71">
          <cell r="B71">
            <v>200611068</v>
          </cell>
          <cell r="C71" t="str">
            <v>Pelicula PVC 35 mic. CH 611 mm</v>
          </cell>
          <cell r="D71">
            <v>2803</v>
          </cell>
          <cell r="E71">
            <v>80</v>
          </cell>
          <cell r="F71">
            <v>68</v>
          </cell>
        </row>
        <row r="72">
          <cell r="B72">
            <v>200611069</v>
          </cell>
          <cell r="C72" t="str">
            <v>Pelicula PVC 35 mic. CH 611 mm</v>
          </cell>
          <cell r="D72">
            <v>3265</v>
          </cell>
          <cell r="E72">
            <v>94.5</v>
          </cell>
          <cell r="F72">
            <v>69</v>
          </cell>
        </row>
        <row r="73">
          <cell r="B73">
            <v>200611070</v>
          </cell>
          <cell r="C73" t="str">
            <v>Pelicula PVC 35 mic. CH 611 mm</v>
          </cell>
          <cell r="D73">
            <v>2825</v>
          </cell>
          <cell r="E73">
            <v>80</v>
          </cell>
          <cell r="F73">
            <v>70</v>
          </cell>
        </row>
        <row r="74">
          <cell r="B74">
            <v>200611071</v>
          </cell>
          <cell r="C74" t="str">
            <v>Pelicula PVC 35 mic. CH 611 mm</v>
          </cell>
          <cell r="D74">
            <v>2730</v>
          </cell>
          <cell r="E74">
            <v>74</v>
          </cell>
          <cell r="F74">
            <v>71</v>
          </cell>
        </row>
        <row r="75">
          <cell r="B75">
            <v>200611072</v>
          </cell>
          <cell r="C75" t="str">
            <v>Pelicula PVC 35 mic. CH 611 mm</v>
          </cell>
          <cell r="D75">
            <v>2823</v>
          </cell>
          <cell r="E75">
            <v>80.5</v>
          </cell>
          <cell r="F75">
            <v>72</v>
          </cell>
        </row>
        <row r="76">
          <cell r="B76">
            <v>200611073</v>
          </cell>
          <cell r="C76" t="str">
            <v>Pelicula PVC 35 mic. CH 611 mm</v>
          </cell>
          <cell r="D76">
            <v>2812</v>
          </cell>
          <cell r="E76">
            <v>81.400000000000006</v>
          </cell>
          <cell r="F76">
            <v>73</v>
          </cell>
        </row>
        <row r="77">
          <cell r="B77">
            <v>200611074</v>
          </cell>
          <cell r="C77" t="str">
            <v>Pelicula PVC 35 mic. CH 611 mm</v>
          </cell>
          <cell r="D77">
            <v>2816</v>
          </cell>
          <cell r="E77">
            <v>79.3</v>
          </cell>
          <cell r="F77">
            <v>74</v>
          </cell>
        </row>
        <row r="78">
          <cell r="B78">
            <v>200611075</v>
          </cell>
          <cell r="C78" t="str">
            <v>Pelicula PVC 35 mic. CH 611 mm</v>
          </cell>
          <cell r="D78">
            <v>2816</v>
          </cell>
          <cell r="E78">
            <v>81.599999999999994</v>
          </cell>
          <cell r="F78">
            <v>75</v>
          </cell>
        </row>
        <row r="79">
          <cell r="B79">
            <v>200611076</v>
          </cell>
          <cell r="C79" t="str">
            <v>Pelicula PVC 35 mic. CH 611 mm</v>
          </cell>
          <cell r="D79">
            <v>2751</v>
          </cell>
          <cell r="E79">
            <v>77.900000000000006</v>
          </cell>
          <cell r="F79">
            <v>76</v>
          </cell>
        </row>
        <row r="80">
          <cell r="B80">
            <v>200611077</v>
          </cell>
          <cell r="C80" t="str">
            <v>Pelicula PVC 35 mic. CH 611 mm</v>
          </cell>
          <cell r="D80">
            <v>2850</v>
          </cell>
          <cell r="E80">
            <v>79.400000000000006</v>
          </cell>
          <cell r="F80">
            <v>77</v>
          </cell>
        </row>
        <row r="81">
          <cell r="B81">
            <v>200611078</v>
          </cell>
          <cell r="C81" t="str">
            <v>Pelicula PVC 35 mic. CH 611 mm</v>
          </cell>
          <cell r="D81">
            <v>2730</v>
          </cell>
          <cell r="E81">
            <v>74.2</v>
          </cell>
          <cell r="F81">
            <v>78</v>
          </cell>
        </row>
        <row r="82">
          <cell r="B82">
            <v>200611079</v>
          </cell>
          <cell r="C82" t="str">
            <v>Pelicula PVC 35 mic. CH 611 mm</v>
          </cell>
          <cell r="D82">
            <v>2823</v>
          </cell>
          <cell r="E82">
            <v>81</v>
          </cell>
          <cell r="F82">
            <v>79</v>
          </cell>
        </row>
        <row r="83">
          <cell r="B83">
            <v>200611080</v>
          </cell>
          <cell r="C83" t="str">
            <v>Pelicula PVC 35 mic. CH 611 mm</v>
          </cell>
          <cell r="D83">
            <v>2750</v>
          </cell>
          <cell r="E83">
            <v>77.400000000000006</v>
          </cell>
          <cell r="F83">
            <v>80</v>
          </cell>
        </row>
        <row r="84">
          <cell r="B84">
            <v>200611081</v>
          </cell>
          <cell r="C84" t="str">
            <v>Pelicula PVC 35 mic. CH 611 mm</v>
          </cell>
          <cell r="D84">
            <v>2803</v>
          </cell>
          <cell r="E84">
            <v>80.599999999999994</v>
          </cell>
          <cell r="F84">
            <v>81</v>
          </cell>
        </row>
        <row r="85">
          <cell r="B85">
            <v>200611082</v>
          </cell>
          <cell r="C85" t="str">
            <v>Pelicula PVC 35 mic. CH 611 mm</v>
          </cell>
          <cell r="D85">
            <v>2815</v>
          </cell>
          <cell r="E85">
            <v>79.5</v>
          </cell>
          <cell r="F85">
            <v>82</v>
          </cell>
        </row>
        <row r="86">
          <cell r="B86">
            <v>200611083</v>
          </cell>
          <cell r="C86" t="str">
            <v>Pelicula PVC 35 mic. CH 611 mm</v>
          </cell>
          <cell r="D86">
            <v>2824</v>
          </cell>
          <cell r="E86">
            <v>79.7</v>
          </cell>
          <cell r="F86">
            <v>83</v>
          </cell>
        </row>
        <row r="87">
          <cell r="B87">
            <v>200611084</v>
          </cell>
          <cell r="C87" t="str">
            <v>Pelicula PVC 35 mic. CH 611 mm</v>
          </cell>
          <cell r="D87">
            <v>2824</v>
          </cell>
          <cell r="E87">
            <v>80.099999999999994</v>
          </cell>
          <cell r="F87">
            <v>84</v>
          </cell>
        </row>
        <row r="88">
          <cell r="B88">
            <v>200611085</v>
          </cell>
          <cell r="C88" t="str">
            <v>Pelicula PVC 35 mic. CH 611 mm</v>
          </cell>
          <cell r="D88">
            <v>2777</v>
          </cell>
          <cell r="E88">
            <v>77.2</v>
          </cell>
          <cell r="F88">
            <v>85</v>
          </cell>
        </row>
        <row r="89">
          <cell r="B89">
            <v>200611086</v>
          </cell>
          <cell r="C89" t="str">
            <v>Pelicula PVC 35 mic. CH 611 mm</v>
          </cell>
          <cell r="D89">
            <v>2824</v>
          </cell>
          <cell r="E89">
            <v>78.599999999999994</v>
          </cell>
          <cell r="F89">
            <v>86</v>
          </cell>
        </row>
        <row r="90">
          <cell r="B90">
            <v>200611087</v>
          </cell>
          <cell r="C90" t="str">
            <v>Pelicula PVC 35 mic. CH 611 mm</v>
          </cell>
          <cell r="D90">
            <v>2807</v>
          </cell>
          <cell r="E90">
            <v>79.3</v>
          </cell>
          <cell r="F90">
            <v>87</v>
          </cell>
        </row>
        <row r="91">
          <cell r="B91">
            <v>200611088</v>
          </cell>
          <cell r="C91" t="str">
            <v>Pelicula PVC 35 mic. CH 611 mm</v>
          </cell>
          <cell r="D91">
            <v>2812</v>
          </cell>
          <cell r="E91">
            <v>79</v>
          </cell>
          <cell r="F91">
            <v>88</v>
          </cell>
        </row>
        <row r="92">
          <cell r="B92">
            <v>200611089</v>
          </cell>
          <cell r="C92" t="str">
            <v>Pelicula PVC 35 mic. CH 611 mm</v>
          </cell>
          <cell r="D92">
            <v>2812</v>
          </cell>
          <cell r="E92">
            <v>81.400000000000006</v>
          </cell>
          <cell r="F92">
            <v>89</v>
          </cell>
        </row>
        <row r="93">
          <cell r="B93">
            <v>200611090</v>
          </cell>
          <cell r="C93" t="str">
            <v>Pelicula PVC 35 mic. CH 611 mm</v>
          </cell>
          <cell r="D93">
            <v>2793</v>
          </cell>
          <cell r="E93">
            <v>80.2</v>
          </cell>
          <cell r="F93">
            <v>90</v>
          </cell>
        </row>
        <row r="94">
          <cell r="B94">
            <v>200611091</v>
          </cell>
          <cell r="C94" t="str">
            <v>Pelicula PVC 35 mic. CH 611 mm</v>
          </cell>
          <cell r="D94">
            <v>2807</v>
          </cell>
          <cell r="E94">
            <v>80.400000000000006</v>
          </cell>
          <cell r="F94">
            <v>91</v>
          </cell>
        </row>
        <row r="95">
          <cell r="B95">
            <v>200611092</v>
          </cell>
          <cell r="C95" t="str">
            <v>Pelicula PVC 35 mic. CH 611 mm</v>
          </cell>
          <cell r="D95">
            <v>2928</v>
          </cell>
          <cell r="E95">
            <v>84.5</v>
          </cell>
          <cell r="F95">
            <v>92</v>
          </cell>
        </row>
        <row r="96">
          <cell r="B96">
            <v>200611093</v>
          </cell>
          <cell r="C96" t="str">
            <v>Pelicula PVC 35 mic. CH 611 mm</v>
          </cell>
          <cell r="D96">
            <v>2812</v>
          </cell>
          <cell r="E96">
            <v>82.2</v>
          </cell>
          <cell r="F96">
            <v>93</v>
          </cell>
        </row>
        <row r="97">
          <cell r="B97">
            <v>200611094</v>
          </cell>
          <cell r="C97" t="str">
            <v>Pelicula PVC 35 mic. CH 611 mm</v>
          </cell>
          <cell r="D97">
            <v>2812</v>
          </cell>
          <cell r="E97">
            <v>80.099999999999994</v>
          </cell>
          <cell r="F97">
            <v>94</v>
          </cell>
        </row>
        <row r="98">
          <cell r="B98">
            <v>200611095</v>
          </cell>
          <cell r="C98" t="str">
            <v>Pelicula PVC 35 mic. CH 611 mm</v>
          </cell>
          <cell r="D98">
            <v>2860</v>
          </cell>
          <cell r="E98">
            <v>82.4</v>
          </cell>
          <cell r="F98">
            <v>95</v>
          </cell>
        </row>
        <row r="99">
          <cell r="B99">
            <v>200611096</v>
          </cell>
          <cell r="C99" t="str">
            <v>Pelicula PVC 35 mic. CH 611 mm</v>
          </cell>
          <cell r="D99">
            <v>2825</v>
          </cell>
          <cell r="E99">
            <v>81.2</v>
          </cell>
          <cell r="F99">
            <v>96</v>
          </cell>
        </row>
        <row r="100">
          <cell r="B100">
            <v>200611097</v>
          </cell>
          <cell r="C100" t="str">
            <v>Pelicula PVC 35 mic. CH 611 mm</v>
          </cell>
          <cell r="D100">
            <v>2820</v>
          </cell>
          <cell r="E100">
            <v>78.599999999999994</v>
          </cell>
          <cell r="F100">
            <v>97</v>
          </cell>
        </row>
        <row r="101">
          <cell r="B101">
            <v>200611098</v>
          </cell>
          <cell r="C101" t="str">
            <v>Pelicula PVC 35 mic. CH 611 mm</v>
          </cell>
          <cell r="D101">
            <v>2820</v>
          </cell>
          <cell r="E101">
            <v>78.8</v>
          </cell>
          <cell r="F101">
            <v>98</v>
          </cell>
        </row>
        <row r="102">
          <cell r="B102">
            <v>200611099</v>
          </cell>
          <cell r="C102" t="str">
            <v>Pelicula PVC 35 mic. CH 611 mm</v>
          </cell>
          <cell r="D102">
            <v>2860</v>
          </cell>
          <cell r="E102">
            <v>82.2</v>
          </cell>
          <cell r="F102">
            <v>99</v>
          </cell>
        </row>
        <row r="103">
          <cell r="B103">
            <v>200611100</v>
          </cell>
          <cell r="C103" t="str">
            <v>Pelicula PVC 35 mic. CH 611 mm</v>
          </cell>
          <cell r="D103">
            <v>2908</v>
          </cell>
          <cell r="E103">
            <v>86.8</v>
          </cell>
          <cell r="F103">
            <v>100</v>
          </cell>
        </row>
        <row r="104">
          <cell r="B104">
            <v>200611101</v>
          </cell>
          <cell r="C104" t="str">
            <v>Pelicula PVC 35 mic. CH 611 mm</v>
          </cell>
          <cell r="D104">
            <v>2828</v>
          </cell>
          <cell r="E104">
            <v>81.5</v>
          </cell>
          <cell r="F104">
            <v>101</v>
          </cell>
        </row>
        <row r="105">
          <cell r="B105">
            <v>200611102</v>
          </cell>
          <cell r="C105" t="str">
            <v>Pelicula PVC 35 mic. CH 611 mm</v>
          </cell>
          <cell r="D105">
            <v>2997</v>
          </cell>
          <cell r="E105">
            <v>85.3</v>
          </cell>
          <cell r="F105">
            <v>102</v>
          </cell>
        </row>
        <row r="106">
          <cell r="B106">
            <v>200611103</v>
          </cell>
          <cell r="C106" t="str">
            <v>Pelicula PVC 35 mic. CH 611 mm</v>
          </cell>
          <cell r="D106">
            <v>2831</v>
          </cell>
          <cell r="E106">
            <v>80.3</v>
          </cell>
          <cell r="F106">
            <v>103</v>
          </cell>
        </row>
        <row r="107">
          <cell r="B107">
            <v>200611104</v>
          </cell>
          <cell r="C107" t="str">
            <v>Pelicula PVC 35 mic. CH 611 mm</v>
          </cell>
          <cell r="D107">
            <v>2819</v>
          </cell>
          <cell r="E107">
            <v>79.2</v>
          </cell>
          <cell r="F107">
            <v>104</v>
          </cell>
        </row>
        <row r="108">
          <cell r="B108">
            <v>200611105</v>
          </cell>
          <cell r="C108" t="str">
            <v>Pelicula PVC 35 mic. CH 611 mm</v>
          </cell>
          <cell r="D108">
            <v>2825</v>
          </cell>
          <cell r="E108">
            <v>81.5</v>
          </cell>
          <cell r="F108">
            <v>105</v>
          </cell>
        </row>
        <row r="109">
          <cell r="B109">
            <v>200611106</v>
          </cell>
          <cell r="C109" t="str">
            <v>Pelicula PVC 35 mic. CH 611 mm</v>
          </cell>
          <cell r="D109">
            <v>2819</v>
          </cell>
          <cell r="E109">
            <v>79.3</v>
          </cell>
          <cell r="F109">
            <v>106</v>
          </cell>
        </row>
        <row r="110">
          <cell r="B110">
            <v>200611107</v>
          </cell>
          <cell r="C110" t="str">
            <v>Pelicula PVC 35 mic. CH 611 mm</v>
          </cell>
          <cell r="D110">
            <v>2828</v>
          </cell>
          <cell r="E110">
            <v>81.3</v>
          </cell>
          <cell r="F110">
            <v>107</v>
          </cell>
        </row>
        <row r="111">
          <cell r="B111">
            <v>200611108</v>
          </cell>
          <cell r="C111" t="str">
            <v>Pelicula PVC 35 mic. CH 611 mm</v>
          </cell>
          <cell r="D111">
            <v>2824</v>
          </cell>
          <cell r="E111">
            <v>83.2</v>
          </cell>
          <cell r="F111">
            <v>108</v>
          </cell>
        </row>
        <row r="112">
          <cell r="B112">
            <v>200611109</v>
          </cell>
          <cell r="C112" t="str">
            <v>Pelicula PVC 35 mic. CH 611 mm</v>
          </cell>
          <cell r="D112">
            <v>2830</v>
          </cell>
          <cell r="E112">
            <v>80</v>
          </cell>
          <cell r="F112">
            <v>109</v>
          </cell>
        </row>
        <row r="113">
          <cell r="B113">
            <v>200611110</v>
          </cell>
          <cell r="C113" t="str">
            <v>Pelicula PVC 35 mic. CH 611 mm</v>
          </cell>
          <cell r="D113">
            <v>2824</v>
          </cell>
          <cell r="E113">
            <v>83.5</v>
          </cell>
          <cell r="F113">
            <v>110</v>
          </cell>
        </row>
        <row r="114">
          <cell r="B114">
            <v>200611111</v>
          </cell>
          <cell r="C114" t="str">
            <v>Pelicula PVC 35 mic. CH 611 mm</v>
          </cell>
          <cell r="D114">
            <v>2830</v>
          </cell>
          <cell r="E114">
            <v>77.900000000000006</v>
          </cell>
          <cell r="F114">
            <v>111</v>
          </cell>
        </row>
        <row r="115">
          <cell r="B115">
            <v>200611112</v>
          </cell>
          <cell r="C115" t="str">
            <v>Pelicula PVC 35 mic. CH 611 mm</v>
          </cell>
          <cell r="D115">
            <v>2997</v>
          </cell>
          <cell r="E115">
            <v>86.6</v>
          </cell>
          <cell r="F115">
            <v>112</v>
          </cell>
        </row>
        <row r="116">
          <cell r="B116">
            <v>200611113</v>
          </cell>
          <cell r="C116" t="str">
            <v>Pelicula PVC 35 mic. CH 611 mm</v>
          </cell>
          <cell r="D116">
            <v>3012</v>
          </cell>
          <cell r="E116">
            <v>87.8</v>
          </cell>
          <cell r="F116">
            <v>113</v>
          </cell>
        </row>
        <row r="117">
          <cell r="B117">
            <v>200611114</v>
          </cell>
          <cell r="C117" t="str">
            <v>Pelicula PVC 35 mic. CH 611 mm</v>
          </cell>
          <cell r="D117">
            <v>2928</v>
          </cell>
          <cell r="E117">
            <v>85</v>
          </cell>
          <cell r="F117">
            <v>114</v>
          </cell>
        </row>
        <row r="118">
          <cell r="B118">
            <v>200611115</v>
          </cell>
          <cell r="C118" t="str">
            <v>Pelicula PVC 35 mic. CH 611 mm</v>
          </cell>
          <cell r="D118">
            <v>2830</v>
          </cell>
          <cell r="E118">
            <v>81.5</v>
          </cell>
          <cell r="F118">
            <v>115</v>
          </cell>
        </row>
        <row r="119">
          <cell r="B119">
            <v>200611116</v>
          </cell>
          <cell r="C119" t="str">
            <v>Pelicula PVC 35 mic. CH 611 mm</v>
          </cell>
          <cell r="D119">
            <v>2830</v>
          </cell>
          <cell r="E119">
            <v>77.400000000000006</v>
          </cell>
          <cell r="F119">
            <v>116</v>
          </cell>
        </row>
        <row r="120">
          <cell r="B120">
            <v>200611117</v>
          </cell>
          <cell r="C120" t="str">
            <v>Pelicula PVC 35 mic. CH 611 mm</v>
          </cell>
          <cell r="D120">
            <v>2879</v>
          </cell>
          <cell r="E120">
            <v>81.5</v>
          </cell>
          <cell r="F120">
            <v>117</v>
          </cell>
        </row>
        <row r="121">
          <cell r="B121">
            <v>200611118</v>
          </cell>
          <cell r="C121" t="str">
            <v>Pelicula PVC 35 mic. CH 611 mm</v>
          </cell>
          <cell r="D121">
            <v>2798</v>
          </cell>
          <cell r="E121">
            <v>81.8</v>
          </cell>
          <cell r="F121">
            <v>118</v>
          </cell>
        </row>
        <row r="122">
          <cell r="B122">
            <v>200611119</v>
          </cell>
          <cell r="C122" t="str">
            <v>Pelicula PVC 35 mic. CH 611 mm</v>
          </cell>
          <cell r="D122">
            <v>2799</v>
          </cell>
          <cell r="E122">
            <v>81.3</v>
          </cell>
          <cell r="F122">
            <v>119</v>
          </cell>
        </row>
        <row r="123">
          <cell r="B123">
            <v>200611120</v>
          </cell>
          <cell r="C123" t="str">
            <v>Pelicula PVC 35 mic. CH 611 mm</v>
          </cell>
          <cell r="D123">
            <v>2828</v>
          </cell>
          <cell r="E123">
            <v>81.8</v>
          </cell>
          <cell r="F123">
            <v>120</v>
          </cell>
        </row>
        <row r="124">
          <cell r="B124">
            <v>200611121</v>
          </cell>
          <cell r="C124" t="str">
            <v>Pelicula PVC 35 mic. CH 611 mm</v>
          </cell>
          <cell r="D124">
            <v>2834</v>
          </cell>
          <cell r="E124">
            <v>80.099999999999994</v>
          </cell>
          <cell r="F124">
            <v>121</v>
          </cell>
        </row>
        <row r="125">
          <cell r="B125">
            <v>200611122</v>
          </cell>
          <cell r="C125" t="str">
            <v>Pelicula PVC 35 mic. CH 611 mm</v>
          </cell>
          <cell r="D125">
            <v>2834</v>
          </cell>
          <cell r="E125">
            <v>81</v>
          </cell>
          <cell r="F125">
            <v>122</v>
          </cell>
        </row>
        <row r="126">
          <cell r="B126">
            <v>200611123</v>
          </cell>
          <cell r="C126" t="str">
            <v>Pelicula PVC 35 mic. CH 611 mm</v>
          </cell>
          <cell r="D126">
            <v>2834</v>
          </cell>
          <cell r="E126">
            <v>81</v>
          </cell>
          <cell r="F126">
            <v>123</v>
          </cell>
        </row>
        <row r="127">
          <cell r="B127">
            <v>200611124</v>
          </cell>
          <cell r="C127" t="str">
            <v>Pelicula PVC 35 mic. CH 611 mm</v>
          </cell>
          <cell r="D127">
            <v>2827</v>
          </cell>
          <cell r="E127">
            <v>80.900000000000006</v>
          </cell>
          <cell r="F127">
            <v>124</v>
          </cell>
        </row>
        <row r="128">
          <cell r="B128">
            <v>200611125</v>
          </cell>
          <cell r="C128" t="str">
            <v>Pelicula PVC 35 mic. CH 611 mm</v>
          </cell>
          <cell r="D128">
            <v>2950</v>
          </cell>
          <cell r="E128">
            <v>84.8</v>
          </cell>
          <cell r="F128">
            <v>125</v>
          </cell>
        </row>
        <row r="129">
          <cell r="B129">
            <v>200611126</v>
          </cell>
          <cell r="C129" t="str">
            <v>Pelicula PVC 35 mic. CH 611 mm</v>
          </cell>
          <cell r="D129">
            <v>2827</v>
          </cell>
          <cell r="E129">
            <v>80.900000000000006</v>
          </cell>
          <cell r="F129">
            <v>126</v>
          </cell>
        </row>
        <row r="130">
          <cell r="B130">
            <v>200611127</v>
          </cell>
          <cell r="C130" t="str">
            <v>Pelicula PVC 35 mic. CH 611 mm</v>
          </cell>
          <cell r="D130">
            <v>2855</v>
          </cell>
          <cell r="E130">
            <v>79.400000000000006</v>
          </cell>
          <cell r="F130">
            <v>127</v>
          </cell>
        </row>
        <row r="131">
          <cell r="B131">
            <v>200611128</v>
          </cell>
          <cell r="C131" t="str">
            <v>Pelicula PVC 35 mic. CH 611 mm</v>
          </cell>
          <cell r="D131">
            <v>2701</v>
          </cell>
          <cell r="E131">
            <v>76.5</v>
          </cell>
          <cell r="F131">
            <v>128</v>
          </cell>
        </row>
        <row r="132">
          <cell r="B132">
            <v>200611129</v>
          </cell>
          <cell r="C132" t="str">
            <v>Pelicula PVC 35 mic. CH 611 mm</v>
          </cell>
          <cell r="D132">
            <v>2701</v>
          </cell>
          <cell r="E132">
            <v>76.400000000000006</v>
          </cell>
          <cell r="F132">
            <v>129</v>
          </cell>
        </row>
        <row r="133">
          <cell r="B133">
            <v>200611130</v>
          </cell>
          <cell r="C133" t="str">
            <v>Pelicula PVC 35 mic. CH 611 mm</v>
          </cell>
          <cell r="D133">
            <v>2936</v>
          </cell>
          <cell r="E133">
            <v>85</v>
          </cell>
          <cell r="F133">
            <v>130</v>
          </cell>
        </row>
        <row r="134">
          <cell r="B134">
            <v>200611131</v>
          </cell>
          <cell r="C134" t="str">
            <v>Pelicula PVC 35 mic. CH 611 mm</v>
          </cell>
          <cell r="D134">
            <v>2826</v>
          </cell>
          <cell r="E134">
            <v>81.099999999999994</v>
          </cell>
          <cell r="F134">
            <v>131</v>
          </cell>
        </row>
        <row r="135">
          <cell r="B135">
            <v>200611132</v>
          </cell>
          <cell r="C135" t="str">
            <v>Pelicula PVC 35 mic. CH 611 mm</v>
          </cell>
          <cell r="D135">
            <v>2826</v>
          </cell>
          <cell r="E135">
            <v>82.1</v>
          </cell>
          <cell r="F135">
            <v>132</v>
          </cell>
        </row>
        <row r="136">
          <cell r="B136">
            <v>200611133</v>
          </cell>
          <cell r="C136" t="str">
            <v>Pelicula PVC 35 mic. CH 611 mm</v>
          </cell>
          <cell r="D136">
            <v>2853</v>
          </cell>
          <cell r="E136">
            <v>83.1</v>
          </cell>
          <cell r="F136">
            <v>133</v>
          </cell>
        </row>
        <row r="137">
          <cell r="B137">
            <v>200611134</v>
          </cell>
          <cell r="C137" t="str">
            <v>Pelicula PVC 35 mic. CH 611 mm</v>
          </cell>
          <cell r="D137">
            <v>2838</v>
          </cell>
          <cell r="E137">
            <v>81.2</v>
          </cell>
          <cell r="F137">
            <v>134</v>
          </cell>
        </row>
        <row r="138">
          <cell r="B138">
            <v>200611135</v>
          </cell>
          <cell r="C138" t="str">
            <v>Pelicula PVC 35 mic. CH 611 mm</v>
          </cell>
          <cell r="D138">
            <v>2850</v>
          </cell>
          <cell r="E138">
            <v>78.599999999999994</v>
          </cell>
          <cell r="F138">
            <v>135</v>
          </cell>
        </row>
        <row r="139">
          <cell r="B139">
            <v>200611136</v>
          </cell>
          <cell r="C139" t="str">
            <v>Pelicula PVC 35 mic. CH 611 mm</v>
          </cell>
          <cell r="D139">
            <v>2853</v>
          </cell>
          <cell r="E139">
            <v>83.5</v>
          </cell>
          <cell r="F139">
            <v>136</v>
          </cell>
        </row>
        <row r="140">
          <cell r="B140">
            <v>200611137</v>
          </cell>
          <cell r="C140" t="str">
            <v>Pelicula PVC 35 mic. CH 611 mm</v>
          </cell>
          <cell r="D140">
            <v>2815</v>
          </cell>
          <cell r="E140">
            <v>81.8</v>
          </cell>
          <cell r="F140">
            <v>137</v>
          </cell>
        </row>
        <row r="141">
          <cell r="B141">
            <v>200611138</v>
          </cell>
          <cell r="C141" t="str">
            <v>Pelicula PVC 35 mic. CH 611 mm</v>
          </cell>
          <cell r="D141">
            <v>2889</v>
          </cell>
          <cell r="E141">
            <v>84.3</v>
          </cell>
          <cell r="F141">
            <v>138</v>
          </cell>
        </row>
        <row r="142">
          <cell r="B142">
            <v>200611139</v>
          </cell>
          <cell r="C142" t="str">
            <v>Pelicula PVC 35 mic. CH 611 mm</v>
          </cell>
          <cell r="D142">
            <v>2821</v>
          </cell>
          <cell r="E142">
            <v>79.7</v>
          </cell>
          <cell r="F142">
            <v>139</v>
          </cell>
        </row>
        <row r="143">
          <cell r="B143">
            <v>200611140</v>
          </cell>
          <cell r="C143" t="str">
            <v>Pelicula PVC 35 mic. CH 611 mm</v>
          </cell>
          <cell r="D143">
            <v>2855</v>
          </cell>
          <cell r="E143">
            <v>80.3</v>
          </cell>
          <cell r="F143">
            <v>140</v>
          </cell>
        </row>
        <row r="144">
          <cell r="B144">
            <v>200611141</v>
          </cell>
          <cell r="C144" t="str">
            <v>Pelicula PVC 35 mic. CH 611 mm</v>
          </cell>
          <cell r="D144">
            <v>2879</v>
          </cell>
          <cell r="E144">
            <v>81.400000000000006</v>
          </cell>
          <cell r="F144">
            <v>141</v>
          </cell>
        </row>
        <row r="145">
          <cell r="B145">
            <v>200611142</v>
          </cell>
          <cell r="C145" t="str">
            <v>Pelicula PVC 35 mic. CH 611 mm</v>
          </cell>
          <cell r="D145">
            <v>2818</v>
          </cell>
          <cell r="E145">
            <v>78.599999999999994</v>
          </cell>
          <cell r="F145">
            <v>142</v>
          </cell>
        </row>
        <row r="146">
          <cell r="B146">
            <v>200611143</v>
          </cell>
          <cell r="C146" t="str">
            <v>Pelicula PVC 35 mic. CH 611 mm</v>
          </cell>
          <cell r="D146">
            <v>2889</v>
          </cell>
          <cell r="E146">
            <v>84.1</v>
          </cell>
          <cell r="F146">
            <v>143</v>
          </cell>
        </row>
        <row r="147">
          <cell r="B147">
            <v>200611144</v>
          </cell>
          <cell r="C147" t="str">
            <v>Pelicula PVC 35 mic. CH 611 mm</v>
          </cell>
          <cell r="D147">
            <v>2821</v>
          </cell>
          <cell r="E147">
            <v>80.3</v>
          </cell>
          <cell r="F147">
            <v>144</v>
          </cell>
        </row>
        <row r="148">
          <cell r="B148">
            <v>200611145</v>
          </cell>
          <cell r="C148" t="str">
            <v>Pelicula PVC 35 mic. CH 611 mm</v>
          </cell>
          <cell r="D148">
            <v>2838</v>
          </cell>
          <cell r="E148">
            <v>82.3</v>
          </cell>
          <cell r="F148">
            <v>145</v>
          </cell>
        </row>
        <row r="149">
          <cell r="B149">
            <v>200611146</v>
          </cell>
          <cell r="C149" t="str">
            <v>Pelicula PVC 35 mic. CH 611 mm</v>
          </cell>
          <cell r="D149">
            <v>2818</v>
          </cell>
          <cell r="E149">
            <v>79</v>
          </cell>
          <cell r="F149">
            <v>146</v>
          </cell>
        </row>
        <row r="150">
          <cell r="B150">
            <v>200611147</v>
          </cell>
          <cell r="C150" t="str">
            <v>Pelicula PVC 35 mic. CH 611 mm</v>
          </cell>
          <cell r="D150">
            <v>2822</v>
          </cell>
          <cell r="E150">
            <v>80.099999999999994</v>
          </cell>
          <cell r="F150">
            <v>147</v>
          </cell>
        </row>
        <row r="151">
          <cell r="B151">
            <v>200611148</v>
          </cell>
          <cell r="C151" t="str">
            <v>Pelicula PVC 35 mic. CH 611 mm</v>
          </cell>
          <cell r="D151">
            <v>2822</v>
          </cell>
          <cell r="E151">
            <v>80.7</v>
          </cell>
          <cell r="F151">
            <v>148</v>
          </cell>
        </row>
        <row r="152">
          <cell r="B152">
            <v>200611149</v>
          </cell>
          <cell r="C152" t="str">
            <v>Pelicula PVC 35 mic. CH 611 mm</v>
          </cell>
          <cell r="D152">
            <v>2813</v>
          </cell>
          <cell r="E152">
            <v>79.599999999999994</v>
          </cell>
          <cell r="F152">
            <v>149</v>
          </cell>
        </row>
        <row r="153">
          <cell r="B153">
            <v>200611150</v>
          </cell>
          <cell r="C153" t="str">
            <v>Pelicula PVC 35 mic. CH 611 mm</v>
          </cell>
          <cell r="D153">
            <v>2813</v>
          </cell>
          <cell r="E153">
            <v>80.900000000000006</v>
          </cell>
          <cell r="F153">
            <v>150</v>
          </cell>
        </row>
        <row r="154">
          <cell r="B154">
            <v>200677001</v>
          </cell>
          <cell r="C154" t="str">
            <v>Pelicula  PVC 35 mic. CH  667 mm</v>
          </cell>
          <cell r="D154">
            <v>2818</v>
          </cell>
          <cell r="E154">
            <v>89.3</v>
          </cell>
          <cell r="F154">
            <v>1</v>
          </cell>
        </row>
        <row r="155">
          <cell r="B155">
            <v>200677002</v>
          </cell>
          <cell r="C155" t="str">
            <v>Pelicula  PVC 35 mic. CH  667 mm</v>
          </cell>
          <cell r="D155">
            <v>2818</v>
          </cell>
          <cell r="E155">
            <v>89.7</v>
          </cell>
          <cell r="F155">
            <v>2</v>
          </cell>
        </row>
        <row r="156">
          <cell r="B156">
            <v>200677003</v>
          </cell>
          <cell r="C156" t="str">
            <v>Pelicula  PVC 35 mic. CH  667 mm</v>
          </cell>
          <cell r="D156">
            <v>2867</v>
          </cell>
          <cell r="E156">
            <v>88.7</v>
          </cell>
          <cell r="F156">
            <v>3</v>
          </cell>
        </row>
        <row r="157">
          <cell r="B157">
            <v>200677004</v>
          </cell>
          <cell r="C157" t="str">
            <v>Pelicula  PVC 35 mic. CH  667 mm</v>
          </cell>
          <cell r="D157">
            <v>2830</v>
          </cell>
          <cell r="E157">
            <v>91.3</v>
          </cell>
          <cell r="F157">
            <v>4</v>
          </cell>
        </row>
        <row r="158">
          <cell r="B158">
            <v>200677005</v>
          </cell>
          <cell r="C158" t="str">
            <v>Pelicula  PVC 35 mic. CH  667 mm</v>
          </cell>
          <cell r="D158">
            <v>2856</v>
          </cell>
          <cell r="E158">
            <v>91.8</v>
          </cell>
          <cell r="F158">
            <v>5</v>
          </cell>
        </row>
        <row r="159">
          <cell r="B159">
            <v>200677006</v>
          </cell>
          <cell r="C159" t="str">
            <v>Pelicula  PVC 35 mic. CH  667 mm</v>
          </cell>
          <cell r="D159">
            <v>2897</v>
          </cell>
          <cell r="E159">
            <v>92.8</v>
          </cell>
          <cell r="F159">
            <v>6</v>
          </cell>
        </row>
        <row r="160">
          <cell r="B160">
            <v>200677007</v>
          </cell>
          <cell r="C160" t="str">
            <v>Pelicula  PVC 35 mic. CH  667 mm</v>
          </cell>
          <cell r="D160">
            <v>2830</v>
          </cell>
          <cell r="E160">
            <v>96.1</v>
          </cell>
          <cell r="F160">
            <v>7</v>
          </cell>
        </row>
        <row r="161">
          <cell r="B161">
            <v>200677008</v>
          </cell>
          <cell r="C161" t="str">
            <v>Pelicula  PVC 35 mic. CH  667 mm</v>
          </cell>
          <cell r="D161">
            <v>2818</v>
          </cell>
          <cell r="E161">
            <v>89.6</v>
          </cell>
          <cell r="F161">
            <v>8</v>
          </cell>
        </row>
        <row r="162">
          <cell r="B162">
            <v>200677009</v>
          </cell>
          <cell r="C162" t="str">
            <v>Pelicula  PVC 35 mic. CH  667 mm</v>
          </cell>
          <cell r="D162">
            <v>2897</v>
          </cell>
          <cell r="E162">
            <v>92</v>
          </cell>
          <cell r="F162">
            <v>9</v>
          </cell>
        </row>
        <row r="163">
          <cell r="B163">
            <v>200677010</v>
          </cell>
          <cell r="C163" t="str">
            <v>Pelicula  PVC 35 mic. CH  667 mm</v>
          </cell>
          <cell r="D163">
            <v>2813</v>
          </cell>
          <cell r="E163">
            <v>90.1</v>
          </cell>
          <cell r="F163">
            <v>10</v>
          </cell>
        </row>
        <row r="164">
          <cell r="B164">
            <v>200677011</v>
          </cell>
          <cell r="C164" t="str">
            <v>Pelicula  PVC 35 mic. CH  667 mm</v>
          </cell>
          <cell r="D164">
            <v>2930</v>
          </cell>
          <cell r="E164">
            <v>93.4</v>
          </cell>
          <cell r="F164">
            <v>11</v>
          </cell>
        </row>
        <row r="165">
          <cell r="B165">
            <v>200677012</v>
          </cell>
          <cell r="C165" t="str">
            <v>Pelicula  PVC 35 mic. CH  667 mm</v>
          </cell>
          <cell r="D165">
            <v>2833</v>
          </cell>
          <cell r="E165">
            <v>91.4</v>
          </cell>
          <cell r="F165">
            <v>12</v>
          </cell>
        </row>
        <row r="166">
          <cell r="B166">
            <v>200677013</v>
          </cell>
          <cell r="C166" t="str">
            <v>Pelicula  PVC 35 mic. CH  667 mm</v>
          </cell>
          <cell r="D166">
            <v>2856</v>
          </cell>
          <cell r="E166">
            <v>91.9</v>
          </cell>
          <cell r="F166">
            <v>13</v>
          </cell>
        </row>
        <row r="167">
          <cell r="B167">
            <v>200677014</v>
          </cell>
          <cell r="C167" t="str">
            <v>Pelicula  PVC 35 mic. CH  667 mm</v>
          </cell>
          <cell r="D167">
            <v>2785</v>
          </cell>
          <cell r="E167">
            <v>90</v>
          </cell>
          <cell r="F167">
            <v>14</v>
          </cell>
        </row>
        <row r="168">
          <cell r="B168">
            <v>200677015</v>
          </cell>
          <cell r="C168" t="str">
            <v>Pelicula  PVC 35 mic. CH  667 mm</v>
          </cell>
          <cell r="D168">
            <v>2813</v>
          </cell>
          <cell r="E168">
            <v>90</v>
          </cell>
          <cell r="F168">
            <v>15</v>
          </cell>
        </row>
        <row r="169">
          <cell r="B169">
            <v>200677016</v>
          </cell>
          <cell r="C169" t="str">
            <v>Pelicula  PVC 35 mic. CH  667 mm</v>
          </cell>
          <cell r="D169">
            <v>2813</v>
          </cell>
          <cell r="E169">
            <v>90</v>
          </cell>
          <cell r="F169">
            <v>16</v>
          </cell>
        </row>
        <row r="170">
          <cell r="B170">
            <v>200677017</v>
          </cell>
          <cell r="C170" t="str">
            <v>Pelicula  PVC 35 mic. CH  667 mm</v>
          </cell>
          <cell r="D170">
            <v>2930</v>
          </cell>
          <cell r="E170">
            <v>93.7</v>
          </cell>
          <cell r="F170">
            <v>17</v>
          </cell>
        </row>
        <row r="171">
          <cell r="B171">
            <v>200677018</v>
          </cell>
          <cell r="C171" t="str">
            <v>Pelicula  PVC 35 mic. CH  667 mm</v>
          </cell>
          <cell r="D171">
            <v>2833</v>
          </cell>
          <cell r="E171">
            <v>90.6</v>
          </cell>
          <cell r="F171">
            <v>18</v>
          </cell>
        </row>
        <row r="172">
          <cell r="B172">
            <v>200677019</v>
          </cell>
          <cell r="C172" t="str">
            <v>Pelicula  PVC 35 mic. CH  667 mm</v>
          </cell>
          <cell r="D172">
            <v>2849</v>
          </cell>
          <cell r="E172">
            <v>91.7</v>
          </cell>
          <cell r="F172">
            <v>19</v>
          </cell>
        </row>
        <row r="173">
          <cell r="B173">
            <v>200677020</v>
          </cell>
          <cell r="C173" t="str">
            <v>Pelicula  PVC 35 mic. CH  667 mm</v>
          </cell>
          <cell r="D173">
            <v>2631</v>
          </cell>
          <cell r="E173">
            <v>84.3</v>
          </cell>
          <cell r="F173">
            <v>20</v>
          </cell>
        </row>
        <row r="174">
          <cell r="B174">
            <v>200677021</v>
          </cell>
          <cell r="C174" t="str">
            <v>Pelicula  PVC 35 mic. CH  667 mm</v>
          </cell>
          <cell r="D174">
            <v>2631</v>
          </cell>
          <cell r="E174">
            <v>84.3</v>
          </cell>
          <cell r="F174">
            <v>21</v>
          </cell>
        </row>
        <row r="175">
          <cell r="B175">
            <v>200677022</v>
          </cell>
          <cell r="C175" t="str">
            <v>Pelicula  PVC 35 mic. CH  667 mm</v>
          </cell>
          <cell r="D175">
            <v>2940</v>
          </cell>
          <cell r="E175">
            <v>91.7</v>
          </cell>
          <cell r="F175">
            <v>22</v>
          </cell>
        </row>
        <row r="176">
          <cell r="B176">
            <v>200677023</v>
          </cell>
          <cell r="C176" t="str">
            <v>Pelicula  PVC 35 mic. CH  667 mm</v>
          </cell>
          <cell r="D176">
            <v>2801</v>
          </cell>
          <cell r="E176">
            <v>84.3</v>
          </cell>
          <cell r="F176">
            <v>23</v>
          </cell>
        </row>
        <row r="177">
          <cell r="B177">
            <v>200677024</v>
          </cell>
          <cell r="C177" t="str">
            <v>Pelicula  PVC 35 mic. CH  667 mm</v>
          </cell>
          <cell r="D177">
            <v>2800</v>
          </cell>
          <cell r="E177">
            <v>84.5</v>
          </cell>
          <cell r="F177">
            <v>24</v>
          </cell>
        </row>
        <row r="178">
          <cell r="B178">
            <v>200677025</v>
          </cell>
          <cell r="C178" t="str">
            <v>Pelicula  PVC 35 mic. CH  667 mm</v>
          </cell>
          <cell r="D178">
            <v>2796</v>
          </cell>
          <cell r="E178">
            <v>88.5</v>
          </cell>
          <cell r="F178">
            <v>25</v>
          </cell>
        </row>
        <row r="179">
          <cell r="B179">
            <v>200677026</v>
          </cell>
          <cell r="C179" t="str">
            <v>Pelicula  PVC 35 mic. CH  667 mm</v>
          </cell>
          <cell r="D179">
            <v>2826</v>
          </cell>
          <cell r="E179">
            <v>91.4</v>
          </cell>
          <cell r="F179">
            <v>26</v>
          </cell>
        </row>
        <row r="180">
          <cell r="B180">
            <v>200677027</v>
          </cell>
          <cell r="C180" t="str">
            <v>Pelicula  PVC 35 mic. CH  667 mm</v>
          </cell>
          <cell r="D180">
            <v>2796</v>
          </cell>
          <cell r="E180">
            <v>88</v>
          </cell>
          <cell r="F180">
            <v>27</v>
          </cell>
        </row>
        <row r="181">
          <cell r="B181">
            <v>200677028</v>
          </cell>
          <cell r="C181" t="str">
            <v>Pelicula  PVC 35 mic. CH  667 mm</v>
          </cell>
          <cell r="D181">
            <v>2680</v>
          </cell>
          <cell r="E181">
            <v>84</v>
          </cell>
          <cell r="F181">
            <v>28</v>
          </cell>
        </row>
        <row r="182">
          <cell r="B182">
            <v>200677029</v>
          </cell>
          <cell r="C182" t="str">
            <v>Pelicula  PVC 35 mic. CH  667 mm</v>
          </cell>
          <cell r="D182">
            <v>2680</v>
          </cell>
          <cell r="E182">
            <v>84.5</v>
          </cell>
          <cell r="F182">
            <v>29</v>
          </cell>
        </row>
        <row r="183">
          <cell r="B183">
            <v>200677030</v>
          </cell>
          <cell r="C183" t="str">
            <v>Pelicula  PVC 35 mic. CH  667 mm</v>
          </cell>
          <cell r="D183">
            <v>2846</v>
          </cell>
          <cell r="E183">
            <v>89.7</v>
          </cell>
          <cell r="F183">
            <v>30</v>
          </cell>
        </row>
        <row r="184">
          <cell r="B184">
            <v>200677031</v>
          </cell>
          <cell r="C184" t="str">
            <v>Pelicula  PVC 35 mic. CH  667 mm</v>
          </cell>
          <cell r="D184">
            <v>2835</v>
          </cell>
          <cell r="E184">
            <v>89.6</v>
          </cell>
          <cell r="F184">
            <v>31</v>
          </cell>
        </row>
        <row r="185">
          <cell r="B185">
            <v>200677032</v>
          </cell>
          <cell r="C185" t="str">
            <v>Pelicula  PVC 35 mic. CH  667 mm</v>
          </cell>
          <cell r="D185">
            <v>2913</v>
          </cell>
          <cell r="E185">
            <v>90</v>
          </cell>
          <cell r="F185">
            <v>32</v>
          </cell>
        </row>
        <row r="186">
          <cell r="B186">
            <v>200677033</v>
          </cell>
          <cell r="C186" t="str">
            <v>Pelicula  PVC 35 mic. CH  667 mm</v>
          </cell>
          <cell r="D186">
            <v>2846</v>
          </cell>
          <cell r="E186">
            <v>89.7</v>
          </cell>
          <cell r="F186">
            <v>33</v>
          </cell>
        </row>
        <row r="187">
          <cell r="B187">
            <v>200677034</v>
          </cell>
          <cell r="C187" t="str">
            <v>Pelicula  PVC 35 mic. CH  667 mm</v>
          </cell>
          <cell r="D187">
            <v>2813</v>
          </cell>
          <cell r="E187">
            <v>90.1</v>
          </cell>
          <cell r="F187">
            <v>34</v>
          </cell>
        </row>
        <row r="188">
          <cell r="B188">
            <v>200677035</v>
          </cell>
          <cell r="C188" t="str">
            <v>Pelicula  PVC 35 mic. CH  667 mm</v>
          </cell>
          <cell r="D188">
            <v>2913</v>
          </cell>
          <cell r="E188">
            <v>90.2</v>
          </cell>
          <cell r="F188">
            <v>35</v>
          </cell>
        </row>
        <row r="189">
          <cell r="B189">
            <v>200677036</v>
          </cell>
          <cell r="C189" t="str">
            <v>Pelicula  PVC 35 mic. CH  667 mm</v>
          </cell>
          <cell r="D189">
            <v>2850</v>
          </cell>
          <cell r="E189">
            <v>90.6</v>
          </cell>
          <cell r="F189">
            <v>36</v>
          </cell>
        </row>
        <row r="190">
          <cell r="B190">
            <v>200677037</v>
          </cell>
          <cell r="C190" t="str">
            <v>Pelicula  PVC 35 mic. CH  667 mm</v>
          </cell>
          <cell r="D190">
            <v>2850</v>
          </cell>
          <cell r="E190">
            <v>90.2</v>
          </cell>
          <cell r="F190">
            <v>37</v>
          </cell>
        </row>
        <row r="191">
          <cell r="B191">
            <v>200677038</v>
          </cell>
          <cell r="C191" t="str">
            <v>Pelicula  PVC 35 mic. CH  667 mm</v>
          </cell>
          <cell r="D191">
            <v>3012</v>
          </cell>
          <cell r="E191">
            <v>92.3</v>
          </cell>
          <cell r="F191">
            <v>38</v>
          </cell>
        </row>
        <row r="192">
          <cell r="B192">
            <v>200677039</v>
          </cell>
          <cell r="C192" t="str">
            <v>Pelicula  PVC 35 mic. CH  667 mm</v>
          </cell>
          <cell r="D192">
            <v>2845</v>
          </cell>
          <cell r="E192">
            <v>92.5</v>
          </cell>
          <cell r="F192">
            <v>39</v>
          </cell>
        </row>
        <row r="193">
          <cell r="B193">
            <v>200677040</v>
          </cell>
          <cell r="C193" t="str">
            <v>Pelicula  PVC 35 mic. CH  667 mm</v>
          </cell>
          <cell r="D193">
            <v>2826</v>
          </cell>
          <cell r="E193">
            <v>88.6</v>
          </cell>
          <cell r="F193">
            <v>40</v>
          </cell>
        </row>
        <row r="194">
          <cell r="B194">
            <v>200677041</v>
          </cell>
          <cell r="C194" t="str">
            <v>Pelicula  PVC 35 mic. CH  667 mm</v>
          </cell>
          <cell r="D194">
            <v>2840</v>
          </cell>
          <cell r="E194">
            <v>87</v>
          </cell>
          <cell r="F194">
            <v>41</v>
          </cell>
        </row>
        <row r="195">
          <cell r="B195">
            <v>200677042</v>
          </cell>
          <cell r="C195" t="str">
            <v>Pelicula  PVC 35 mic. CH  667 mm</v>
          </cell>
          <cell r="D195">
            <v>2826</v>
          </cell>
          <cell r="E195">
            <v>88.8</v>
          </cell>
          <cell r="F195">
            <v>42</v>
          </cell>
        </row>
        <row r="196">
          <cell r="B196">
            <v>200677043</v>
          </cell>
          <cell r="C196" t="str">
            <v>Pelicula  PVC 35 mic. CH  667 mm</v>
          </cell>
          <cell r="D196">
            <v>2864</v>
          </cell>
          <cell r="E196">
            <v>91.4</v>
          </cell>
          <cell r="F196">
            <v>43</v>
          </cell>
        </row>
        <row r="197">
          <cell r="B197">
            <v>200677044</v>
          </cell>
          <cell r="C197" t="str">
            <v>Pelicula  PVC 35 mic. CH  667 mm</v>
          </cell>
          <cell r="D197">
            <v>2864</v>
          </cell>
          <cell r="E197">
            <v>91.1</v>
          </cell>
          <cell r="F197">
            <v>44</v>
          </cell>
        </row>
        <row r="198">
          <cell r="B198">
            <v>200677045</v>
          </cell>
          <cell r="C198" t="str">
            <v>Pelicula  PVC 35 mic. CH  667 mm</v>
          </cell>
          <cell r="D198">
            <v>2840</v>
          </cell>
          <cell r="E198">
            <v>86.8</v>
          </cell>
          <cell r="F198">
            <v>45</v>
          </cell>
        </row>
        <row r="199">
          <cell r="B199">
            <v>200677046</v>
          </cell>
          <cell r="C199" t="str">
            <v>Pelicula  PVC 35 mic. CH  667 mm</v>
          </cell>
          <cell r="D199">
            <v>2855</v>
          </cell>
          <cell r="E199">
            <v>90.6</v>
          </cell>
          <cell r="F199">
            <v>46</v>
          </cell>
        </row>
        <row r="200">
          <cell r="B200">
            <v>200677047</v>
          </cell>
          <cell r="C200" t="str">
            <v>Pelicula  PVC 35 mic. CH  667 mm</v>
          </cell>
          <cell r="D200">
            <v>2849</v>
          </cell>
          <cell r="E200">
            <v>91.3</v>
          </cell>
          <cell r="F200">
            <v>47</v>
          </cell>
        </row>
        <row r="201">
          <cell r="B201">
            <v>200677048</v>
          </cell>
          <cell r="C201" t="str">
            <v>Pelicula  PVC 35 mic. CH  667 mm</v>
          </cell>
          <cell r="D201">
            <v>2831</v>
          </cell>
          <cell r="E201">
            <v>90</v>
          </cell>
          <cell r="F201">
            <v>48</v>
          </cell>
        </row>
        <row r="202">
          <cell r="B202">
            <v>200677049</v>
          </cell>
          <cell r="C202" t="str">
            <v>Pelicula  PVC 35 mic. CH  667 mm</v>
          </cell>
          <cell r="D202">
            <v>2840</v>
          </cell>
          <cell r="E202">
            <v>90.2</v>
          </cell>
          <cell r="F202">
            <v>49</v>
          </cell>
        </row>
        <row r="203">
          <cell r="B203">
            <v>200677050</v>
          </cell>
          <cell r="C203" t="str">
            <v>Pelicula  PVC 35 mic. CH  667 mm</v>
          </cell>
          <cell r="D203">
            <v>2840</v>
          </cell>
          <cell r="E203">
            <v>90</v>
          </cell>
          <cell r="F203">
            <v>50</v>
          </cell>
        </row>
        <row r="204">
          <cell r="B204">
            <v>200677051</v>
          </cell>
          <cell r="C204" t="str">
            <v>Pelicula  PVC 35 mic. CH  667 mm</v>
          </cell>
          <cell r="D204">
            <v>2680</v>
          </cell>
          <cell r="E204">
            <v>83.9</v>
          </cell>
          <cell r="F204">
            <v>51</v>
          </cell>
        </row>
        <row r="205">
          <cell r="B205">
            <v>200677052</v>
          </cell>
          <cell r="C205" t="str">
            <v>Pelicula  PVC 35 mic. CH  667 mm</v>
          </cell>
          <cell r="D205">
            <v>2850</v>
          </cell>
          <cell r="E205">
            <v>90.5</v>
          </cell>
          <cell r="F205">
            <v>52</v>
          </cell>
        </row>
        <row r="206">
          <cell r="B206">
            <v>200677053</v>
          </cell>
          <cell r="C206" t="str">
            <v>Pelicula  PVC 35 mic. CH  667 mm</v>
          </cell>
          <cell r="D206">
            <v>2831</v>
          </cell>
          <cell r="E206">
            <v>88.7</v>
          </cell>
          <cell r="F206">
            <v>53</v>
          </cell>
        </row>
        <row r="207">
          <cell r="B207">
            <v>200677054</v>
          </cell>
          <cell r="C207" t="str">
            <v>Pelicula  PVC 35 mic. CH  667 mm</v>
          </cell>
          <cell r="D207">
            <v>2855</v>
          </cell>
          <cell r="E207">
            <v>90.4</v>
          </cell>
          <cell r="F207">
            <v>54</v>
          </cell>
        </row>
        <row r="208">
          <cell r="B208">
            <v>200677055</v>
          </cell>
          <cell r="C208" t="str">
            <v>Pelicula  PVC 35 mic. CH  667 mm</v>
          </cell>
          <cell r="D208">
            <v>2862</v>
          </cell>
          <cell r="E208">
            <v>88.3</v>
          </cell>
          <cell r="F208">
            <v>55</v>
          </cell>
        </row>
        <row r="209">
          <cell r="B209">
            <v>200677056</v>
          </cell>
          <cell r="C209" t="str">
            <v>Pelicula  PVC 35 mic. CH  667 mm</v>
          </cell>
          <cell r="D209">
            <v>2831</v>
          </cell>
          <cell r="E209">
            <v>92</v>
          </cell>
          <cell r="F209">
            <v>56</v>
          </cell>
        </row>
        <row r="210">
          <cell r="B210">
            <v>200677057</v>
          </cell>
          <cell r="C210" t="str">
            <v>Pelicula  PVC 35 mic. CH  667 mm</v>
          </cell>
          <cell r="D210">
            <v>2813</v>
          </cell>
          <cell r="E210">
            <v>89.8</v>
          </cell>
          <cell r="F210">
            <v>57</v>
          </cell>
        </row>
        <row r="211">
          <cell r="B211">
            <v>200677058</v>
          </cell>
          <cell r="C211" t="str">
            <v>Pelicula  PVC 35 mic. CH  667 mm</v>
          </cell>
          <cell r="D211">
            <v>2820</v>
          </cell>
          <cell r="E211">
            <v>90.1</v>
          </cell>
          <cell r="F211">
            <v>58</v>
          </cell>
        </row>
        <row r="212">
          <cell r="B212">
            <v>200677059</v>
          </cell>
          <cell r="C212" t="str">
            <v>Pelicula  PVC 35 mic. CH  667 mm</v>
          </cell>
          <cell r="D212">
            <v>2840</v>
          </cell>
          <cell r="E212">
            <v>91</v>
          </cell>
          <cell r="F212">
            <v>59</v>
          </cell>
        </row>
        <row r="213">
          <cell r="B213">
            <v>200677060</v>
          </cell>
          <cell r="C213" t="str">
            <v>Pelicula  PVC 35 mic. CH  667 mm</v>
          </cell>
          <cell r="D213">
            <v>2840</v>
          </cell>
          <cell r="E213">
            <v>91.4</v>
          </cell>
          <cell r="F213">
            <v>60</v>
          </cell>
        </row>
        <row r="214">
          <cell r="B214">
            <v>200677061</v>
          </cell>
          <cell r="C214" t="str">
            <v>Pelicula  PVC 35 mic. CH  667 mm</v>
          </cell>
          <cell r="D214">
            <v>2820</v>
          </cell>
          <cell r="E214">
            <v>90.3</v>
          </cell>
          <cell r="F214">
            <v>61</v>
          </cell>
        </row>
        <row r="215">
          <cell r="B215">
            <v>200677062</v>
          </cell>
          <cell r="C215" t="str">
            <v>Pelicula  PVC 35 mic. CH  667 mm</v>
          </cell>
          <cell r="D215">
            <v>2831</v>
          </cell>
          <cell r="E215">
            <v>91.5</v>
          </cell>
          <cell r="F215">
            <v>62</v>
          </cell>
        </row>
        <row r="216">
          <cell r="B216">
            <v>200677063</v>
          </cell>
          <cell r="C216" t="str">
            <v>Pelicula  PVC 35 mic. CH  667 mm</v>
          </cell>
          <cell r="D216">
            <v>2845</v>
          </cell>
          <cell r="E216">
            <v>92.2</v>
          </cell>
          <cell r="F216">
            <v>63</v>
          </cell>
        </row>
        <row r="217">
          <cell r="B217">
            <v>200677064</v>
          </cell>
          <cell r="C217" t="str">
            <v>Pelicula  PVC 35 mic. CH  667 mm</v>
          </cell>
          <cell r="D217">
            <v>2835</v>
          </cell>
          <cell r="E217">
            <v>89.4</v>
          </cell>
          <cell r="F217">
            <v>64</v>
          </cell>
        </row>
        <row r="218">
          <cell r="B218">
            <v>200677065</v>
          </cell>
          <cell r="C218" t="str">
            <v>Pelicula  PVC 35 mic. CH  667 mm</v>
          </cell>
          <cell r="D218">
            <v>2837</v>
          </cell>
          <cell r="E218">
            <v>89</v>
          </cell>
          <cell r="F218">
            <v>65</v>
          </cell>
        </row>
        <row r="219">
          <cell r="B219">
            <v>200677066</v>
          </cell>
          <cell r="C219" t="str">
            <v>Pelicula  PVC 35 mic. CH  667 mm</v>
          </cell>
          <cell r="D219">
            <v>2830</v>
          </cell>
          <cell r="E219">
            <v>90</v>
          </cell>
          <cell r="F219">
            <v>66</v>
          </cell>
        </row>
        <row r="220">
          <cell r="B220">
            <v>200677067</v>
          </cell>
          <cell r="C220" t="str">
            <v>Pelicula  PVC 35 mic. CH  667 mm</v>
          </cell>
          <cell r="D220">
            <v>2818</v>
          </cell>
          <cell r="E220">
            <v>89.6</v>
          </cell>
          <cell r="F220">
            <v>67</v>
          </cell>
        </row>
        <row r="221">
          <cell r="B221">
            <v>200677068</v>
          </cell>
          <cell r="C221" t="str">
            <v>Pelicula  PVC 35 mic. CH  667 mm</v>
          </cell>
          <cell r="D221">
            <v>2890</v>
          </cell>
          <cell r="E221">
            <v>90.4</v>
          </cell>
          <cell r="F221">
            <v>68</v>
          </cell>
        </row>
        <row r="222">
          <cell r="B222">
            <v>200677069</v>
          </cell>
          <cell r="C222" t="str">
            <v>Pelicula  PVC 35 mic. CH  667 mm</v>
          </cell>
          <cell r="D222">
            <v>2990</v>
          </cell>
          <cell r="E222">
            <v>91.2</v>
          </cell>
          <cell r="F222">
            <v>69</v>
          </cell>
        </row>
        <row r="223">
          <cell r="B223">
            <v>200677070</v>
          </cell>
          <cell r="C223" t="str">
            <v>Pelicula  PVC 35 mic. CH  667 mm</v>
          </cell>
          <cell r="D223">
            <v>2848</v>
          </cell>
          <cell r="E223">
            <v>92.2</v>
          </cell>
          <cell r="F223">
            <v>70</v>
          </cell>
        </row>
        <row r="224">
          <cell r="B224">
            <v>200677071</v>
          </cell>
          <cell r="C224" t="str">
            <v>Pelicula  PVC 35 mic. CH  667 mm</v>
          </cell>
          <cell r="D224">
            <v>2848</v>
          </cell>
          <cell r="E224">
            <v>92.2</v>
          </cell>
          <cell r="F224">
            <v>71</v>
          </cell>
        </row>
        <row r="225">
          <cell r="B225">
            <v>200677072</v>
          </cell>
          <cell r="C225" t="str">
            <v>Pelicula  PVC 35 mic. CH  667 mm</v>
          </cell>
          <cell r="D225">
            <v>2990</v>
          </cell>
          <cell r="E225">
            <v>91.4</v>
          </cell>
          <cell r="F225">
            <v>72</v>
          </cell>
        </row>
        <row r="226">
          <cell r="B226">
            <v>200677073</v>
          </cell>
          <cell r="C226" t="str">
            <v>Pelicula  PVC 35 mic. CH  667 mm</v>
          </cell>
          <cell r="D226">
            <v>2940</v>
          </cell>
          <cell r="E226">
            <v>92.1</v>
          </cell>
          <cell r="F226">
            <v>73</v>
          </cell>
        </row>
        <row r="227">
          <cell r="B227">
            <v>200677074</v>
          </cell>
          <cell r="C227" t="str">
            <v>Pelicula  PVC 35 mic. CH  667 mm</v>
          </cell>
          <cell r="D227">
            <v>2835</v>
          </cell>
          <cell r="E227">
            <v>89.3</v>
          </cell>
          <cell r="F227">
            <v>74</v>
          </cell>
        </row>
        <row r="228">
          <cell r="B228">
            <v>200677075</v>
          </cell>
          <cell r="C228" t="str">
            <v>Pelicula  PVC 35 mic. CH  667 mm</v>
          </cell>
          <cell r="D228">
            <v>2835</v>
          </cell>
          <cell r="E228">
            <v>89.3</v>
          </cell>
          <cell r="F228">
            <v>75</v>
          </cell>
        </row>
        <row r="229">
          <cell r="B229">
            <v>200677076</v>
          </cell>
          <cell r="C229" t="str">
            <v>Pelicula  PVC 35 mic. CH  667 mm</v>
          </cell>
          <cell r="D229">
            <v>2907</v>
          </cell>
          <cell r="E229">
            <v>92.7</v>
          </cell>
          <cell r="F229">
            <v>76</v>
          </cell>
        </row>
        <row r="230">
          <cell r="B230">
            <v>200700001</v>
          </cell>
          <cell r="C230" t="str">
            <v>Pet-G  pelicula  45 mic. CH 667 mm</v>
          </cell>
          <cell r="D230">
            <v>2271</v>
          </cell>
          <cell r="E230">
            <v>92.5</v>
          </cell>
          <cell r="F230">
            <v>1</v>
          </cell>
        </row>
        <row r="231">
          <cell r="B231">
            <v>200700002</v>
          </cell>
          <cell r="C231" t="str">
            <v>Pet-G  pelicula  45 mic. CH 667 mm</v>
          </cell>
          <cell r="D231">
            <v>2245</v>
          </cell>
          <cell r="E231">
            <v>91</v>
          </cell>
          <cell r="F231">
            <v>2</v>
          </cell>
        </row>
        <row r="232">
          <cell r="B232">
            <v>200700003</v>
          </cell>
          <cell r="C232" t="str">
            <v>Pet-G  pelicula  45 mic. CH 667 mm</v>
          </cell>
          <cell r="D232">
            <v>2271</v>
          </cell>
          <cell r="E232">
            <v>93.2</v>
          </cell>
          <cell r="F232">
            <v>3</v>
          </cell>
        </row>
        <row r="233">
          <cell r="B233">
            <v>200700004</v>
          </cell>
          <cell r="C233" t="str">
            <v>Pet-G  pelicula  45 mic. CH 667 mm</v>
          </cell>
          <cell r="D233">
            <v>2176</v>
          </cell>
          <cell r="E233">
            <v>89.1</v>
          </cell>
          <cell r="F233">
            <v>4</v>
          </cell>
        </row>
        <row r="234">
          <cell r="B234">
            <v>200700005</v>
          </cell>
          <cell r="C234" t="str">
            <v>Pet-G  pelicula  45 mic. CH 667 mm</v>
          </cell>
          <cell r="D234">
            <v>2246</v>
          </cell>
          <cell r="E234">
            <v>91.7</v>
          </cell>
          <cell r="F234">
            <v>5</v>
          </cell>
        </row>
        <row r="235">
          <cell r="B235">
            <v>200700006</v>
          </cell>
          <cell r="C235" t="str">
            <v>Pet-G  pelicula  45 mic. CH 667 mm</v>
          </cell>
          <cell r="D235">
            <v>2246</v>
          </cell>
          <cell r="E235">
            <v>90.7</v>
          </cell>
          <cell r="F235">
            <v>6</v>
          </cell>
        </row>
        <row r="236">
          <cell r="B236">
            <v>200700007</v>
          </cell>
          <cell r="C236" t="str">
            <v>Pet-G  pelicula  45 mic. CH 667 mm</v>
          </cell>
          <cell r="D236">
            <v>2272</v>
          </cell>
          <cell r="E236">
            <v>92.2</v>
          </cell>
          <cell r="F236">
            <v>7</v>
          </cell>
        </row>
        <row r="237">
          <cell r="B237">
            <v>200700008</v>
          </cell>
          <cell r="C237" t="str">
            <v>Pet-G  pelicula  45 mic. CH 667 mm</v>
          </cell>
          <cell r="D237">
            <v>2248</v>
          </cell>
          <cell r="E237">
            <v>91.6</v>
          </cell>
          <cell r="F237">
            <v>8</v>
          </cell>
        </row>
        <row r="238">
          <cell r="B238">
            <v>200700009</v>
          </cell>
          <cell r="C238" t="str">
            <v>Pet-G  pelicula  45 mic. CH 667 mm</v>
          </cell>
          <cell r="D238">
            <v>2248</v>
          </cell>
          <cell r="E238">
            <v>92.4</v>
          </cell>
          <cell r="F238">
            <v>9</v>
          </cell>
        </row>
        <row r="239">
          <cell r="B239">
            <v>200700010</v>
          </cell>
          <cell r="C239" t="str">
            <v>Pet-G  pelicula  45 mic. CH 667 mm</v>
          </cell>
          <cell r="D239">
            <v>2230</v>
          </cell>
          <cell r="E239">
            <v>90.5</v>
          </cell>
          <cell r="F239">
            <v>10</v>
          </cell>
        </row>
        <row r="240">
          <cell r="B240">
            <v>200700011</v>
          </cell>
          <cell r="C240" t="str">
            <v>Pet-G  pelicula  45 mic. CH 667 mm</v>
          </cell>
          <cell r="D240">
            <v>2230</v>
          </cell>
          <cell r="E240">
            <v>91.1</v>
          </cell>
          <cell r="F240">
            <v>11</v>
          </cell>
        </row>
        <row r="241">
          <cell r="B241">
            <v>200700012</v>
          </cell>
          <cell r="C241" t="str">
            <v>Pet-G  pelicula  45 mic. CH 667 mm</v>
          </cell>
          <cell r="D241">
            <v>2258</v>
          </cell>
          <cell r="E241">
            <v>91.4</v>
          </cell>
          <cell r="F241">
            <v>12</v>
          </cell>
        </row>
        <row r="242">
          <cell r="B242">
            <v>200700013</v>
          </cell>
          <cell r="C242" t="str">
            <v>Pet-G  pelicula  45 mic. CH 667 mm</v>
          </cell>
          <cell r="D242">
            <v>2210</v>
          </cell>
          <cell r="E242">
            <v>89</v>
          </cell>
          <cell r="F242">
            <v>13</v>
          </cell>
        </row>
        <row r="243">
          <cell r="B243">
            <v>200700014</v>
          </cell>
          <cell r="C243" t="str">
            <v>Pet-G  pelicula  45 mic. CH 667 mm</v>
          </cell>
          <cell r="D243">
            <v>2271</v>
          </cell>
          <cell r="E243">
            <v>92.8</v>
          </cell>
          <cell r="F243">
            <v>14</v>
          </cell>
        </row>
        <row r="244">
          <cell r="B244">
            <v>200700015</v>
          </cell>
          <cell r="C244" t="str">
            <v>Pet-G  pelicula  45 mic. CH 667 mm</v>
          </cell>
          <cell r="D244">
            <v>2253</v>
          </cell>
          <cell r="E244">
            <v>91.5</v>
          </cell>
          <cell r="F244">
            <v>15</v>
          </cell>
        </row>
        <row r="245">
          <cell r="B245">
            <v>200700016</v>
          </cell>
          <cell r="C245" t="str">
            <v>Pet-G  pelicula  45 mic. CH 667 mm</v>
          </cell>
          <cell r="D245">
            <v>2245</v>
          </cell>
          <cell r="E245">
            <v>92.4</v>
          </cell>
          <cell r="F245">
            <v>16</v>
          </cell>
        </row>
        <row r="246">
          <cell r="B246">
            <v>200700017</v>
          </cell>
          <cell r="C246" t="str">
            <v>Pet-G  pelicula  45 mic. CH 667 mm</v>
          </cell>
          <cell r="D246">
            <v>2272</v>
          </cell>
          <cell r="E246">
            <v>93.3</v>
          </cell>
          <cell r="F246">
            <v>17</v>
          </cell>
        </row>
        <row r="247">
          <cell r="B247">
            <v>200700018</v>
          </cell>
          <cell r="C247" t="str">
            <v>Pet-G  pelicula  45 mic. CH 667 mm</v>
          </cell>
          <cell r="D247">
            <v>2271</v>
          </cell>
          <cell r="E247">
            <v>93.8</v>
          </cell>
          <cell r="F247">
            <v>18</v>
          </cell>
        </row>
        <row r="248">
          <cell r="B248">
            <v>200700019</v>
          </cell>
          <cell r="C248" t="str">
            <v>Pet-G  pelicula  45 mic. CH 667 mm</v>
          </cell>
          <cell r="D248">
            <v>2250</v>
          </cell>
          <cell r="E248">
            <v>92</v>
          </cell>
          <cell r="F248">
            <v>19</v>
          </cell>
        </row>
        <row r="249">
          <cell r="B249">
            <v>200700020</v>
          </cell>
          <cell r="C249" t="str">
            <v>Pet-G  pelicula  45 mic. CH 667 mm</v>
          </cell>
          <cell r="D249">
            <v>2350</v>
          </cell>
          <cell r="E249">
            <v>97.5</v>
          </cell>
          <cell r="F249">
            <v>20</v>
          </cell>
        </row>
        <row r="250">
          <cell r="B250">
            <v>200700021</v>
          </cell>
          <cell r="C250" t="str">
            <v>Pet-G  pelicula  45 mic. CH 667 mm</v>
          </cell>
          <cell r="D250">
            <v>2176</v>
          </cell>
          <cell r="E250">
            <v>88.1</v>
          </cell>
          <cell r="F250">
            <v>21</v>
          </cell>
        </row>
        <row r="251">
          <cell r="B251">
            <v>200700022</v>
          </cell>
          <cell r="C251" t="str">
            <v>Pet-G  pelicula  45 mic. CH 667 mm</v>
          </cell>
          <cell r="D251">
            <v>2231</v>
          </cell>
          <cell r="E251">
            <v>90.6</v>
          </cell>
          <cell r="F251">
            <v>22</v>
          </cell>
        </row>
        <row r="252">
          <cell r="B252">
            <v>200700023</v>
          </cell>
          <cell r="C252" t="str">
            <v>Pet-G  pelicula  45 mic. CH 667 mm</v>
          </cell>
          <cell r="D252">
            <v>2210</v>
          </cell>
          <cell r="E252">
            <v>89.5</v>
          </cell>
          <cell r="F252">
            <v>23</v>
          </cell>
        </row>
        <row r="253">
          <cell r="B253">
            <v>200700024</v>
          </cell>
          <cell r="C253" t="str">
            <v>Pet-G  pelicula  45 mic. CH 667 mm</v>
          </cell>
          <cell r="D253">
            <v>2258</v>
          </cell>
          <cell r="E253">
            <v>91.7</v>
          </cell>
          <cell r="F253">
            <v>24</v>
          </cell>
        </row>
        <row r="254">
          <cell r="B254">
            <v>200700025</v>
          </cell>
          <cell r="C254" t="str">
            <v>Pet-G  pelicula  45 mic. CH 667 mm</v>
          </cell>
          <cell r="D254">
            <v>2350</v>
          </cell>
          <cell r="E254">
            <v>92.5</v>
          </cell>
          <cell r="F254">
            <v>25</v>
          </cell>
        </row>
        <row r="255">
          <cell r="B255">
            <v>200700026</v>
          </cell>
          <cell r="C255" t="str">
            <v>Pet-G  pelicula  45 mic. CH 667 mm</v>
          </cell>
          <cell r="D255">
            <v>2251</v>
          </cell>
          <cell r="E255">
            <v>92.4</v>
          </cell>
          <cell r="F255">
            <v>26</v>
          </cell>
        </row>
        <row r="256">
          <cell r="B256">
            <v>200700027</v>
          </cell>
          <cell r="C256" t="str">
            <v>Pet-G  pelicula  45 mic. CH 667 mm</v>
          </cell>
          <cell r="D256">
            <v>2150</v>
          </cell>
          <cell r="E256">
            <v>88.5</v>
          </cell>
          <cell r="F256">
            <v>27</v>
          </cell>
        </row>
        <row r="257">
          <cell r="B257">
            <v>200700028</v>
          </cell>
          <cell r="C257" t="str">
            <v>Pet-G  pelicula  45 mic. CH 667 mm</v>
          </cell>
          <cell r="D257">
            <v>2234</v>
          </cell>
          <cell r="E257">
            <v>91.4</v>
          </cell>
          <cell r="F257">
            <v>28</v>
          </cell>
        </row>
        <row r="258">
          <cell r="B258">
            <v>200700029</v>
          </cell>
          <cell r="C258" t="str">
            <v>Pet-G  pelicula  45 mic. CH 667 mm</v>
          </cell>
          <cell r="D258">
            <v>2103</v>
          </cell>
          <cell r="E258">
            <v>83.4</v>
          </cell>
          <cell r="F258">
            <v>29</v>
          </cell>
        </row>
        <row r="259">
          <cell r="B259">
            <v>200700030</v>
          </cell>
          <cell r="C259" t="str">
            <v>Pet-G  pelicula  45 mic. CH 667 mm</v>
          </cell>
          <cell r="D259">
            <v>2150</v>
          </cell>
          <cell r="E259">
            <v>87.4</v>
          </cell>
          <cell r="F259">
            <v>30</v>
          </cell>
        </row>
        <row r="260">
          <cell r="B260">
            <v>200700031</v>
          </cell>
          <cell r="C260" t="str">
            <v>Pet-G  pelicula  45 mic. CH 667 mm</v>
          </cell>
          <cell r="D260">
            <v>2103</v>
          </cell>
          <cell r="E260">
            <v>84.3</v>
          </cell>
          <cell r="F260">
            <v>31</v>
          </cell>
        </row>
        <row r="261">
          <cell r="B261">
            <v>200700032</v>
          </cell>
          <cell r="C261" t="str">
            <v>Pet-G  pelicula  45 mic. CH 667 mm</v>
          </cell>
          <cell r="D261">
            <v>2231</v>
          </cell>
          <cell r="E261">
            <v>91.2</v>
          </cell>
          <cell r="F261">
            <v>32</v>
          </cell>
        </row>
        <row r="262">
          <cell r="B262">
            <v>200700033</v>
          </cell>
          <cell r="C262" t="str">
            <v>Pet-G  pelicula  45 mic. CH 667 mm</v>
          </cell>
          <cell r="D262">
            <v>2234</v>
          </cell>
          <cell r="E262">
            <v>92.3</v>
          </cell>
          <cell r="F262">
            <v>33</v>
          </cell>
        </row>
        <row r="263">
          <cell r="B263">
            <v>300670001</v>
          </cell>
          <cell r="C263" t="str">
            <v>Pet-G  pelicula  40 mic. CH 667 mm</v>
          </cell>
          <cell r="D263">
            <v>2200</v>
          </cell>
          <cell r="E263">
            <v>77</v>
          </cell>
          <cell r="F263">
            <v>1</v>
          </cell>
        </row>
        <row r="264">
          <cell r="B264">
            <v>300670002</v>
          </cell>
          <cell r="C264" t="str">
            <v>Pet-G  pelicula  40 mic. CH 667 mm</v>
          </cell>
          <cell r="D264">
            <v>2200</v>
          </cell>
          <cell r="E264">
            <v>77</v>
          </cell>
          <cell r="F264">
            <v>2</v>
          </cell>
        </row>
        <row r="265">
          <cell r="B265">
            <v>300670002</v>
          </cell>
          <cell r="C265" t="str">
            <v>Pet-G  pelicula  40 mic. CH 667 mm</v>
          </cell>
          <cell r="D265">
            <v>2200</v>
          </cell>
          <cell r="E265">
            <v>77</v>
          </cell>
          <cell r="F265">
            <v>3</v>
          </cell>
        </row>
        <row r="266">
          <cell r="B266">
            <v>300670003</v>
          </cell>
          <cell r="C266" t="str">
            <v>Pet-G  pelicula  40 mic. CH 667 mm</v>
          </cell>
          <cell r="D266">
            <v>2200</v>
          </cell>
          <cell r="E266">
            <v>77</v>
          </cell>
          <cell r="F266">
            <v>4</v>
          </cell>
        </row>
        <row r="267">
          <cell r="B267">
            <v>300670003</v>
          </cell>
          <cell r="C267" t="str">
            <v>Pet-G  pelicula  40 mic. CH 667 mm</v>
          </cell>
          <cell r="D267">
            <v>2200</v>
          </cell>
          <cell r="E267">
            <v>77</v>
          </cell>
          <cell r="F267">
            <v>5</v>
          </cell>
        </row>
        <row r="268">
          <cell r="B268">
            <v>300670004</v>
          </cell>
          <cell r="C268" t="str">
            <v>Pet-G  pelicula  40 mic. CH 667 mm</v>
          </cell>
          <cell r="D268">
            <v>2200</v>
          </cell>
          <cell r="E268">
            <v>77</v>
          </cell>
          <cell r="F268">
            <v>6</v>
          </cell>
        </row>
        <row r="269">
          <cell r="B269">
            <v>300670004</v>
          </cell>
          <cell r="C269" t="str">
            <v>Pet-G  pelicula  40 mic. CH 667 mm</v>
          </cell>
          <cell r="D269">
            <v>2200</v>
          </cell>
          <cell r="E269">
            <v>77</v>
          </cell>
          <cell r="F269">
            <v>7</v>
          </cell>
        </row>
        <row r="270">
          <cell r="B270">
            <v>300670005</v>
          </cell>
          <cell r="C270" t="str">
            <v>Pet-G  pelicula  40 mic. CH 667 mm</v>
          </cell>
          <cell r="D270">
            <v>2200</v>
          </cell>
          <cell r="E270">
            <v>77</v>
          </cell>
          <cell r="F270">
            <v>8</v>
          </cell>
        </row>
        <row r="271">
          <cell r="B271">
            <v>300670005</v>
          </cell>
          <cell r="C271" t="str">
            <v>Pet-G  pelicula  40 mic. CH 667 mm</v>
          </cell>
          <cell r="D271">
            <v>2200</v>
          </cell>
          <cell r="E271">
            <v>77</v>
          </cell>
          <cell r="F271">
            <v>9</v>
          </cell>
        </row>
        <row r="272">
          <cell r="B272">
            <v>300670006</v>
          </cell>
          <cell r="C272" t="str">
            <v>Pet-G  pelicula  40 mic. CH 667 mm</v>
          </cell>
          <cell r="D272">
            <v>2200</v>
          </cell>
          <cell r="E272">
            <v>77</v>
          </cell>
          <cell r="F272">
            <v>10</v>
          </cell>
        </row>
        <row r="273">
          <cell r="B273">
            <v>300670006</v>
          </cell>
          <cell r="C273" t="str">
            <v>Pet-G  pelicula  40 mic. CH 667 mm</v>
          </cell>
          <cell r="D273">
            <v>2200</v>
          </cell>
          <cell r="E273">
            <v>77</v>
          </cell>
          <cell r="F273">
            <v>11</v>
          </cell>
        </row>
        <row r="274">
          <cell r="B274">
            <v>300670007</v>
          </cell>
          <cell r="C274" t="str">
            <v>Pet-G  pelicula  40 mic. CH 667 mm</v>
          </cell>
          <cell r="D274">
            <v>2200</v>
          </cell>
          <cell r="E274">
            <v>77</v>
          </cell>
          <cell r="F274">
            <v>12</v>
          </cell>
        </row>
        <row r="275">
          <cell r="B275">
            <v>300670007</v>
          </cell>
          <cell r="C275" t="str">
            <v>Pet-G  pelicula  40 mic. CH 667 mm</v>
          </cell>
          <cell r="D275">
            <v>2200</v>
          </cell>
          <cell r="E275">
            <v>77</v>
          </cell>
          <cell r="F275">
            <v>13</v>
          </cell>
        </row>
        <row r="276">
          <cell r="B276">
            <v>300670008</v>
          </cell>
          <cell r="C276" t="str">
            <v>Pet-G  pelicula  40 mic. CH 667 mm</v>
          </cell>
          <cell r="D276">
            <v>2200</v>
          </cell>
          <cell r="E276">
            <v>77</v>
          </cell>
          <cell r="F276">
            <v>14</v>
          </cell>
        </row>
        <row r="277">
          <cell r="B277">
            <v>300670008</v>
          </cell>
          <cell r="C277" t="str">
            <v>Pet-G  pelicula  40 mic. CH 667 mm</v>
          </cell>
          <cell r="D277">
            <v>2200</v>
          </cell>
          <cell r="E277">
            <v>77</v>
          </cell>
          <cell r="F277">
            <v>15</v>
          </cell>
        </row>
        <row r="278">
          <cell r="B278">
            <v>300670009</v>
          </cell>
          <cell r="C278" t="str">
            <v>Pet-G  pelicula  40 mic. CH 667 mm</v>
          </cell>
          <cell r="D278">
            <v>2200</v>
          </cell>
          <cell r="E278">
            <v>77</v>
          </cell>
          <cell r="F278">
            <v>16</v>
          </cell>
        </row>
        <row r="279">
          <cell r="B279">
            <v>300670009</v>
          </cell>
          <cell r="C279" t="str">
            <v>Pet-G  pelicula  40 mic. CH 667 mm</v>
          </cell>
          <cell r="D279">
            <v>2200</v>
          </cell>
          <cell r="E279">
            <v>77</v>
          </cell>
          <cell r="F279">
            <v>17</v>
          </cell>
        </row>
        <row r="280">
          <cell r="B280">
            <v>300670010</v>
          </cell>
          <cell r="C280" t="str">
            <v>Pet-G  pelicula  40 mic. CH 667 mm</v>
          </cell>
          <cell r="D280">
            <v>2200</v>
          </cell>
          <cell r="E280">
            <v>77</v>
          </cell>
          <cell r="F280">
            <v>18</v>
          </cell>
        </row>
        <row r="281">
          <cell r="B281">
            <v>300670010</v>
          </cell>
          <cell r="C281" t="str">
            <v>Pet-G  pelicula  40 mic. CH 667 mm</v>
          </cell>
          <cell r="D281">
            <v>2200</v>
          </cell>
          <cell r="E281">
            <v>77</v>
          </cell>
          <cell r="F281">
            <v>19</v>
          </cell>
        </row>
        <row r="282">
          <cell r="B282">
            <v>300670011</v>
          </cell>
          <cell r="C282" t="str">
            <v>Pet-G  pelicula  40 mic. CH 667 mm</v>
          </cell>
          <cell r="D282">
            <v>2200</v>
          </cell>
          <cell r="E282">
            <v>77</v>
          </cell>
          <cell r="F282">
            <v>20</v>
          </cell>
        </row>
        <row r="283">
          <cell r="B283">
            <v>300670011</v>
          </cell>
          <cell r="C283" t="str">
            <v>Pet-G  pelicula  40 mic. CH 667 mm</v>
          </cell>
          <cell r="D283">
            <v>2200</v>
          </cell>
          <cell r="E283">
            <v>77</v>
          </cell>
          <cell r="F283">
            <v>21</v>
          </cell>
        </row>
        <row r="284">
          <cell r="B284">
            <v>300670012</v>
          </cell>
          <cell r="C284" t="str">
            <v>Pet-G  pelicula  40 mic. CH 667 mm</v>
          </cell>
          <cell r="D284">
            <v>2200</v>
          </cell>
          <cell r="E284">
            <v>77</v>
          </cell>
          <cell r="F284">
            <v>22</v>
          </cell>
        </row>
        <row r="285">
          <cell r="B285">
            <v>300670012</v>
          </cell>
          <cell r="C285" t="str">
            <v>Pet-G  pelicula  40 mic. CH 667 mm</v>
          </cell>
          <cell r="D285">
            <v>2200</v>
          </cell>
          <cell r="E285">
            <v>77</v>
          </cell>
          <cell r="F285">
            <v>23</v>
          </cell>
        </row>
        <row r="286">
          <cell r="B286">
            <v>300670013</v>
          </cell>
          <cell r="C286" t="str">
            <v>Pet-G  pelicula  40 mic. CH 667 mm</v>
          </cell>
          <cell r="D286">
            <v>2200</v>
          </cell>
          <cell r="E286">
            <v>77</v>
          </cell>
          <cell r="F286">
            <v>24</v>
          </cell>
        </row>
        <row r="287">
          <cell r="B287">
            <v>300670013</v>
          </cell>
          <cell r="C287" t="str">
            <v>Pet-G  pelicula  40 mic. CH 667 mm</v>
          </cell>
          <cell r="D287">
            <v>2200</v>
          </cell>
          <cell r="E287">
            <v>77</v>
          </cell>
          <cell r="F287">
            <v>25</v>
          </cell>
        </row>
        <row r="288">
          <cell r="B288">
            <v>300670014</v>
          </cell>
          <cell r="C288" t="str">
            <v>Pet-G  pelicula  40 mic. CH 667 mm</v>
          </cell>
          <cell r="D288">
            <v>2200</v>
          </cell>
          <cell r="E288">
            <v>77</v>
          </cell>
          <cell r="F288">
            <v>26</v>
          </cell>
        </row>
        <row r="289">
          <cell r="B289">
            <v>300670014</v>
          </cell>
          <cell r="C289" t="str">
            <v>Pet-G  pelicula  40 mic. CH 667 mm</v>
          </cell>
          <cell r="D289">
            <v>2200</v>
          </cell>
          <cell r="E289">
            <v>77</v>
          </cell>
          <cell r="F289">
            <v>27</v>
          </cell>
        </row>
        <row r="290">
          <cell r="B290">
            <v>300670015</v>
          </cell>
          <cell r="C290" t="str">
            <v>Pet-G  pelicula  40 mic. CH 667 mm</v>
          </cell>
          <cell r="D290">
            <v>2200</v>
          </cell>
          <cell r="E290">
            <v>77</v>
          </cell>
          <cell r="F290">
            <v>28</v>
          </cell>
        </row>
        <row r="291">
          <cell r="B291">
            <v>300670015</v>
          </cell>
          <cell r="C291" t="str">
            <v>Pet-G  pelicula  40 mic. CH 667 mm</v>
          </cell>
          <cell r="D291">
            <v>2200</v>
          </cell>
          <cell r="E291">
            <v>77</v>
          </cell>
          <cell r="F291">
            <v>29</v>
          </cell>
        </row>
        <row r="292">
          <cell r="B292">
            <v>300670016</v>
          </cell>
          <cell r="C292" t="str">
            <v>Pet-G  pelicula  40 mic. CH 667 mm</v>
          </cell>
          <cell r="D292">
            <v>2200</v>
          </cell>
          <cell r="E292">
            <v>77</v>
          </cell>
          <cell r="F292">
            <v>30</v>
          </cell>
        </row>
        <row r="293">
          <cell r="B293">
            <v>300670016</v>
          </cell>
          <cell r="C293" t="str">
            <v>Pet-G  pelicula  40 mic. CH 667 mm</v>
          </cell>
          <cell r="D293">
            <v>2200</v>
          </cell>
          <cell r="E293">
            <v>77</v>
          </cell>
          <cell r="F293">
            <v>31</v>
          </cell>
        </row>
        <row r="294">
          <cell r="B294">
            <v>300670017</v>
          </cell>
          <cell r="C294" t="str">
            <v>Pet-G  pelicula  40 mic. CH 667 mm</v>
          </cell>
          <cell r="D294">
            <v>2200</v>
          </cell>
          <cell r="E294">
            <v>77</v>
          </cell>
          <cell r="F294">
            <v>32</v>
          </cell>
        </row>
        <row r="295">
          <cell r="B295">
            <v>300670017</v>
          </cell>
          <cell r="C295" t="str">
            <v>Pet-G  pelicula  40 mic. CH 667 mm</v>
          </cell>
          <cell r="D295">
            <v>2200</v>
          </cell>
          <cell r="E295">
            <v>77</v>
          </cell>
          <cell r="F295">
            <v>33</v>
          </cell>
        </row>
        <row r="296">
          <cell r="B296">
            <v>300670018</v>
          </cell>
          <cell r="C296" t="str">
            <v>Pet-G  pelicula  40 mic. CH 667 mm</v>
          </cell>
          <cell r="D296">
            <v>2200</v>
          </cell>
          <cell r="E296">
            <v>77</v>
          </cell>
          <cell r="F296">
            <v>34</v>
          </cell>
        </row>
        <row r="297">
          <cell r="B297">
            <v>300670018</v>
          </cell>
          <cell r="C297" t="str">
            <v>Pet-G  pelicula  40 mic. CH 667 mm</v>
          </cell>
          <cell r="D297">
            <v>2200</v>
          </cell>
          <cell r="E297">
            <v>77</v>
          </cell>
          <cell r="F297">
            <v>35</v>
          </cell>
        </row>
        <row r="298">
          <cell r="B298">
            <v>300670019</v>
          </cell>
          <cell r="C298" t="str">
            <v>Pet-G  pelicula  40 mic. CH 667 mm</v>
          </cell>
          <cell r="D298">
            <v>2200</v>
          </cell>
          <cell r="E298">
            <v>77</v>
          </cell>
          <cell r="F298">
            <v>36</v>
          </cell>
        </row>
        <row r="299">
          <cell r="B299">
            <v>300670019</v>
          </cell>
          <cell r="C299" t="str">
            <v>Pet-G  pelicula  40 mic. CH 667 mm</v>
          </cell>
          <cell r="D299">
            <v>2200</v>
          </cell>
          <cell r="E299">
            <v>77</v>
          </cell>
          <cell r="F299">
            <v>37</v>
          </cell>
        </row>
        <row r="300">
          <cell r="B300">
            <v>300670020</v>
          </cell>
          <cell r="C300" t="str">
            <v>Pet-G  pelicula  40 mic. CH 667 mm</v>
          </cell>
          <cell r="D300">
            <v>2200</v>
          </cell>
          <cell r="E300">
            <v>77</v>
          </cell>
          <cell r="F300">
            <v>38</v>
          </cell>
        </row>
        <row r="301">
          <cell r="B301">
            <v>300670020</v>
          </cell>
          <cell r="C301" t="str">
            <v>Pet-G  pelicula  40 mic. CH 667 mm</v>
          </cell>
          <cell r="D301">
            <v>2200</v>
          </cell>
          <cell r="E301">
            <v>77</v>
          </cell>
          <cell r="F301">
            <v>39</v>
          </cell>
        </row>
        <row r="302">
          <cell r="B302">
            <v>300670021</v>
          </cell>
          <cell r="C302" t="str">
            <v>Pet-G  pelicula  40 mic. CH 667 mm</v>
          </cell>
          <cell r="D302">
            <v>2200</v>
          </cell>
          <cell r="E302">
            <v>77</v>
          </cell>
          <cell r="F302">
            <v>40</v>
          </cell>
        </row>
        <row r="303">
          <cell r="B303">
            <v>300670021</v>
          </cell>
          <cell r="C303" t="str">
            <v>Pet-G  pelicula  40 mic. CH 667 mm</v>
          </cell>
          <cell r="D303">
            <v>2200</v>
          </cell>
          <cell r="E303">
            <v>77</v>
          </cell>
          <cell r="F303">
            <v>41</v>
          </cell>
        </row>
        <row r="304">
          <cell r="B304">
            <v>300670022</v>
          </cell>
          <cell r="C304" t="str">
            <v>Pet-G  pelicula  40 mic. CH 667 mm</v>
          </cell>
          <cell r="D304">
            <v>2200</v>
          </cell>
          <cell r="E304">
            <v>77</v>
          </cell>
          <cell r="F304">
            <v>42</v>
          </cell>
        </row>
        <row r="305">
          <cell r="B305">
            <v>300670022</v>
          </cell>
          <cell r="C305" t="str">
            <v>Pet-G  pelicula  40 mic. CH 667 mm</v>
          </cell>
          <cell r="D305">
            <v>2200</v>
          </cell>
          <cell r="E305">
            <v>77</v>
          </cell>
          <cell r="F305">
            <v>43</v>
          </cell>
        </row>
        <row r="306">
          <cell r="B306">
            <v>300670023</v>
          </cell>
          <cell r="C306" t="str">
            <v>Pet-G  pelicula  40 mic. CH 667 mm</v>
          </cell>
          <cell r="D306">
            <v>2200</v>
          </cell>
          <cell r="E306">
            <v>77</v>
          </cell>
          <cell r="F306">
            <v>44</v>
          </cell>
        </row>
        <row r="307">
          <cell r="B307">
            <v>300670023</v>
          </cell>
          <cell r="C307" t="str">
            <v>Pet-G  pelicula  40 mic. CH 667 mm</v>
          </cell>
          <cell r="D307">
            <v>2200</v>
          </cell>
          <cell r="E307">
            <v>77</v>
          </cell>
          <cell r="F307">
            <v>45</v>
          </cell>
        </row>
        <row r="308">
          <cell r="B308">
            <v>300670024</v>
          </cell>
          <cell r="C308" t="str">
            <v>Pet-G  pelicula  40 mic. CH 667 mm</v>
          </cell>
          <cell r="D308">
            <v>2200</v>
          </cell>
          <cell r="E308">
            <v>77</v>
          </cell>
          <cell r="F308">
            <v>46</v>
          </cell>
        </row>
        <row r="309">
          <cell r="B309">
            <v>300670024</v>
          </cell>
          <cell r="C309" t="str">
            <v>Pet-G  pelicula  40 mic. CH 667 mm</v>
          </cell>
          <cell r="D309">
            <v>2200</v>
          </cell>
          <cell r="E309">
            <v>77</v>
          </cell>
          <cell r="F309">
            <v>47</v>
          </cell>
        </row>
        <row r="310">
          <cell r="B310">
            <v>300670025</v>
          </cell>
          <cell r="C310" t="str">
            <v>Pet-G  pelicula  40 mic. CH 667 mm</v>
          </cell>
          <cell r="D310">
            <v>2200</v>
          </cell>
          <cell r="E310">
            <v>77</v>
          </cell>
          <cell r="F310">
            <v>48</v>
          </cell>
        </row>
        <row r="311">
          <cell r="B311">
            <v>300670025</v>
          </cell>
          <cell r="C311" t="str">
            <v>Pet-G  pelicula  40 mic. CH 667 mm</v>
          </cell>
          <cell r="D311">
            <v>2200</v>
          </cell>
          <cell r="E311">
            <v>77</v>
          </cell>
          <cell r="F311">
            <v>49</v>
          </cell>
        </row>
        <row r="312">
          <cell r="B312">
            <v>300670026</v>
          </cell>
          <cell r="C312" t="str">
            <v>Pet-G  pelicula  40 mic. CH 667 mm</v>
          </cell>
          <cell r="D312">
            <v>2200</v>
          </cell>
          <cell r="E312">
            <v>77</v>
          </cell>
          <cell r="F312">
            <v>50</v>
          </cell>
        </row>
        <row r="313">
          <cell r="B313">
            <v>300670026</v>
          </cell>
          <cell r="C313" t="str">
            <v>Pet-G  pelicula  40 mic. CH 667 mm</v>
          </cell>
          <cell r="D313">
            <v>2200</v>
          </cell>
          <cell r="E313">
            <v>77</v>
          </cell>
          <cell r="F313">
            <v>51</v>
          </cell>
        </row>
        <row r="314">
          <cell r="B314">
            <v>300670027</v>
          </cell>
          <cell r="C314" t="str">
            <v>Pet-G  pelicula  40 mic. CH 667 mm</v>
          </cell>
          <cell r="D314">
            <v>2200</v>
          </cell>
          <cell r="E314">
            <v>77</v>
          </cell>
          <cell r="F314">
            <v>52</v>
          </cell>
        </row>
        <row r="315">
          <cell r="B315">
            <v>300670027</v>
          </cell>
          <cell r="C315" t="str">
            <v>Pet-G  pelicula  40 mic. CH 667 mm</v>
          </cell>
          <cell r="D315">
            <v>2200</v>
          </cell>
          <cell r="E315">
            <v>77</v>
          </cell>
          <cell r="F315">
            <v>53</v>
          </cell>
        </row>
        <row r="316">
          <cell r="B316">
            <v>300670028</v>
          </cell>
          <cell r="C316" t="str">
            <v>Pet-G  pelicula  40 mic. CH 667 mm</v>
          </cell>
          <cell r="D316">
            <v>2200</v>
          </cell>
          <cell r="E316">
            <v>77</v>
          </cell>
          <cell r="F316">
            <v>54</v>
          </cell>
        </row>
        <row r="317">
          <cell r="B317">
            <v>300670028</v>
          </cell>
          <cell r="C317" t="str">
            <v>Pet-G  pelicula  40 mic. CH 667 mm</v>
          </cell>
          <cell r="D317">
            <v>2200</v>
          </cell>
          <cell r="E317">
            <v>77</v>
          </cell>
          <cell r="F317">
            <v>55</v>
          </cell>
        </row>
        <row r="318">
          <cell r="B318">
            <v>300670029</v>
          </cell>
          <cell r="C318" t="str">
            <v>Pet-G  pelicula  40 mic. CH 667 mm</v>
          </cell>
          <cell r="D318">
            <v>2200</v>
          </cell>
          <cell r="E318">
            <v>77</v>
          </cell>
          <cell r="F318">
            <v>56</v>
          </cell>
        </row>
        <row r="319">
          <cell r="B319">
            <v>300670029</v>
          </cell>
          <cell r="C319" t="str">
            <v>Pet-G  pelicula  40 mic. CH 667 mm</v>
          </cell>
          <cell r="D319">
            <v>2200</v>
          </cell>
          <cell r="E319">
            <v>77</v>
          </cell>
          <cell r="F319">
            <v>57</v>
          </cell>
        </row>
        <row r="320">
          <cell r="B320">
            <v>300670030</v>
          </cell>
          <cell r="C320" t="str">
            <v>Pet-G  pelicula  40 mic. CH 667 mm</v>
          </cell>
          <cell r="D320">
            <v>2200</v>
          </cell>
          <cell r="E320">
            <v>77</v>
          </cell>
          <cell r="F320">
            <v>58</v>
          </cell>
        </row>
        <row r="321">
          <cell r="B321">
            <v>300670030</v>
          </cell>
          <cell r="C321" t="str">
            <v>Pet-G  pelicula  40 mic. CH 667 mm</v>
          </cell>
          <cell r="D321">
            <v>2200</v>
          </cell>
          <cell r="E321">
            <v>77</v>
          </cell>
          <cell r="F321">
            <v>59</v>
          </cell>
        </row>
        <row r="322">
          <cell r="B322">
            <v>300670031</v>
          </cell>
          <cell r="C322" t="str">
            <v>Pet-G  pelicula  40 mic. CH 667 mm</v>
          </cell>
          <cell r="D322">
            <v>2200</v>
          </cell>
          <cell r="E322">
            <v>77</v>
          </cell>
          <cell r="F322">
            <v>60</v>
          </cell>
        </row>
        <row r="323">
          <cell r="B323">
            <v>300670031</v>
          </cell>
          <cell r="C323" t="str">
            <v>Pet-G  pelicula  40 mic. CH 667 mm</v>
          </cell>
          <cell r="D323">
            <v>2200</v>
          </cell>
          <cell r="E323">
            <v>77</v>
          </cell>
          <cell r="F323">
            <v>61</v>
          </cell>
        </row>
        <row r="324">
          <cell r="B324">
            <v>300670032</v>
          </cell>
          <cell r="C324" t="str">
            <v>Pet-G  pelicula  40 mic. CH 667 mm</v>
          </cell>
          <cell r="D324">
            <v>2200</v>
          </cell>
          <cell r="E324">
            <v>77</v>
          </cell>
          <cell r="F324">
            <v>62</v>
          </cell>
        </row>
        <row r="325">
          <cell r="B325">
            <v>300670032</v>
          </cell>
          <cell r="C325" t="str">
            <v>Pet-G  pelicula  40 mic. CH 667 mm</v>
          </cell>
          <cell r="D325">
            <v>2200</v>
          </cell>
          <cell r="E325">
            <v>77</v>
          </cell>
          <cell r="F325">
            <v>63</v>
          </cell>
        </row>
        <row r="326">
          <cell r="B326">
            <v>300670033</v>
          </cell>
          <cell r="C326" t="str">
            <v>Pet-G  pelicula  40 mic. CH 667 mm</v>
          </cell>
          <cell r="D326">
            <v>2200</v>
          </cell>
          <cell r="E326">
            <v>77</v>
          </cell>
          <cell r="F326">
            <v>64</v>
          </cell>
        </row>
        <row r="327">
          <cell r="B327">
            <v>300670033</v>
          </cell>
          <cell r="C327" t="str">
            <v>Pet-G  pelicula  40 mic. CH 667 mm</v>
          </cell>
          <cell r="D327">
            <v>2200</v>
          </cell>
          <cell r="E327">
            <v>77</v>
          </cell>
          <cell r="F327">
            <v>65</v>
          </cell>
        </row>
        <row r="328">
          <cell r="B328">
            <v>300670034</v>
          </cell>
          <cell r="C328" t="str">
            <v>Pet-G  pelicula  40 mic. CH 667 mm</v>
          </cell>
          <cell r="D328">
            <v>2200</v>
          </cell>
          <cell r="E328">
            <v>77</v>
          </cell>
          <cell r="F328">
            <v>66</v>
          </cell>
        </row>
        <row r="329">
          <cell r="B329">
            <v>300670034</v>
          </cell>
          <cell r="C329" t="str">
            <v>Pet-G  pelicula  40 mic. CH 667 mm</v>
          </cell>
          <cell r="D329">
            <v>2200</v>
          </cell>
          <cell r="E329">
            <v>77</v>
          </cell>
          <cell r="F329">
            <v>67</v>
          </cell>
        </row>
        <row r="330">
          <cell r="B330">
            <v>300670035</v>
          </cell>
          <cell r="C330" t="str">
            <v>Pet-G  pelicula  40 mic. CH 667 mm</v>
          </cell>
          <cell r="D330">
            <v>2200</v>
          </cell>
          <cell r="E330">
            <v>77</v>
          </cell>
          <cell r="F330">
            <v>68</v>
          </cell>
        </row>
        <row r="331">
          <cell r="B331">
            <v>300670035</v>
          </cell>
          <cell r="C331" t="str">
            <v>Pet-G  pelicula  40 mic. CH 667 mm</v>
          </cell>
          <cell r="D331">
            <v>2200</v>
          </cell>
          <cell r="E331">
            <v>77</v>
          </cell>
          <cell r="F331">
            <v>69</v>
          </cell>
        </row>
        <row r="332">
          <cell r="B332">
            <v>300670036</v>
          </cell>
          <cell r="C332" t="str">
            <v>Pet-G  pelicula  40 mic. CH 667 mm</v>
          </cell>
          <cell r="D332">
            <v>2200</v>
          </cell>
          <cell r="E332">
            <v>77</v>
          </cell>
          <cell r="F332">
            <v>70</v>
          </cell>
        </row>
        <row r="333">
          <cell r="B333">
            <v>300670036</v>
          </cell>
          <cell r="C333" t="str">
            <v>Pet-G  pelicula  40 mic. CH 667 mm</v>
          </cell>
          <cell r="D333">
            <v>2200</v>
          </cell>
          <cell r="E333">
            <v>77</v>
          </cell>
          <cell r="F333">
            <v>71</v>
          </cell>
        </row>
        <row r="334">
          <cell r="B334">
            <v>300670037</v>
          </cell>
          <cell r="C334" t="str">
            <v>Pet-G  pelicula  40 mic. CH 667 mm</v>
          </cell>
          <cell r="D334">
            <v>2200</v>
          </cell>
          <cell r="E334">
            <v>77</v>
          </cell>
          <cell r="F334">
            <v>72</v>
          </cell>
        </row>
        <row r="335">
          <cell r="B335">
            <v>300670037</v>
          </cell>
          <cell r="C335" t="str">
            <v>Pet-G  pelicula  40 mic. CH 667 mm</v>
          </cell>
          <cell r="D335">
            <v>2200</v>
          </cell>
          <cell r="E335">
            <v>77</v>
          </cell>
          <cell r="F335">
            <v>73</v>
          </cell>
        </row>
        <row r="336">
          <cell r="B336">
            <v>300670038</v>
          </cell>
          <cell r="C336" t="str">
            <v>Pet-G  pelicula  40 mic. CH 667 mm</v>
          </cell>
          <cell r="D336">
            <v>2200</v>
          </cell>
          <cell r="E336">
            <v>77</v>
          </cell>
          <cell r="F336">
            <v>74</v>
          </cell>
        </row>
        <row r="337">
          <cell r="B337">
            <v>300670038</v>
          </cell>
          <cell r="C337" t="str">
            <v>Pet-G  pelicula  40 mic. CH 667 mm</v>
          </cell>
          <cell r="D337">
            <v>2200</v>
          </cell>
          <cell r="E337">
            <v>77</v>
          </cell>
          <cell r="F337">
            <v>75</v>
          </cell>
        </row>
        <row r="338">
          <cell r="B338">
            <v>300670039</v>
          </cell>
          <cell r="C338" t="str">
            <v>Pet-G  pelicula  40 mic. CH 667 mm</v>
          </cell>
          <cell r="D338">
            <v>2200</v>
          </cell>
          <cell r="E338">
            <v>77</v>
          </cell>
          <cell r="F338">
            <v>76</v>
          </cell>
        </row>
        <row r="339">
          <cell r="B339">
            <v>300670039</v>
          </cell>
          <cell r="C339" t="str">
            <v>Pet-G  pelicula  40 mic. CH 667 mm</v>
          </cell>
          <cell r="D339">
            <v>2200</v>
          </cell>
          <cell r="E339">
            <v>77</v>
          </cell>
          <cell r="F339">
            <v>77</v>
          </cell>
        </row>
        <row r="340">
          <cell r="B340">
            <v>300670040</v>
          </cell>
          <cell r="C340" t="str">
            <v>Pet-G  pelicula  40 mic. CH 667 mm</v>
          </cell>
          <cell r="D340">
            <v>2200</v>
          </cell>
          <cell r="E340">
            <v>77</v>
          </cell>
          <cell r="F340">
            <v>78</v>
          </cell>
        </row>
        <row r="341">
          <cell r="B341">
            <v>300670040</v>
          </cell>
          <cell r="C341" t="str">
            <v>Pet-G  pelicula  40 mic. CH 667 mm</v>
          </cell>
          <cell r="D341">
            <v>2200</v>
          </cell>
          <cell r="E341">
            <v>77</v>
          </cell>
          <cell r="F341">
            <v>79</v>
          </cell>
        </row>
        <row r="342">
          <cell r="B342">
            <v>300670041</v>
          </cell>
          <cell r="C342" t="str">
            <v>Pet-G  pelicula  40 mic. CH 667 mm</v>
          </cell>
          <cell r="D342">
            <v>2200</v>
          </cell>
          <cell r="E342">
            <v>77</v>
          </cell>
          <cell r="F342">
            <v>80</v>
          </cell>
        </row>
        <row r="343">
          <cell r="B343">
            <v>300670041</v>
          </cell>
          <cell r="C343" t="str">
            <v>Pet-G  pelicula  40 mic. CH 667 mm</v>
          </cell>
          <cell r="D343">
            <v>2200</v>
          </cell>
          <cell r="E343">
            <v>77</v>
          </cell>
          <cell r="F343">
            <v>81</v>
          </cell>
        </row>
        <row r="344">
          <cell r="B344">
            <v>300670042</v>
          </cell>
          <cell r="C344" t="str">
            <v>Pet-G  pelicula  40 mic. CH 667 mm</v>
          </cell>
          <cell r="D344">
            <v>2200</v>
          </cell>
          <cell r="E344">
            <v>77</v>
          </cell>
          <cell r="F344">
            <v>82</v>
          </cell>
        </row>
        <row r="345">
          <cell r="B345">
            <v>300670042</v>
          </cell>
          <cell r="C345" t="str">
            <v>Pet-G  pelicula  40 mic. CH 667 mm</v>
          </cell>
          <cell r="D345">
            <v>2200</v>
          </cell>
          <cell r="E345">
            <v>77</v>
          </cell>
          <cell r="F345">
            <v>83</v>
          </cell>
        </row>
        <row r="346">
          <cell r="B346">
            <v>300670043</v>
          </cell>
          <cell r="C346" t="str">
            <v>Pet-G  pelicula  40 mic. CH 667 mm</v>
          </cell>
          <cell r="D346">
            <v>2200</v>
          </cell>
          <cell r="E346">
            <v>77</v>
          </cell>
          <cell r="F346">
            <v>84</v>
          </cell>
        </row>
        <row r="347">
          <cell r="B347">
            <v>300670043</v>
          </cell>
          <cell r="C347" t="str">
            <v>Pet-G  pelicula  40 mic. CH 667 mm</v>
          </cell>
          <cell r="D347">
            <v>2200</v>
          </cell>
          <cell r="E347">
            <v>77</v>
          </cell>
          <cell r="F347">
            <v>85</v>
          </cell>
        </row>
        <row r="348">
          <cell r="B348">
            <v>300670044</v>
          </cell>
          <cell r="C348" t="str">
            <v>Pet-G  pelicula  40 mic. CH 667 mm</v>
          </cell>
          <cell r="D348">
            <v>2200</v>
          </cell>
          <cell r="E348">
            <v>77</v>
          </cell>
          <cell r="F348">
            <v>86</v>
          </cell>
        </row>
        <row r="349">
          <cell r="B349">
            <v>300670044</v>
          </cell>
          <cell r="C349" t="str">
            <v>Pet-G  pelicula  40 mic. CH 667 mm</v>
          </cell>
          <cell r="D349">
            <v>2200</v>
          </cell>
          <cell r="E349">
            <v>77</v>
          </cell>
          <cell r="F349">
            <v>87</v>
          </cell>
        </row>
        <row r="350">
          <cell r="B350">
            <v>300670045</v>
          </cell>
          <cell r="C350" t="str">
            <v>Pet-G  pelicula  40 mic. CH 667 mm</v>
          </cell>
          <cell r="D350">
            <v>2200</v>
          </cell>
          <cell r="E350">
            <v>77</v>
          </cell>
          <cell r="F350">
            <v>88</v>
          </cell>
        </row>
        <row r="351">
          <cell r="B351">
            <v>300670045</v>
          </cell>
          <cell r="C351" t="str">
            <v>Pet-G  pelicula  40 mic. CH 667 mm</v>
          </cell>
          <cell r="D351">
            <v>2200</v>
          </cell>
          <cell r="E351">
            <v>77</v>
          </cell>
          <cell r="F351">
            <v>89</v>
          </cell>
        </row>
        <row r="352">
          <cell r="B352">
            <v>300670046</v>
          </cell>
          <cell r="C352" t="str">
            <v>Pet-G  pelicula  40 mic. CH 667 mm</v>
          </cell>
          <cell r="D352">
            <v>2200</v>
          </cell>
          <cell r="E352">
            <v>77</v>
          </cell>
          <cell r="F352">
            <v>90</v>
          </cell>
        </row>
        <row r="353">
          <cell r="B353">
            <v>300670046</v>
          </cell>
          <cell r="C353" t="str">
            <v>Pet-G  pelicula  40 mic. CH 667 mm</v>
          </cell>
          <cell r="D353">
            <v>2200</v>
          </cell>
          <cell r="E353">
            <v>77</v>
          </cell>
          <cell r="F353">
            <v>91</v>
          </cell>
        </row>
        <row r="354">
          <cell r="B354">
            <v>300670047</v>
          </cell>
          <cell r="C354" t="str">
            <v>Pet-G  pelicula  40 mic. CH 667 mm</v>
          </cell>
          <cell r="D354">
            <v>2200</v>
          </cell>
          <cell r="E354">
            <v>77</v>
          </cell>
          <cell r="F354">
            <v>92</v>
          </cell>
        </row>
        <row r="355">
          <cell r="B355">
            <v>300670047</v>
          </cell>
          <cell r="C355" t="str">
            <v>Pet-G  pelicula  40 mic. CH 667 mm</v>
          </cell>
          <cell r="D355">
            <v>2200</v>
          </cell>
          <cell r="E355">
            <v>77</v>
          </cell>
          <cell r="F355">
            <v>93</v>
          </cell>
        </row>
        <row r="356">
          <cell r="B356">
            <v>300670048</v>
          </cell>
          <cell r="C356" t="str">
            <v>Pet-G  pelicula  40 mic. CH 667 mm</v>
          </cell>
          <cell r="D356">
            <v>2200</v>
          </cell>
          <cell r="E356">
            <v>77</v>
          </cell>
          <cell r="F356">
            <v>94</v>
          </cell>
        </row>
        <row r="357">
          <cell r="B357">
            <v>300670048</v>
          </cell>
          <cell r="C357" t="str">
            <v>Pet-G  pelicula  40 mic. CH 667 mm</v>
          </cell>
          <cell r="D357">
            <v>2200</v>
          </cell>
          <cell r="E357">
            <v>77</v>
          </cell>
          <cell r="F357">
            <v>95</v>
          </cell>
        </row>
        <row r="358">
          <cell r="B358">
            <v>300670049</v>
          </cell>
          <cell r="C358" t="str">
            <v>Pet-G  pelicula  40 mic. CH 667 mm</v>
          </cell>
          <cell r="D358">
            <v>2200</v>
          </cell>
          <cell r="E358">
            <v>77</v>
          </cell>
          <cell r="F358">
            <v>96</v>
          </cell>
        </row>
        <row r="359">
          <cell r="B359">
            <v>300670049</v>
          </cell>
          <cell r="C359" t="str">
            <v>Pet-G  pelicula  40 mic. CH 667 mm</v>
          </cell>
          <cell r="D359">
            <v>2200</v>
          </cell>
          <cell r="E359">
            <v>77</v>
          </cell>
          <cell r="F359">
            <v>97</v>
          </cell>
        </row>
        <row r="360">
          <cell r="B360">
            <v>300670050</v>
          </cell>
          <cell r="C360" t="str">
            <v>Pet-G  pelicula  40 mic. CH 667 mm</v>
          </cell>
          <cell r="D360">
            <v>2200</v>
          </cell>
          <cell r="E360">
            <v>77</v>
          </cell>
          <cell r="F360">
            <v>98</v>
          </cell>
        </row>
        <row r="361">
          <cell r="B361">
            <v>300670050</v>
          </cell>
          <cell r="C361" t="str">
            <v>Pet-G  pelicula  40 mic. CH 667 mm</v>
          </cell>
          <cell r="D361">
            <v>2200</v>
          </cell>
          <cell r="E361">
            <v>77</v>
          </cell>
          <cell r="F361">
            <v>99</v>
          </cell>
        </row>
        <row r="362">
          <cell r="B362">
            <v>300670051</v>
          </cell>
          <cell r="C362" t="str">
            <v>Pet-G  pelicula  40 mic. CH 667 mm</v>
          </cell>
          <cell r="D362">
            <v>2200</v>
          </cell>
          <cell r="E362">
            <v>77</v>
          </cell>
          <cell r="F362">
            <v>100</v>
          </cell>
        </row>
        <row r="363">
          <cell r="B363">
            <v>300670051</v>
          </cell>
          <cell r="C363" t="str">
            <v>Pet-G  pelicula  40 mic. CH 667 mm</v>
          </cell>
          <cell r="D363">
            <v>2200</v>
          </cell>
          <cell r="E363">
            <v>77</v>
          </cell>
          <cell r="F363">
            <v>101</v>
          </cell>
        </row>
        <row r="364">
          <cell r="B364">
            <v>300670052</v>
          </cell>
          <cell r="C364" t="str">
            <v>Pet-G  pelicula  40 mic. CH 667 mm</v>
          </cell>
          <cell r="D364">
            <v>2200</v>
          </cell>
          <cell r="E364">
            <v>77</v>
          </cell>
          <cell r="F364">
            <v>102</v>
          </cell>
        </row>
        <row r="365">
          <cell r="B365">
            <v>300670052</v>
          </cell>
          <cell r="C365" t="str">
            <v>Pet-G  pelicula  40 mic. CH 667 mm</v>
          </cell>
          <cell r="D365">
            <v>2200</v>
          </cell>
          <cell r="E365">
            <v>77</v>
          </cell>
          <cell r="F365">
            <v>103</v>
          </cell>
        </row>
        <row r="366">
          <cell r="B366">
            <v>300670053</v>
          </cell>
          <cell r="C366" t="str">
            <v>Pet-G  pelicula  40 mic. CH 667 mm</v>
          </cell>
          <cell r="D366">
            <v>2200</v>
          </cell>
          <cell r="E366">
            <v>77</v>
          </cell>
          <cell r="F366">
            <v>104</v>
          </cell>
        </row>
        <row r="367">
          <cell r="B367">
            <v>300670053</v>
          </cell>
          <cell r="C367" t="str">
            <v>Pet-G  pelicula  40 mic. CH 667 mm</v>
          </cell>
          <cell r="D367">
            <v>2200</v>
          </cell>
          <cell r="E367">
            <v>77</v>
          </cell>
          <cell r="F367">
            <v>105</v>
          </cell>
        </row>
        <row r="368">
          <cell r="B368">
            <v>300670054</v>
          </cell>
          <cell r="C368" t="str">
            <v>Pet-G  pelicula  40 mic. CH 667 mm</v>
          </cell>
          <cell r="D368">
            <v>2200</v>
          </cell>
          <cell r="E368">
            <v>77</v>
          </cell>
          <cell r="F368">
            <v>106</v>
          </cell>
        </row>
        <row r="369">
          <cell r="B369">
            <v>300670054</v>
          </cell>
          <cell r="C369" t="str">
            <v>Pet-G  pelicula  40 mic. CH 667 mm</v>
          </cell>
          <cell r="D369">
            <v>2200</v>
          </cell>
          <cell r="E369">
            <v>77</v>
          </cell>
          <cell r="F369">
            <v>107</v>
          </cell>
        </row>
        <row r="370">
          <cell r="B370">
            <v>300670055</v>
          </cell>
          <cell r="C370" t="str">
            <v>Pet-G  pelicula  40 mic. CH 667 mm</v>
          </cell>
          <cell r="D370">
            <v>2200</v>
          </cell>
          <cell r="E370">
            <v>77</v>
          </cell>
          <cell r="F370">
            <v>108</v>
          </cell>
        </row>
        <row r="371">
          <cell r="B371">
            <v>300670055</v>
          </cell>
          <cell r="C371" t="str">
            <v>Pet-G  pelicula  40 mic. CH 667 mm</v>
          </cell>
          <cell r="D371">
            <v>2200</v>
          </cell>
          <cell r="E371">
            <v>77</v>
          </cell>
          <cell r="F371">
            <v>109</v>
          </cell>
        </row>
        <row r="372">
          <cell r="B372">
            <v>300670056</v>
          </cell>
          <cell r="C372" t="str">
            <v>Pet-G  pelicula  40 mic. CH 667 mm</v>
          </cell>
          <cell r="D372">
            <v>2200</v>
          </cell>
          <cell r="E372">
            <v>77</v>
          </cell>
          <cell r="F372">
            <v>110</v>
          </cell>
        </row>
        <row r="373">
          <cell r="B373">
            <v>300670056</v>
          </cell>
          <cell r="C373" t="str">
            <v>Pet-G  pelicula  40 mic. CH 667 mm</v>
          </cell>
          <cell r="D373">
            <v>2200</v>
          </cell>
          <cell r="E373">
            <v>77</v>
          </cell>
          <cell r="F373">
            <v>111</v>
          </cell>
        </row>
        <row r="374">
          <cell r="B374">
            <v>300670057</v>
          </cell>
          <cell r="C374" t="str">
            <v>Pet-G  pelicula  40 mic. CH 667 mm</v>
          </cell>
          <cell r="D374">
            <v>2200</v>
          </cell>
          <cell r="E374">
            <v>77</v>
          </cell>
          <cell r="F374">
            <v>112</v>
          </cell>
        </row>
        <row r="375">
          <cell r="B375">
            <v>300670057</v>
          </cell>
          <cell r="C375" t="str">
            <v>Pet-G  pelicula  40 mic. CH 667 mm</v>
          </cell>
          <cell r="D375">
            <v>2200</v>
          </cell>
          <cell r="E375">
            <v>77</v>
          </cell>
          <cell r="F375">
            <v>113</v>
          </cell>
        </row>
        <row r="376">
          <cell r="B376">
            <v>300670058</v>
          </cell>
          <cell r="C376" t="str">
            <v>Pet-G  pelicula  40 mic. CH 667 mm</v>
          </cell>
          <cell r="D376">
            <v>2200</v>
          </cell>
          <cell r="E376">
            <v>77</v>
          </cell>
          <cell r="F376">
            <v>114</v>
          </cell>
        </row>
        <row r="377">
          <cell r="B377">
            <v>300670058</v>
          </cell>
          <cell r="C377" t="str">
            <v>Pet-G  pelicula  40 mic. CH 667 mm</v>
          </cell>
          <cell r="D377">
            <v>2200</v>
          </cell>
          <cell r="E377">
            <v>77</v>
          </cell>
          <cell r="F377">
            <v>115</v>
          </cell>
        </row>
        <row r="378">
          <cell r="B378">
            <v>300670059</v>
          </cell>
          <cell r="C378" t="str">
            <v>Pet-G  pelicula  40 mic. CH 667 mm</v>
          </cell>
          <cell r="D378">
            <v>2200</v>
          </cell>
          <cell r="E378">
            <v>77</v>
          </cell>
          <cell r="F378">
            <v>116</v>
          </cell>
        </row>
        <row r="379">
          <cell r="B379">
            <v>300670059</v>
          </cell>
          <cell r="C379" t="str">
            <v>Pet-G  pelicula  40 mic. CH 667 mm</v>
          </cell>
          <cell r="D379">
            <v>2200</v>
          </cell>
          <cell r="E379">
            <v>77</v>
          </cell>
          <cell r="F379">
            <v>117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id="1" name="Tabla1" displayName="Tabla1" ref="A1:G2" totalsRowShown="0">
  <autoFilter ref="A1:G2"/>
  <tableColumns count="7">
    <tableColumn id="1" name="CODIGO DE BARRAS" dataDxfId="5" dataCellStyle="Millares"/>
    <tableColumn id="2" name="DESCRIPCION DEL PRODUCTO" dataDxfId="4"/>
    <tableColumn id="3" name="Metros" dataDxfId="3"/>
    <tableColumn id="4" name="Kilos" dataDxfId="2"/>
    <tableColumn id="5" name="TOTAL" dataDxfId="1"/>
    <tableColumn id="6" name="FECHA DE INVENTARIO" dataDxfId="0">
      <calculatedColumnFormula>+NOW()</calculatedColumnFormula>
    </tableColumn>
    <tableColumn id="7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03"/>
  <sheetViews>
    <sheetView zoomScale="157" zoomScaleNormal="157" workbookViewId="0">
      <pane ySplit="1" topLeftCell="A116" activePane="bottomLeft" state="frozen"/>
      <selection pane="bottomLeft" activeCell="B7" sqref="B7"/>
    </sheetView>
  </sheetViews>
  <sheetFormatPr baseColWidth="10" defaultRowHeight="15.75" x14ac:dyDescent="0.25"/>
  <cols>
    <col min="1" max="1" width="17.875" style="4" bestFit="1" customWidth="1"/>
    <col min="2" max="2" width="25" style="26" customWidth="1"/>
    <col min="3" max="3" width="9.875" style="9" bestFit="1" customWidth="1"/>
    <col min="4" max="4" width="42" customWidth="1"/>
    <col min="5" max="5" width="25" customWidth="1"/>
    <col min="7" max="7" width="28.875" customWidth="1"/>
  </cols>
  <sheetData>
    <row r="1" spans="1:7" x14ac:dyDescent="0.25">
      <c r="A1" s="2" t="s">
        <v>0</v>
      </c>
      <c r="B1" s="27" t="s">
        <v>1</v>
      </c>
      <c r="C1" s="8" t="s">
        <v>2</v>
      </c>
      <c r="D1" s="2" t="s">
        <v>3</v>
      </c>
      <c r="E1" s="2" t="s">
        <v>6</v>
      </c>
      <c r="F1" s="2" t="s">
        <v>7</v>
      </c>
      <c r="G1" s="2" t="s">
        <v>8</v>
      </c>
    </row>
    <row r="2" spans="1:7" x14ac:dyDescent="0.25">
      <c r="A2" s="3">
        <f ca="1">NOW()</f>
        <v>43615.641223148152</v>
      </c>
      <c r="B2" s="28">
        <v>200611001</v>
      </c>
      <c r="C2" s="19"/>
      <c r="D2" s="5" t="str">
        <f>VLOOKUP(B2,'[1]Base de datos'!$B:$F,2,FALSE)</f>
        <v>Pelicula PVC 35 mic. CH 611 mm</v>
      </c>
      <c r="E2">
        <f>VLOOKUP(B2,'[1]Base de datos'!$B:$E,3,FALSE)</f>
        <v>2820</v>
      </c>
      <c r="F2">
        <f>VLOOKUP(B2,'[1]Base de datos'!$B:$E,4,FALSE)</f>
        <v>78</v>
      </c>
    </row>
    <row r="3" spans="1:7" x14ac:dyDescent="0.25">
      <c r="A3" s="18"/>
      <c r="B3" s="28">
        <v>200611002</v>
      </c>
      <c r="C3" s="19"/>
      <c r="D3" s="5" t="str">
        <f>VLOOKUP(B3,'[1]Base de datos'!$B:$F,2,FALSE)</f>
        <v>Pelicula PVC 35 mic. CH 611 mm</v>
      </c>
      <c r="E3">
        <f>VLOOKUP(B3,'[1]Base de datos'!$B:$E,3,FALSE)</f>
        <v>2870</v>
      </c>
      <c r="F3">
        <f>VLOOKUP(B3,'[1]Base de datos'!$B:$E,4,FALSE)</f>
        <v>78.7</v>
      </c>
    </row>
    <row r="4" spans="1:7" x14ac:dyDescent="0.25">
      <c r="A4" s="18"/>
      <c r="B4" s="28">
        <v>200611003</v>
      </c>
      <c r="C4" s="19"/>
      <c r="D4" s="5" t="str">
        <f>VLOOKUP(B4,'[1]Base de datos'!$B:$F,2,FALSE)</f>
        <v>Pelicula PVC 35 mic. CH 611 mm</v>
      </c>
      <c r="E4">
        <f>VLOOKUP(B4,'[1]Base de datos'!$B:$E,3,FALSE)</f>
        <v>2782</v>
      </c>
      <c r="F4">
        <f>VLOOKUP(B4,'[1]Base de datos'!$B:$E,4,FALSE)</f>
        <v>78.8</v>
      </c>
    </row>
    <row r="5" spans="1:7" x14ac:dyDescent="0.25">
      <c r="A5" s="18"/>
      <c r="B5" s="28">
        <v>200611004</v>
      </c>
      <c r="C5" s="19"/>
      <c r="D5" s="5" t="str">
        <f>VLOOKUP(B5,'[1]Base de datos'!$B:$F,2,FALSE)</f>
        <v>Pelicula PVC 35 mic. CH 611 mm</v>
      </c>
      <c r="E5">
        <f>VLOOKUP(B5,'[1]Base de datos'!$B:$E,3,FALSE)</f>
        <v>2941</v>
      </c>
      <c r="F5">
        <f>VLOOKUP(B5,'[1]Base de datos'!$B:$E,4,FALSE)</f>
        <v>81.400000000000006</v>
      </c>
    </row>
    <row r="6" spans="1:7" x14ac:dyDescent="0.25">
      <c r="A6" s="18"/>
      <c r="B6" s="28">
        <v>200611007</v>
      </c>
      <c r="C6" s="19"/>
      <c r="D6" s="5" t="str">
        <f>VLOOKUP(B6,'[1]Base de datos'!$B:$F,2,FALSE)</f>
        <v>Pelicula PVC 35 mic. CH 611 mm</v>
      </c>
      <c r="E6">
        <f>VLOOKUP(B6,'[1]Base de datos'!$B:$E,3,FALSE)</f>
        <v>2814</v>
      </c>
      <c r="F6">
        <f>VLOOKUP(B6,'[1]Base de datos'!$B:$E,4,FALSE)</f>
        <v>78.5</v>
      </c>
    </row>
    <row r="7" spans="1:7" x14ac:dyDescent="0.25">
      <c r="A7" s="18"/>
      <c r="B7" s="28">
        <v>200611009</v>
      </c>
      <c r="C7" s="19"/>
      <c r="D7" s="5" t="str">
        <f>VLOOKUP(B7,'[1]Base de datos'!$B:$F,2,FALSE)</f>
        <v>Pelicula PVC 35 mic. CH 611 mm</v>
      </c>
      <c r="E7">
        <f>VLOOKUP(B7,'[1]Base de datos'!$B:$E,3,FALSE)</f>
        <v>2832</v>
      </c>
      <c r="F7">
        <f>VLOOKUP(B7,'[1]Base de datos'!$B:$E,4,FALSE)</f>
        <v>79.7</v>
      </c>
    </row>
    <row r="8" spans="1:7" x14ac:dyDescent="0.25">
      <c r="A8" s="18"/>
      <c r="B8" s="28">
        <v>200611010</v>
      </c>
      <c r="C8" s="19"/>
      <c r="D8" s="5" t="str">
        <f>VLOOKUP(B8,'[1]Base de datos'!$B:$F,2,FALSE)</f>
        <v>Pelicula PVC 35 mic. CH 611 mm</v>
      </c>
      <c r="E8">
        <f>VLOOKUP(B8,'[1]Base de datos'!$B:$E,3,FALSE)</f>
        <v>2916</v>
      </c>
      <c r="F8">
        <f>VLOOKUP(B8,'[1]Base de datos'!$B:$E,4,FALSE)</f>
        <v>82.7</v>
      </c>
    </row>
    <row r="9" spans="1:7" x14ac:dyDescent="0.25">
      <c r="A9" s="18"/>
      <c r="B9" s="28">
        <v>200611012</v>
      </c>
      <c r="C9" s="19"/>
      <c r="D9" s="5" t="str">
        <f>VLOOKUP(B9,'[1]Base de datos'!$B:$F,2,FALSE)</f>
        <v>Pelicula PVC 35 mic. CH 611 mm</v>
      </c>
      <c r="E9">
        <f>VLOOKUP(B9,'[1]Base de datos'!$B:$E,3,FALSE)</f>
        <v>2827</v>
      </c>
      <c r="F9">
        <f>VLOOKUP(B9,'[1]Base de datos'!$B:$E,4,FALSE)</f>
        <v>76.5</v>
      </c>
    </row>
    <row r="10" spans="1:7" x14ac:dyDescent="0.25">
      <c r="A10" s="18"/>
      <c r="B10" s="28">
        <v>200611031</v>
      </c>
      <c r="C10" s="19"/>
      <c r="D10" s="5" t="str">
        <f>VLOOKUP(B10,'[1]Base de datos'!$B:$F,2,FALSE)</f>
        <v>Pelicula PVC 35 mic. CH 611 mm</v>
      </c>
      <c r="E10">
        <f>VLOOKUP(B10,'[1]Base de datos'!$B:$E,3,FALSE)</f>
        <v>2840</v>
      </c>
      <c r="F10">
        <f>VLOOKUP(B10,'[1]Base de datos'!$B:$E,4,FALSE)</f>
        <v>77.599999999999994</v>
      </c>
    </row>
    <row r="11" spans="1:7" x14ac:dyDescent="0.25">
      <c r="A11" s="18"/>
      <c r="B11" s="28">
        <v>200611032</v>
      </c>
      <c r="C11" s="19"/>
      <c r="D11" s="5" t="str">
        <f>VLOOKUP(B11,'[1]Base de datos'!$B:$F,2,FALSE)</f>
        <v>Pelicula PVC 35 mic. CH 611 mm</v>
      </c>
      <c r="E11">
        <f>VLOOKUP(B11,'[1]Base de datos'!$B:$E,3,FALSE)</f>
        <v>2926</v>
      </c>
      <c r="F11">
        <f>VLOOKUP(B11,'[1]Base de datos'!$B:$E,4,FALSE)</f>
        <v>82.9</v>
      </c>
    </row>
    <row r="12" spans="1:7" x14ac:dyDescent="0.25">
      <c r="A12" s="18"/>
      <c r="B12" s="28">
        <v>200611033</v>
      </c>
      <c r="C12" s="19"/>
      <c r="D12" s="5" t="str">
        <f>VLOOKUP(B12,'[1]Base de datos'!$B:$F,2,FALSE)</f>
        <v>Pelicula PVC 35 mic. CH 611 mm</v>
      </c>
      <c r="E12">
        <f>VLOOKUP(B12,'[1]Base de datos'!$B:$E,3,FALSE)</f>
        <v>2916</v>
      </c>
      <c r="F12">
        <f>VLOOKUP(B12,'[1]Base de datos'!$B:$E,4,FALSE)</f>
        <v>82</v>
      </c>
    </row>
    <row r="13" spans="1:7" x14ac:dyDescent="0.25">
      <c r="A13" s="18"/>
      <c r="B13" s="28">
        <v>200611034</v>
      </c>
      <c r="C13" s="19"/>
      <c r="D13" s="5" t="str">
        <f>VLOOKUP(B13,'[1]Base de datos'!$B:$F,2,FALSE)</f>
        <v>Pelicula PVC 35 mic. CH 611 mm</v>
      </c>
      <c r="E13">
        <f>VLOOKUP(B13,'[1]Base de datos'!$B:$E,3,FALSE)</f>
        <v>2926</v>
      </c>
      <c r="F13">
        <f>VLOOKUP(B13,'[1]Base de datos'!$B:$E,4,FALSE)</f>
        <v>82.5</v>
      </c>
    </row>
    <row r="14" spans="1:7" x14ac:dyDescent="0.25">
      <c r="A14" s="18"/>
      <c r="B14" s="28">
        <v>200611035</v>
      </c>
      <c r="C14" s="19"/>
      <c r="D14" s="5" t="str">
        <f>VLOOKUP(B14,'[1]Base de datos'!$B:$F,2,FALSE)</f>
        <v>Pelicula PVC 35 mic. CH 611 mm</v>
      </c>
      <c r="E14">
        <f>VLOOKUP(B14,'[1]Base de datos'!$B:$E,3,FALSE)</f>
        <v>2807</v>
      </c>
      <c r="F14">
        <f>VLOOKUP(B14,'[1]Base de datos'!$B:$E,4,FALSE)</f>
        <v>80.2</v>
      </c>
    </row>
    <row r="15" spans="1:7" x14ac:dyDescent="0.25">
      <c r="A15" s="18"/>
      <c r="B15" s="28">
        <v>200611036</v>
      </c>
      <c r="C15" s="19"/>
      <c r="D15" s="5" t="str">
        <f>VLOOKUP(B15,'[1]Base de datos'!$B:$F,2,FALSE)</f>
        <v>Pelicula PVC 35 mic. CH 611 mm</v>
      </c>
      <c r="E15">
        <f>VLOOKUP(B15,'[1]Base de datos'!$B:$E,3,FALSE)</f>
        <v>2934</v>
      </c>
      <c r="F15">
        <f>VLOOKUP(B15,'[1]Base de datos'!$B:$E,4,FALSE)</f>
        <v>86.1</v>
      </c>
    </row>
    <row r="16" spans="1:7" x14ac:dyDescent="0.25">
      <c r="A16" s="18"/>
      <c r="B16" s="28">
        <v>200611037</v>
      </c>
      <c r="C16" s="19"/>
      <c r="D16" s="5" t="str">
        <f>VLOOKUP(B16,'[1]Base de datos'!$B:$F,2,FALSE)</f>
        <v>Pelicula PVC 35 mic. CH 611 mm</v>
      </c>
      <c r="E16">
        <f>VLOOKUP(B16,'[1]Base de datos'!$B:$E,3,FALSE)</f>
        <v>2825</v>
      </c>
      <c r="F16">
        <f>VLOOKUP(B16,'[1]Base de datos'!$B:$E,4,FALSE)</f>
        <v>80.7</v>
      </c>
    </row>
    <row r="17" spans="1:6" x14ac:dyDescent="0.25">
      <c r="A17" s="18"/>
      <c r="B17" s="28">
        <v>200611082</v>
      </c>
      <c r="C17" s="19"/>
      <c r="D17" s="5" t="str">
        <f>VLOOKUP(B17,'[1]Base de datos'!$B:$F,2,FALSE)</f>
        <v>Pelicula PVC 35 mic. CH 611 mm</v>
      </c>
      <c r="E17">
        <f>VLOOKUP(B17,'[1]Base de datos'!$B:$E,3,FALSE)</f>
        <v>2815</v>
      </c>
      <c r="F17">
        <f>VLOOKUP(B17,'[1]Base de datos'!$B:$E,4,FALSE)</f>
        <v>79.5</v>
      </c>
    </row>
    <row r="18" spans="1:6" x14ac:dyDescent="0.25">
      <c r="A18" s="18"/>
      <c r="B18" s="28">
        <v>200611099</v>
      </c>
      <c r="C18" s="19"/>
      <c r="D18" s="5" t="str">
        <f>VLOOKUP(B18,'[1]Base de datos'!$B:$F,2,FALSE)</f>
        <v>Pelicula PVC 35 mic. CH 611 mm</v>
      </c>
      <c r="E18">
        <f>VLOOKUP(B18,'[1]Base de datos'!$B:$E,3,FALSE)</f>
        <v>2860</v>
      </c>
      <c r="F18">
        <f>VLOOKUP(B18,'[1]Base de datos'!$B:$E,4,FALSE)</f>
        <v>82.2</v>
      </c>
    </row>
    <row r="19" spans="1:6" x14ac:dyDescent="0.25">
      <c r="A19" s="18"/>
      <c r="B19" s="28">
        <v>300670001</v>
      </c>
      <c r="C19" s="19"/>
      <c r="D19" s="5" t="str">
        <f>VLOOKUP(B19,'[1]Base de datos'!$B:$F,2,FALSE)</f>
        <v>Pet-G  pelicula  40 mic. CH 667 mm</v>
      </c>
      <c r="E19">
        <f>VLOOKUP(B19,'[1]Base de datos'!$B:$E,3,FALSE)</f>
        <v>2200</v>
      </c>
      <c r="F19">
        <f>VLOOKUP(B19,'[1]Base de datos'!$B:$E,4,FALSE)</f>
        <v>77</v>
      </c>
    </row>
    <row r="20" spans="1:6" x14ac:dyDescent="0.25">
      <c r="A20" s="18"/>
      <c r="B20" s="28">
        <v>300670002</v>
      </c>
      <c r="C20" s="19"/>
      <c r="D20" s="5" t="str">
        <f>VLOOKUP(B20,'[1]Base de datos'!$B:$F,2,FALSE)</f>
        <v>Pet-G  pelicula  40 mic. CH 667 mm</v>
      </c>
      <c r="E20">
        <f>VLOOKUP(B20,'[1]Base de datos'!$B:$E,3,FALSE)</f>
        <v>2200</v>
      </c>
      <c r="F20">
        <f>VLOOKUP(B20,'[1]Base de datos'!$B:$E,4,FALSE)</f>
        <v>77</v>
      </c>
    </row>
    <row r="21" spans="1:6" x14ac:dyDescent="0.25">
      <c r="A21" s="18"/>
      <c r="B21" s="28">
        <v>300670003</v>
      </c>
      <c r="C21" s="19"/>
      <c r="D21" s="5" t="str">
        <f>VLOOKUP(B21,'[1]Base de datos'!$B:$F,2,FALSE)</f>
        <v>Pet-G  pelicula  40 mic. CH 667 mm</v>
      </c>
      <c r="E21">
        <f>VLOOKUP(B21,'[1]Base de datos'!$B:$E,3,FALSE)</f>
        <v>2200</v>
      </c>
      <c r="F21">
        <f>VLOOKUP(B21,'[1]Base de datos'!$B:$E,4,FALSE)</f>
        <v>77</v>
      </c>
    </row>
    <row r="22" spans="1:6" x14ac:dyDescent="0.25">
      <c r="A22" s="18"/>
      <c r="B22" s="28">
        <v>300670004</v>
      </c>
      <c r="C22" s="19"/>
      <c r="D22" s="5" t="str">
        <f>VLOOKUP(B22,'[1]Base de datos'!$B:$F,2,FALSE)</f>
        <v>Pet-G  pelicula  40 mic. CH 667 mm</v>
      </c>
      <c r="E22">
        <f>VLOOKUP(B22,'[1]Base de datos'!$B:$E,3,FALSE)</f>
        <v>2200</v>
      </c>
      <c r="F22">
        <f>VLOOKUP(B22,'[1]Base de datos'!$B:$E,4,FALSE)</f>
        <v>77</v>
      </c>
    </row>
    <row r="23" spans="1:6" x14ac:dyDescent="0.25">
      <c r="A23" s="18"/>
      <c r="B23" s="28">
        <v>300670005</v>
      </c>
      <c r="C23" s="19"/>
      <c r="D23" s="5" t="str">
        <f>VLOOKUP(B23,'[1]Base de datos'!$B:$F,2,FALSE)</f>
        <v>Pet-G  pelicula  40 mic. CH 667 mm</v>
      </c>
      <c r="E23">
        <f>VLOOKUP(B23,'[1]Base de datos'!$B:$E,3,FALSE)</f>
        <v>2200</v>
      </c>
      <c r="F23">
        <f>VLOOKUP(B23,'[1]Base de datos'!$B:$E,4,FALSE)</f>
        <v>77</v>
      </c>
    </row>
    <row r="24" spans="1:6" x14ac:dyDescent="0.25">
      <c r="A24" s="18"/>
      <c r="B24" s="28">
        <v>300670006</v>
      </c>
      <c r="C24" s="19"/>
      <c r="D24" s="5" t="str">
        <f>VLOOKUP(B24,'[1]Base de datos'!$B:$F,2,FALSE)</f>
        <v>Pet-G  pelicula  40 mic. CH 667 mm</v>
      </c>
      <c r="E24">
        <f>VLOOKUP(B24,'[1]Base de datos'!$B:$E,3,FALSE)</f>
        <v>2200</v>
      </c>
      <c r="F24">
        <f>VLOOKUP(B24,'[1]Base de datos'!$B:$E,4,FALSE)</f>
        <v>77</v>
      </c>
    </row>
    <row r="25" spans="1:6" x14ac:dyDescent="0.25">
      <c r="A25" s="18"/>
      <c r="B25" s="28">
        <v>300670007</v>
      </c>
      <c r="C25" s="19"/>
      <c r="D25" s="5" t="str">
        <f>VLOOKUP(B25,'[1]Base de datos'!$B:$F,2,FALSE)</f>
        <v>Pet-G  pelicula  40 mic. CH 667 mm</v>
      </c>
      <c r="E25">
        <f>VLOOKUP(B25,'[1]Base de datos'!$B:$E,3,FALSE)</f>
        <v>2200</v>
      </c>
      <c r="F25">
        <f>VLOOKUP(B25,'[1]Base de datos'!$B:$E,4,FALSE)</f>
        <v>77</v>
      </c>
    </row>
    <row r="26" spans="1:6" x14ac:dyDescent="0.25">
      <c r="A26" s="18"/>
      <c r="B26" s="28">
        <v>300670008</v>
      </c>
      <c r="C26" s="19"/>
      <c r="D26" s="5" t="str">
        <f>VLOOKUP(B26,'[1]Base de datos'!$B:$F,2,FALSE)</f>
        <v>Pet-G  pelicula  40 mic. CH 667 mm</v>
      </c>
      <c r="E26">
        <f>VLOOKUP(B26,'[1]Base de datos'!$B:$E,3,FALSE)</f>
        <v>2200</v>
      </c>
      <c r="F26">
        <f>VLOOKUP(B26,'[1]Base de datos'!$B:$E,4,FALSE)</f>
        <v>77</v>
      </c>
    </row>
    <row r="27" spans="1:6" x14ac:dyDescent="0.25">
      <c r="A27" s="18"/>
      <c r="B27" s="28">
        <v>300670009</v>
      </c>
      <c r="C27" s="19"/>
      <c r="D27" s="5" t="str">
        <f>VLOOKUP(B27,'[1]Base de datos'!$B:$F,2,FALSE)</f>
        <v>Pet-G  pelicula  40 mic. CH 667 mm</v>
      </c>
      <c r="E27">
        <f>VLOOKUP(B27,'[1]Base de datos'!$B:$E,3,FALSE)</f>
        <v>2200</v>
      </c>
      <c r="F27">
        <f>VLOOKUP(B27,'[1]Base de datos'!$B:$E,4,FALSE)</f>
        <v>77</v>
      </c>
    </row>
    <row r="28" spans="1:6" x14ac:dyDescent="0.25">
      <c r="A28" s="18"/>
      <c r="B28" s="28">
        <v>300670010</v>
      </c>
      <c r="C28" s="19"/>
      <c r="D28" s="5" t="str">
        <f>VLOOKUP(B28,'[1]Base de datos'!$B:$F,2,FALSE)</f>
        <v>Pet-G  pelicula  40 mic. CH 667 mm</v>
      </c>
      <c r="E28">
        <f>VLOOKUP(B28,'[1]Base de datos'!$B:$E,3,FALSE)</f>
        <v>2200</v>
      </c>
      <c r="F28">
        <f>VLOOKUP(B28,'[1]Base de datos'!$B:$E,4,FALSE)</f>
        <v>77</v>
      </c>
    </row>
    <row r="29" spans="1:6" x14ac:dyDescent="0.25">
      <c r="A29" s="18"/>
      <c r="B29" s="28">
        <v>300670011</v>
      </c>
      <c r="C29" s="19"/>
      <c r="D29" s="5" t="str">
        <f>VLOOKUP(B29,'[1]Base de datos'!$B:$F,2,FALSE)</f>
        <v>Pet-G  pelicula  40 mic. CH 667 mm</v>
      </c>
      <c r="E29">
        <f>VLOOKUP(B29,'[1]Base de datos'!$B:$E,3,FALSE)</f>
        <v>2200</v>
      </c>
      <c r="F29">
        <f>VLOOKUP(B29,'[1]Base de datos'!$B:$E,4,FALSE)</f>
        <v>77</v>
      </c>
    </row>
    <row r="30" spans="1:6" x14ac:dyDescent="0.25">
      <c r="A30" s="18"/>
      <c r="B30" s="28">
        <v>300670012</v>
      </c>
      <c r="C30" s="19"/>
      <c r="D30" s="5" t="str">
        <f>VLOOKUP(B30,'[1]Base de datos'!$B:$F,2,FALSE)</f>
        <v>Pet-G  pelicula  40 mic. CH 667 mm</v>
      </c>
      <c r="E30">
        <f>VLOOKUP(B30,'[1]Base de datos'!$B:$E,3,FALSE)</f>
        <v>2200</v>
      </c>
      <c r="F30">
        <f>VLOOKUP(B30,'[1]Base de datos'!$B:$E,4,FALSE)</f>
        <v>77</v>
      </c>
    </row>
    <row r="31" spans="1:6" x14ac:dyDescent="0.25">
      <c r="A31" s="18"/>
      <c r="B31" s="28">
        <v>300670013</v>
      </c>
      <c r="C31" s="19"/>
      <c r="D31" s="5" t="str">
        <f>VLOOKUP(B31,'[1]Base de datos'!$B:$F,2,FALSE)</f>
        <v>Pet-G  pelicula  40 mic. CH 667 mm</v>
      </c>
      <c r="E31">
        <f>VLOOKUP(B31,'[1]Base de datos'!$B:$E,3,FALSE)</f>
        <v>2200</v>
      </c>
      <c r="F31">
        <f>VLOOKUP(B31,'[1]Base de datos'!$B:$E,4,FALSE)</f>
        <v>77</v>
      </c>
    </row>
    <row r="32" spans="1:6" x14ac:dyDescent="0.25">
      <c r="A32" s="18"/>
      <c r="B32" s="28">
        <v>300670014</v>
      </c>
      <c r="C32" s="19"/>
      <c r="D32" s="5" t="str">
        <f>VLOOKUP(B32,'[1]Base de datos'!$B:$F,2,FALSE)</f>
        <v>Pet-G  pelicula  40 mic. CH 667 mm</v>
      </c>
      <c r="E32">
        <f>VLOOKUP(B32,'[1]Base de datos'!$B:$E,3,FALSE)</f>
        <v>2200</v>
      </c>
      <c r="F32">
        <f>VLOOKUP(B32,'[1]Base de datos'!$B:$E,4,FALSE)</f>
        <v>77</v>
      </c>
    </row>
    <row r="33" spans="1:6" x14ac:dyDescent="0.25">
      <c r="A33" s="18"/>
      <c r="B33" s="28">
        <v>300670015</v>
      </c>
      <c r="C33" s="19"/>
      <c r="D33" s="5" t="str">
        <f>VLOOKUP(B33,'[1]Base de datos'!$B:$F,2,FALSE)</f>
        <v>Pet-G  pelicula  40 mic. CH 667 mm</v>
      </c>
      <c r="E33">
        <f>VLOOKUP(B33,'[1]Base de datos'!$B:$E,3,FALSE)</f>
        <v>2200</v>
      </c>
      <c r="F33">
        <f>VLOOKUP(B33,'[1]Base de datos'!$B:$E,4,FALSE)</f>
        <v>77</v>
      </c>
    </row>
    <row r="34" spans="1:6" x14ac:dyDescent="0.25">
      <c r="A34" s="18"/>
      <c r="B34" s="28">
        <v>300670016</v>
      </c>
      <c r="C34" s="19"/>
      <c r="D34" s="5" t="str">
        <f>VLOOKUP(B34,'[1]Base de datos'!$B:$F,2,FALSE)</f>
        <v>Pet-G  pelicula  40 mic. CH 667 mm</v>
      </c>
      <c r="E34">
        <f>VLOOKUP(B34,'[1]Base de datos'!$B:$E,3,FALSE)</f>
        <v>2200</v>
      </c>
      <c r="F34">
        <f>VLOOKUP(B34,'[1]Base de datos'!$B:$E,4,FALSE)</f>
        <v>77</v>
      </c>
    </row>
    <row r="35" spans="1:6" x14ac:dyDescent="0.25">
      <c r="A35" s="18"/>
      <c r="B35" s="28">
        <v>300670017</v>
      </c>
      <c r="C35" s="19"/>
      <c r="D35" s="5" t="str">
        <f>VLOOKUP(B35,'[1]Base de datos'!$B:$F,2,FALSE)</f>
        <v>Pet-G  pelicula  40 mic. CH 667 mm</v>
      </c>
      <c r="E35">
        <f>VLOOKUP(B35,'[1]Base de datos'!$B:$E,3,FALSE)</f>
        <v>2200</v>
      </c>
      <c r="F35">
        <f>VLOOKUP(B35,'[1]Base de datos'!$B:$E,4,FALSE)</f>
        <v>77</v>
      </c>
    </row>
    <row r="36" spans="1:6" x14ac:dyDescent="0.25">
      <c r="A36" s="18"/>
      <c r="B36" s="28">
        <v>300670018</v>
      </c>
      <c r="C36" s="19"/>
      <c r="D36" s="5" t="str">
        <f>VLOOKUP(B36,'[1]Base de datos'!$B:$F,2,FALSE)</f>
        <v>Pet-G  pelicula  40 mic. CH 667 mm</v>
      </c>
      <c r="E36">
        <f>VLOOKUP(B36,'[1]Base de datos'!$B:$E,3,FALSE)</f>
        <v>2200</v>
      </c>
      <c r="F36">
        <f>VLOOKUP(B36,'[1]Base de datos'!$B:$E,4,FALSE)</f>
        <v>77</v>
      </c>
    </row>
    <row r="37" spans="1:6" x14ac:dyDescent="0.25">
      <c r="A37" s="18"/>
      <c r="B37" s="28">
        <v>200611110</v>
      </c>
      <c r="C37" s="19"/>
      <c r="D37" s="5" t="str">
        <f>VLOOKUP(B37,'[1]Base de datos'!$B:$F,2,FALSE)</f>
        <v>Pelicula PVC 35 mic. CH 611 mm</v>
      </c>
      <c r="E37">
        <f>VLOOKUP(B37,'[1]Base de datos'!$B:$E,3,FALSE)</f>
        <v>2824</v>
      </c>
      <c r="F37">
        <f>VLOOKUP(B37,'[1]Base de datos'!$B:$E,4,FALSE)</f>
        <v>83.5</v>
      </c>
    </row>
    <row r="38" spans="1:6" x14ac:dyDescent="0.25">
      <c r="A38" s="18"/>
      <c r="B38" s="28">
        <v>200611108</v>
      </c>
      <c r="C38" s="19"/>
      <c r="D38" s="5" t="str">
        <f>VLOOKUP(B38,'[1]Base de datos'!$B:$F,2,FALSE)</f>
        <v>Pelicula PVC 35 mic. CH 611 mm</v>
      </c>
      <c r="E38">
        <f>VLOOKUP(B38,'[1]Base de datos'!$B:$E,3,FALSE)</f>
        <v>2824</v>
      </c>
      <c r="F38">
        <f>VLOOKUP(B38,'[1]Base de datos'!$B:$E,4,FALSE)</f>
        <v>83.2</v>
      </c>
    </row>
    <row r="39" spans="1:6" x14ac:dyDescent="0.25">
      <c r="A39" s="18"/>
      <c r="B39" s="28">
        <v>200611111</v>
      </c>
      <c r="C39" s="19"/>
      <c r="D39" s="5" t="str">
        <f>VLOOKUP(B39,'[1]Base de datos'!$B:$F,2,FALSE)</f>
        <v>Pelicula PVC 35 mic. CH 611 mm</v>
      </c>
      <c r="E39">
        <f>VLOOKUP(B39,'[1]Base de datos'!$B:$E,3,FALSE)</f>
        <v>2830</v>
      </c>
      <c r="F39">
        <f>VLOOKUP(B39,'[1]Base de datos'!$B:$E,4,FALSE)</f>
        <v>77.900000000000006</v>
      </c>
    </row>
    <row r="40" spans="1:6" x14ac:dyDescent="0.25">
      <c r="A40" s="18"/>
      <c r="B40" s="28">
        <v>200611112</v>
      </c>
      <c r="C40" s="19"/>
      <c r="D40" s="5" t="str">
        <f>VLOOKUP(B40,'[1]Base de datos'!$B:$F,2,FALSE)</f>
        <v>Pelicula PVC 35 mic. CH 611 mm</v>
      </c>
      <c r="E40">
        <f>VLOOKUP(B40,'[1]Base de datos'!$B:$E,3,FALSE)</f>
        <v>2997</v>
      </c>
      <c r="F40">
        <f>VLOOKUP(B40,'[1]Base de datos'!$B:$E,4,FALSE)</f>
        <v>86.6</v>
      </c>
    </row>
    <row r="41" spans="1:6" x14ac:dyDescent="0.25">
      <c r="A41" s="18"/>
      <c r="B41" s="28">
        <v>200611113</v>
      </c>
      <c r="C41" s="19"/>
      <c r="D41" s="5" t="str">
        <f>VLOOKUP(B41,'[1]Base de datos'!$B:$F,2,FALSE)</f>
        <v>Pelicula PVC 35 mic. CH 611 mm</v>
      </c>
      <c r="E41">
        <f>VLOOKUP(B41,'[1]Base de datos'!$B:$E,3,FALSE)</f>
        <v>3012</v>
      </c>
      <c r="F41">
        <f>VLOOKUP(B41,'[1]Base de datos'!$B:$E,4,FALSE)</f>
        <v>87.8</v>
      </c>
    </row>
    <row r="42" spans="1:6" x14ac:dyDescent="0.25">
      <c r="A42" s="18"/>
      <c r="B42" s="28">
        <v>200611116</v>
      </c>
      <c r="C42" s="19"/>
      <c r="D42" s="5" t="str">
        <f>VLOOKUP(B42,'[1]Base de datos'!$B:$F,2,FALSE)</f>
        <v>Pelicula PVC 35 mic. CH 611 mm</v>
      </c>
      <c r="E42">
        <f>VLOOKUP(B42,'[1]Base de datos'!$B:$E,3,FALSE)</f>
        <v>2830</v>
      </c>
      <c r="F42">
        <f>VLOOKUP(B42,'[1]Base de datos'!$B:$E,4,FALSE)</f>
        <v>77.400000000000006</v>
      </c>
    </row>
    <row r="43" spans="1:6" x14ac:dyDescent="0.25">
      <c r="A43" s="18"/>
      <c r="B43" s="28">
        <v>200611125</v>
      </c>
      <c r="C43" s="19"/>
      <c r="D43" s="5" t="str">
        <f>VLOOKUP(B43,'[1]Base de datos'!$B:$F,2,FALSE)</f>
        <v>Pelicula PVC 35 mic. CH 611 mm</v>
      </c>
      <c r="E43">
        <f>VLOOKUP(B43,'[1]Base de datos'!$B:$E,3,FALSE)</f>
        <v>2950</v>
      </c>
      <c r="F43">
        <f>VLOOKUP(B43,'[1]Base de datos'!$B:$E,4,FALSE)</f>
        <v>84.8</v>
      </c>
    </row>
    <row r="44" spans="1:6" x14ac:dyDescent="0.25">
      <c r="A44" s="18"/>
      <c r="B44" s="28">
        <v>200611126</v>
      </c>
      <c r="C44" s="19"/>
      <c r="D44" s="5" t="str">
        <f>VLOOKUP(B44,'[1]Base de datos'!$B:$F,2,FALSE)</f>
        <v>Pelicula PVC 35 mic. CH 611 mm</v>
      </c>
      <c r="E44">
        <f>VLOOKUP(B44,'[1]Base de datos'!$B:$E,3,FALSE)</f>
        <v>2827</v>
      </c>
      <c r="F44">
        <f>VLOOKUP(B44,'[1]Base de datos'!$B:$E,4,FALSE)</f>
        <v>80.900000000000006</v>
      </c>
    </row>
    <row r="45" spans="1:6" x14ac:dyDescent="0.25">
      <c r="A45" s="18"/>
      <c r="B45" s="28">
        <v>200611127</v>
      </c>
      <c r="C45" s="19"/>
      <c r="D45" s="5" t="str">
        <f>VLOOKUP(B45,'[1]Base de datos'!$B:$F,2,FALSE)</f>
        <v>Pelicula PVC 35 mic. CH 611 mm</v>
      </c>
      <c r="E45">
        <f>VLOOKUP(B45,'[1]Base de datos'!$B:$E,3,FALSE)</f>
        <v>2855</v>
      </c>
      <c r="F45">
        <f>VLOOKUP(B45,'[1]Base de datos'!$B:$E,4,FALSE)</f>
        <v>79.400000000000006</v>
      </c>
    </row>
    <row r="46" spans="1:6" x14ac:dyDescent="0.25">
      <c r="A46" s="18"/>
      <c r="B46" s="28">
        <v>300670019</v>
      </c>
      <c r="C46" s="19"/>
      <c r="D46" s="5" t="str">
        <f>VLOOKUP(B46,'[1]Base de datos'!$B:$F,2,FALSE)</f>
        <v>Pet-G  pelicula  40 mic. CH 667 mm</v>
      </c>
      <c r="E46">
        <f>VLOOKUP(B46,'[1]Base de datos'!$B:$E,3,FALSE)</f>
        <v>2200</v>
      </c>
      <c r="F46">
        <f>VLOOKUP(B46,'[1]Base de datos'!$B:$E,4,FALSE)</f>
        <v>77</v>
      </c>
    </row>
    <row r="47" spans="1:6" x14ac:dyDescent="0.25">
      <c r="A47" s="18"/>
      <c r="B47" s="28">
        <v>300670020</v>
      </c>
      <c r="C47" s="19"/>
      <c r="D47" s="5" t="str">
        <f>VLOOKUP(B47,'[1]Base de datos'!$B:$F,2,FALSE)</f>
        <v>Pet-G  pelicula  40 mic. CH 667 mm</v>
      </c>
      <c r="E47">
        <f>VLOOKUP(B47,'[1]Base de datos'!$B:$E,3,FALSE)</f>
        <v>2200</v>
      </c>
      <c r="F47">
        <f>VLOOKUP(B47,'[1]Base de datos'!$B:$E,4,FALSE)</f>
        <v>77</v>
      </c>
    </row>
    <row r="48" spans="1:6" x14ac:dyDescent="0.25">
      <c r="A48" s="18"/>
      <c r="B48" s="28">
        <v>300670021</v>
      </c>
      <c r="C48" s="19"/>
      <c r="D48" s="5" t="str">
        <f>VLOOKUP(B48,'[1]Base de datos'!$B:$F,2,FALSE)</f>
        <v>Pet-G  pelicula  40 mic. CH 667 mm</v>
      </c>
      <c r="E48">
        <f>VLOOKUP(B48,'[1]Base de datos'!$B:$E,3,FALSE)</f>
        <v>2200</v>
      </c>
      <c r="F48">
        <f>VLOOKUP(B48,'[1]Base de datos'!$B:$E,4,FALSE)</f>
        <v>77</v>
      </c>
    </row>
    <row r="49" spans="1:6" x14ac:dyDescent="0.25">
      <c r="A49" s="18"/>
      <c r="B49" s="28">
        <v>300670022</v>
      </c>
      <c r="C49" s="19"/>
      <c r="D49" s="5" t="str">
        <f>VLOOKUP(B49,'[1]Base de datos'!$B:$F,2,FALSE)</f>
        <v>Pet-G  pelicula  40 mic. CH 667 mm</v>
      </c>
      <c r="E49">
        <f>VLOOKUP(B49,'[1]Base de datos'!$B:$E,3,FALSE)</f>
        <v>2200</v>
      </c>
      <c r="F49">
        <f>VLOOKUP(B49,'[1]Base de datos'!$B:$E,4,FALSE)</f>
        <v>77</v>
      </c>
    </row>
    <row r="50" spans="1:6" x14ac:dyDescent="0.25">
      <c r="A50" s="18"/>
      <c r="B50" s="28">
        <v>300670023</v>
      </c>
      <c r="C50" s="19"/>
      <c r="D50" s="5" t="str">
        <f>VLOOKUP(B50,'[1]Base de datos'!$B:$F,2,FALSE)</f>
        <v>Pet-G  pelicula  40 mic. CH 667 mm</v>
      </c>
      <c r="E50">
        <f>VLOOKUP(B50,'[1]Base de datos'!$B:$E,3,FALSE)</f>
        <v>2200</v>
      </c>
      <c r="F50">
        <f>VLOOKUP(B50,'[1]Base de datos'!$B:$E,4,FALSE)</f>
        <v>77</v>
      </c>
    </row>
    <row r="51" spans="1:6" x14ac:dyDescent="0.25">
      <c r="A51" s="18"/>
      <c r="B51" s="28">
        <v>300670024</v>
      </c>
      <c r="C51" s="19"/>
      <c r="D51" s="5" t="str">
        <f>VLOOKUP(B51,'[1]Base de datos'!$B:$F,2,FALSE)</f>
        <v>Pet-G  pelicula  40 mic. CH 667 mm</v>
      </c>
      <c r="E51">
        <f>VLOOKUP(B51,'[1]Base de datos'!$B:$E,3,FALSE)</f>
        <v>2200</v>
      </c>
      <c r="F51">
        <f>VLOOKUP(B51,'[1]Base de datos'!$B:$E,4,FALSE)</f>
        <v>77</v>
      </c>
    </row>
    <row r="52" spans="1:6" x14ac:dyDescent="0.25">
      <c r="A52" s="18"/>
      <c r="B52" s="28">
        <v>300670025</v>
      </c>
      <c r="C52" s="19"/>
      <c r="D52" s="5" t="str">
        <f>VLOOKUP(B52,'[1]Base de datos'!$B:$F,2,FALSE)</f>
        <v>Pet-G  pelicula  40 mic. CH 667 mm</v>
      </c>
      <c r="E52">
        <f>VLOOKUP(B52,'[1]Base de datos'!$B:$E,3,FALSE)</f>
        <v>2200</v>
      </c>
      <c r="F52">
        <f>VLOOKUP(B52,'[1]Base de datos'!$B:$E,4,FALSE)</f>
        <v>77</v>
      </c>
    </row>
    <row r="53" spans="1:6" x14ac:dyDescent="0.25">
      <c r="A53" s="18"/>
      <c r="B53" s="28">
        <v>300670026</v>
      </c>
      <c r="C53" s="19"/>
      <c r="D53" s="5" t="str">
        <f>VLOOKUP(B53,'[1]Base de datos'!$B:$F,2,FALSE)</f>
        <v>Pet-G  pelicula  40 mic. CH 667 mm</v>
      </c>
      <c r="E53">
        <f>VLOOKUP(B53,'[1]Base de datos'!$B:$E,3,FALSE)</f>
        <v>2200</v>
      </c>
      <c r="F53">
        <f>VLOOKUP(B53,'[1]Base de datos'!$B:$E,4,FALSE)</f>
        <v>77</v>
      </c>
    </row>
    <row r="54" spans="1:6" x14ac:dyDescent="0.25">
      <c r="A54" s="18"/>
      <c r="B54" s="28">
        <v>300670027</v>
      </c>
      <c r="C54" s="19"/>
      <c r="D54" s="5" t="str">
        <f>VLOOKUP(B54,'[1]Base de datos'!$B:$F,2,FALSE)</f>
        <v>Pet-G  pelicula  40 mic. CH 667 mm</v>
      </c>
      <c r="E54">
        <f>VLOOKUP(B54,'[1]Base de datos'!$B:$E,3,FALSE)</f>
        <v>2200</v>
      </c>
      <c r="F54">
        <f>VLOOKUP(B54,'[1]Base de datos'!$B:$E,4,FALSE)</f>
        <v>77</v>
      </c>
    </row>
    <row r="55" spans="1:6" x14ac:dyDescent="0.25">
      <c r="A55" s="18"/>
      <c r="B55" s="28">
        <v>200611138</v>
      </c>
      <c r="C55" s="19"/>
      <c r="D55" s="5" t="str">
        <f>VLOOKUP(B55,'[1]Base de datos'!$B:$F,2,FALSE)</f>
        <v>Pelicula PVC 35 mic. CH 611 mm</v>
      </c>
      <c r="E55">
        <f>VLOOKUP(B55,'[1]Base de datos'!$B:$E,3,FALSE)</f>
        <v>2889</v>
      </c>
      <c r="F55">
        <f>VLOOKUP(B55,'[1]Base de datos'!$B:$E,4,FALSE)</f>
        <v>84.3</v>
      </c>
    </row>
    <row r="56" spans="1:6" x14ac:dyDescent="0.25">
      <c r="A56" s="18"/>
      <c r="B56" s="28">
        <v>200611026</v>
      </c>
      <c r="C56" s="19"/>
      <c r="D56" s="5" t="str">
        <f>VLOOKUP(B56,'[1]Base de datos'!$B:$F,2,FALSE)</f>
        <v>Pelicula PVC 35 mic. CH 611 mm</v>
      </c>
      <c r="E56">
        <f>VLOOKUP(B56,'[1]Base de datos'!$B:$E,3,FALSE)</f>
        <v>2813</v>
      </c>
      <c r="F56">
        <f>VLOOKUP(B56,'[1]Base de datos'!$B:$E,4,FALSE)</f>
        <v>82.3</v>
      </c>
    </row>
    <row r="57" spans="1:6" x14ac:dyDescent="0.25">
      <c r="A57" s="18"/>
      <c r="B57" s="28">
        <v>200611027</v>
      </c>
      <c r="C57" s="19"/>
      <c r="D57" s="5" t="str">
        <f>VLOOKUP(B57,'[1]Base de datos'!$B:$F,2,FALSE)</f>
        <v>Pelicula PVC 35 mic. CH 611 mm</v>
      </c>
      <c r="E57">
        <f>VLOOKUP(B57,'[1]Base de datos'!$B:$E,3,FALSE)</f>
        <v>2805</v>
      </c>
      <c r="F57">
        <f>VLOOKUP(B57,'[1]Base de datos'!$B:$E,4,FALSE)</f>
        <v>77.3</v>
      </c>
    </row>
    <row r="58" spans="1:6" x14ac:dyDescent="0.25">
      <c r="A58" s="18"/>
      <c r="B58" s="28">
        <v>200611146</v>
      </c>
      <c r="C58" s="19"/>
      <c r="D58" s="5" t="str">
        <f>VLOOKUP(B58,'[1]Base de datos'!$B:$F,2,FALSE)</f>
        <v>Pelicula PVC 35 mic. CH 611 mm</v>
      </c>
      <c r="E58">
        <f>VLOOKUP(B58,'[1]Base de datos'!$B:$E,3,FALSE)</f>
        <v>2818</v>
      </c>
      <c r="F58">
        <f>VLOOKUP(B58,'[1]Base de datos'!$B:$E,4,FALSE)</f>
        <v>79</v>
      </c>
    </row>
    <row r="59" spans="1:6" x14ac:dyDescent="0.25">
      <c r="A59" s="18"/>
      <c r="B59" s="28">
        <v>200611141</v>
      </c>
      <c r="C59" s="19"/>
      <c r="D59" s="5" t="str">
        <f>VLOOKUP(B59,'[1]Base de datos'!$B:$F,2,FALSE)</f>
        <v>Pelicula PVC 35 mic. CH 611 mm</v>
      </c>
      <c r="E59">
        <f>VLOOKUP(B59,'[1]Base de datos'!$B:$E,3,FALSE)</f>
        <v>2879</v>
      </c>
      <c r="F59">
        <f>VLOOKUP(B59,'[1]Base de datos'!$B:$E,4,FALSE)</f>
        <v>81.400000000000006</v>
      </c>
    </row>
    <row r="60" spans="1:6" x14ac:dyDescent="0.25">
      <c r="A60" s="18"/>
      <c r="B60" s="28">
        <v>200611144</v>
      </c>
      <c r="C60" s="19"/>
      <c r="D60" s="5" t="str">
        <f>VLOOKUP(B60,'[1]Base de datos'!$B:$F,2,FALSE)</f>
        <v>Pelicula PVC 35 mic. CH 611 mm</v>
      </c>
      <c r="E60">
        <f>VLOOKUP(B60,'[1]Base de datos'!$B:$E,3,FALSE)</f>
        <v>2821</v>
      </c>
      <c r="F60">
        <f>VLOOKUP(B60,'[1]Base de datos'!$B:$E,4,FALSE)</f>
        <v>80.3</v>
      </c>
    </row>
    <row r="61" spans="1:6" x14ac:dyDescent="0.25">
      <c r="A61" s="18"/>
      <c r="B61" s="28">
        <v>200611143</v>
      </c>
      <c r="C61" s="19"/>
      <c r="D61" s="5" t="str">
        <f>VLOOKUP(B61,'[1]Base de datos'!$B:$F,2,FALSE)</f>
        <v>Pelicula PVC 35 mic. CH 611 mm</v>
      </c>
      <c r="E61">
        <f>VLOOKUP(B61,'[1]Base de datos'!$B:$E,3,FALSE)</f>
        <v>2889</v>
      </c>
      <c r="F61">
        <f>VLOOKUP(B61,'[1]Base de datos'!$B:$E,4,FALSE)</f>
        <v>84.1</v>
      </c>
    </row>
    <row r="62" spans="1:6" x14ac:dyDescent="0.25">
      <c r="A62" s="18"/>
      <c r="B62" s="28">
        <v>200611145</v>
      </c>
      <c r="C62" s="19"/>
      <c r="D62" s="5" t="str">
        <f>VLOOKUP(B62,'[1]Base de datos'!$B:$F,2,FALSE)</f>
        <v>Pelicula PVC 35 mic. CH 611 mm</v>
      </c>
      <c r="E62">
        <f>VLOOKUP(B62,'[1]Base de datos'!$B:$E,3,FALSE)</f>
        <v>2838</v>
      </c>
      <c r="F62">
        <f>VLOOKUP(B62,'[1]Base de datos'!$B:$E,4,FALSE)</f>
        <v>82.3</v>
      </c>
    </row>
    <row r="63" spans="1:6" x14ac:dyDescent="0.25">
      <c r="A63" s="18"/>
      <c r="B63" s="28">
        <v>200611072</v>
      </c>
      <c r="C63" s="19"/>
      <c r="D63" s="5" t="str">
        <f>VLOOKUP(B63,'[1]Base de datos'!$B:$F,2,FALSE)</f>
        <v>Pelicula PVC 35 mic. CH 611 mm</v>
      </c>
      <c r="E63">
        <f>VLOOKUP(B63,'[1]Base de datos'!$B:$E,3,FALSE)</f>
        <v>2823</v>
      </c>
      <c r="F63">
        <f>VLOOKUP(B63,'[1]Base de datos'!$B:$E,4,FALSE)</f>
        <v>80.5</v>
      </c>
    </row>
    <row r="64" spans="1:6" x14ac:dyDescent="0.25">
      <c r="A64" s="18"/>
      <c r="B64" s="28">
        <v>200611057</v>
      </c>
      <c r="C64" s="19"/>
      <c r="D64" s="5" t="str">
        <f>VLOOKUP(B64,'[1]Base de datos'!$B:$F,2,FALSE)</f>
        <v>Pelicula PVC 35 mic. CH 611 mm</v>
      </c>
      <c r="E64">
        <f>VLOOKUP(B64,'[1]Base de datos'!$B:$E,3,FALSE)</f>
        <v>2835</v>
      </c>
      <c r="F64">
        <f>VLOOKUP(B64,'[1]Base de datos'!$B:$E,4,FALSE)</f>
        <v>81.3</v>
      </c>
    </row>
    <row r="65" spans="1:6" x14ac:dyDescent="0.25">
      <c r="A65" s="18"/>
      <c r="B65" s="28">
        <v>200611008</v>
      </c>
      <c r="C65" s="19"/>
      <c r="D65" s="5" t="str">
        <f>VLOOKUP(B65,'[1]Base de datos'!$B:$F,2,FALSE)</f>
        <v>Pelicula PVC 35 mic. CH 611 mm</v>
      </c>
      <c r="E65">
        <f>VLOOKUP(B65,'[1]Base de datos'!$B:$E,3,FALSE)</f>
        <v>2913</v>
      </c>
      <c r="F65">
        <f>VLOOKUP(B65,'[1]Base de datos'!$B:$E,4,FALSE)</f>
        <v>83.3</v>
      </c>
    </row>
    <row r="66" spans="1:6" x14ac:dyDescent="0.25">
      <c r="A66" s="18"/>
      <c r="B66" s="28">
        <v>200611074</v>
      </c>
      <c r="C66" s="19"/>
      <c r="D66" s="5" t="str">
        <f>VLOOKUP(B66,'[1]Base de datos'!$B:$F,2,FALSE)</f>
        <v>Pelicula PVC 35 mic. CH 611 mm</v>
      </c>
      <c r="E66">
        <f>VLOOKUP(B66,'[1]Base de datos'!$B:$E,3,FALSE)</f>
        <v>2816</v>
      </c>
      <c r="F66">
        <f>VLOOKUP(B66,'[1]Base de datos'!$B:$E,4,FALSE)</f>
        <v>79.3</v>
      </c>
    </row>
    <row r="67" spans="1:6" x14ac:dyDescent="0.25">
      <c r="A67" s="18"/>
      <c r="B67" s="28">
        <v>200611005</v>
      </c>
      <c r="C67" s="19"/>
      <c r="D67" s="5" t="str">
        <f>VLOOKUP(B67,'[1]Base de datos'!$B:$F,2,FALSE)</f>
        <v>Pelicula PVC 35 mic. CH 611 mm</v>
      </c>
      <c r="E67">
        <f>VLOOKUP(B67,'[1]Base de datos'!$B:$E,3,FALSE)</f>
        <v>2800</v>
      </c>
      <c r="F67">
        <f>VLOOKUP(B67,'[1]Base de datos'!$B:$E,4,FALSE)</f>
        <v>77.2</v>
      </c>
    </row>
    <row r="68" spans="1:6" x14ac:dyDescent="0.25">
      <c r="A68" s="18"/>
      <c r="B68" s="28">
        <v>200611011</v>
      </c>
      <c r="C68" s="19"/>
      <c r="D68" s="5" t="str">
        <f>VLOOKUP(B68,'[1]Base de datos'!$B:$F,2,FALSE)</f>
        <v>Pelicula PVC 35 mic. CH 611 mm</v>
      </c>
      <c r="E68">
        <f>VLOOKUP(B68,'[1]Base de datos'!$B:$E,3,FALSE)</f>
        <v>2808</v>
      </c>
      <c r="F68">
        <f>VLOOKUP(B68,'[1]Base de datos'!$B:$E,4,FALSE)</f>
        <v>80.400000000000006</v>
      </c>
    </row>
    <row r="69" spans="1:6" x14ac:dyDescent="0.25">
      <c r="A69" s="18"/>
      <c r="B69" s="28">
        <v>200611118</v>
      </c>
      <c r="C69" s="19"/>
      <c r="D69" s="5" t="str">
        <f>VLOOKUP(B69,'[1]Base de datos'!$B:$F,2,FALSE)</f>
        <v>Pelicula PVC 35 mic. CH 611 mm</v>
      </c>
      <c r="E69">
        <f>VLOOKUP(B69,'[1]Base de datos'!$B:$E,3,FALSE)</f>
        <v>2798</v>
      </c>
      <c r="F69">
        <f>VLOOKUP(B69,'[1]Base de datos'!$B:$E,4,FALSE)</f>
        <v>81.8</v>
      </c>
    </row>
    <row r="70" spans="1:6" x14ac:dyDescent="0.25">
      <c r="A70" s="18"/>
      <c r="B70" s="28">
        <v>200611123</v>
      </c>
      <c r="C70" s="19"/>
      <c r="D70" s="5" t="str">
        <f>VLOOKUP(B70,'[1]Base de datos'!$B:$F,2,FALSE)</f>
        <v>Pelicula PVC 35 mic. CH 611 mm</v>
      </c>
      <c r="E70">
        <f>VLOOKUP(B70,'[1]Base de datos'!$B:$E,3,FALSE)</f>
        <v>2834</v>
      </c>
      <c r="F70">
        <f>VLOOKUP(B70,'[1]Base de datos'!$B:$E,4,FALSE)</f>
        <v>81</v>
      </c>
    </row>
    <row r="71" spans="1:6" x14ac:dyDescent="0.25">
      <c r="A71" s="18"/>
      <c r="B71" s="28">
        <v>200611133</v>
      </c>
      <c r="C71" s="19"/>
      <c r="D71" s="5" t="str">
        <f>VLOOKUP(B71,'[1]Base de datos'!$B:$F,2,FALSE)</f>
        <v>Pelicula PVC 35 mic. CH 611 mm</v>
      </c>
      <c r="E71">
        <f>VLOOKUP(B71,'[1]Base de datos'!$B:$E,3,FALSE)</f>
        <v>2853</v>
      </c>
      <c r="F71">
        <f>VLOOKUP(B71,'[1]Base de datos'!$B:$E,4,FALSE)</f>
        <v>83.1</v>
      </c>
    </row>
    <row r="72" spans="1:6" x14ac:dyDescent="0.25">
      <c r="A72" s="18"/>
      <c r="B72" s="28">
        <v>200611100</v>
      </c>
      <c r="C72" s="19"/>
      <c r="D72" s="5" t="str">
        <f>VLOOKUP(B72,'[1]Base de datos'!$B:$F,2,FALSE)</f>
        <v>Pelicula PVC 35 mic. CH 611 mm</v>
      </c>
      <c r="E72">
        <f>VLOOKUP(B72,'[1]Base de datos'!$B:$E,3,FALSE)</f>
        <v>2908</v>
      </c>
      <c r="F72">
        <f>VLOOKUP(B72,'[1]Base de datos'!$B:$E,4,FALSE)</f>
        <v>86.8</v>
      </c>
    </row>
    <row r="73" spans="1:6" x14ac:dyDescent="0.25">
      <c r="A73" s="18"/>
      <c r="B73" s="28">
        <v>300670028</v>
      </c>
      <c r="C73" s="19"/>
      <c r="D73" s="5" t="str">
        <f>VLOOKUP(B73,'[1]Base de datos'!$B:$F,2,FALSE)</f>
        <v>Pet-G  pelicula  40 mic. CH 667 mm</v>
      </c>
      <c r="E73">
        <f>VLOOKUP(B73,'[1]Base de datos'!$B:$E,3,FALSE)</f>
        <v>2200</v>
      </c>
      <c r="F73">
        <f>VLOOKUP(B73,'[1]Base de datos'!$B:$E,4,FALSE)</f>
        <v>77</v>
      </c>
    </row>
    <row r="74" spans="1:6" x14ac:dyDescent="0.25">
      <c r="A74" s="18"/>
      <c r="B74" s="28">
        <v>300670029</v>
      </c>
      <c r="C74" s="19"/>
      <c r="D74" s="5" t="str">
        <f>VLOOKUP(B74,'[1]Base de datos'!$B:$F,2,FALSE)</f>
        <v>Pet-G  pelicula  40 mic. CH 667 mm</v>
      </c>
      <c r="E74">
        <f>VLOOKUP(B74,'[1]Base de datos'!$B:$E,3,FALSE)</f>
        <v>2200</v>
      </c>
      <c r="F74">
        <f>VLOOKUP(B74,'[1]Base de datos'!$B:$E,4,FALSE)</f>
        <v>77</v>
      </c>
    </row>
    <row r="75" spans="1:6" x14ac:dyDescent="0.25">
      <c r="A75" s="18"/>
      <c r="B75" s="28">
        <v>300670030</v>
      </c>
      <c r="C75" s="19"/>
      <c r="D75" s="5" t="str">
        <f>VLOOKUP(B75,'[1]Base de datos'!$B:$F,2,FALSE)</f>
        <v>Pet-G  pelicula  40 mic. CH 667 mm</v>
      </c>
      <c r="E75">
        <f>VLOOKUP(B75,'[1]Base de datos'!$B:$E,3,FALSE)</f>
        <v>2200</v>
      </c>
      <c r="F75">
        <f>VLOOKUP(B75,'[1]Base de datos'!$B:$E,4,FALSE)</f>
        <v>77</v>
      </c>
    </row>
    <row r="76" spans="1:6" x14ac:dyDescent="0.25">
      <c r="A76" s="18"/>
      <c r="B76" s="28">
        <v>300670031</v>
      </c>
      <c r="C76" s="19"/>
      <c r="D76" s="5" t="str">
        <f>VLOOKUP(B76,'[1]Base de datos'!$B:$F,2,FALSE)</f>
        <v>Pet-G  pelicula  40 mic. CH 667 mm</v>
      </c>
      <c r="E76">
        <f>VLOOKUP(B76,'[1]Base de datos'!$B:$E,3,FALSE)</f>
        <v>2200</v>
      </c>
      <c r="F76">
        <f>VLOOKUP(B76,'[1]Base de datos'!$B:$E,4,FALSE)</f>
        <v>77</v>
      </c>
    </row>
    <row r="77" spans="1:6" x14ac:dyDescent="0.25">
      <c r="A77" s="18"/>
      <c r="B77" s="28">
        <v>300670032</v>
      </c>
      <c r="C77" s="19"/>
      <c r="D77" s="5" t="str">
        <f>VLOOKUP(B77,'[1]Base de datos'!$B:$F,2,FALSE)</f>
        <v>Pet-G  pelicula  40 mic. CH 667 mm</v>
      </c>
      <c r="E77">
        <f>VLOOKUP(B77,'[1]Base de datos'!$B:$E,3,FALSE)</f>
        <v>2200</v>
      </c>
      <c r="F77">
        <f>VLOOKUP(B77,'[1]Base de datos'!$B:$E,4,FALSE)</f>
        <v>77</v>
      </c>
    </row>
    <row r="78" spans="1:6" x14ac:dyDescent="0.25">
      <c r="A78" s="18"/>
      <c r="B78" s="28">
        <v>300670033</v>
      </c>
      <c r="C78" s="19"/>
      <c r="D78" s="5" t="str">
        <f>VLOOKUP(B78,'[1]Base de datos'!$B:$F,2,FALSE)</f>
        <v>Pet-G  pelicula  40 mic. CH 667 mm</v>
      </c>
      <c r="E78">
        <f>VLOOKUP(B78,'[1]Base de datos'!$B:$E,3,FALSE)</f>
        <v>2200</v>
      </c>
      <c r="F78">
        <f>VLOOKUP(B78,'[1]Base de datos'!$B:$E,4,FALSE)</f>
        <v>77</v>
      </c>
    </row>
    <row r="79" spans="1:6" x14ac:dyDescent="0.25">
      <c r="A79" s="18"/>
      <c r="B79" s="28">
        <v>300670034</v>
      </c>
      <c r="C79" s="19"/>
      <c r="D79" s="5" t="str">
        <f>VLOOKUP(B79,'[1]Base de datos'!$B:$F,2,FALSE)</f>
        <v>Pet-G  pelicula  40 mic. CH 667 mm</v>
      </c>
      <c r="E79">
        <f>VLOOKUP(B79,'[1]Base de datos'!$B:$E,3,FALSE)</f>
        <v>2200</v>
      </c>
      <c r="F79">
        <f>VLOOKUP(B79,'[1]Base de datos'!$B:$E,4,FALSE)</f>
        <v>77</v>
      </c>
    </row>
    <row r="80" spans="1:6" x14ac:dyDescent="0.25">
      <c r="A80" s="18"/>
      <c r="B80" s="28">
        <v>300670035</v>
      </c>
      <c r="C80" s="19"/>
      <c r="D80" s="5" t="str">
        <f>VLOOKUP(B80,'[1]Base de datos'!$B:$F,2,FALSE)</f>
        <v>Pet-G  pelicula  40 mic. CH 667 mm</v>
      </c>
      <c r="E80">
        <f>VLOOKUP(B80,'[1]Base de datos'!$B:$E,3,FALSE)</f>
        <v>2200</v>
      </c>
      <c r="F80">
        <f>VLOOKUP(B80,'[1]Base de datos'!$B:$E,4,FALSE)</f>
        <v>77</v>
      </c>
    </row>
    <row r="81" spans="1:6" x14ac:dyDescent="0.25">
      <c r="A81" s="18"/>
      <c r="B81" s="28">
        <v>200611109</v>
      </c>
      <c r="C81" s="19"/>
      <c r="D81" s="5" t="str">
        <f>VLOOKUP(B81,'[1]Base de datos'!$B:$F,2,FALSE)</f>
        <v>Pelicula PVC 35 mic. CH 611 mm</v>
      </c>
      <c r="E81">
        <f>VLOOKUP(B81,'[1]Base de datos'!$B:$E,3,FALSE)</f>
        <v>2830</v>
      </c>
      <c r="F81">
        <f>VLOOKUP(B81,'[1]Base de datos'!$B:$E,4,FALSE)</f>
        <v>80</v>
      </c>
    </row>
    <row r="82" spans="1:6" x14ac:dyDescent="0.25">
      <c r="A82" s="18"/>
      <c r="B82" s="28">
        <v>200611097</v>
      </c>
      <c r="C82" s="19"/>
      <c r="D82" s="5" t="str">
        <f>VLOOKUP(B82,'[1]Base de datos'!$B:$F,2,FALSE)</f>
        <v>Pelicula PVC 35 mic. CH 611 mm</v>
      </c>
      <c r="E82">
        <f>VLOOKUP(B82,'[1]Base de datos'!$B:$E,3,FALSE)</f>
        <v>2820</v>
      </c>
      <c r="F82">
        <f>VLOOKUP(B82,'[1]Base de datos'!$B:$E,4,FALSE)</f>
        <v>78.599999999999994</v>
      </c>
    </row>
    <row r="83" spans="1:6" x14ac:dyDescent="0.25">
      <c r="A83" s="18"/>
      <c r="B83" s="28">
        <v>200611095</v>
      </c>
      <c r="C83" s="19"/>
      <c r="D83" s="5" t="str">
        <f>VLOOKUP(B83,'[1]Base de datos'!$B:$F,2,FALSE)</f>
        <v>Pelicula PVC 35 mic. CH 611 mm</v>
      </c>
      <c r="E83">
        <f>VLOOKUP(B83,'[1]Base de datos'!$B:$E,3,FALSE)</f>
        <v>2860</v>
      </c>
      <c r="F83">
        <f>VLOOKUP(B83,'[1]Base de datos'!$B:$E,4,FALSE)</f>
        <v>82.4</v>
      </c>
    </row>
    <row r="84" spans="1:6" x14ac:dyDescent="0.25">
      <c r="A84" s="18"/>
      <c r="B84" s="28">
        <v>200611114</v>
      </c>
      <c r="C84" s="19"/>
      <c r="D84" s="5" t="str">
        <f>VLOOKUP(B84,'[1]Base de datos'!$B:$F,2,FALSE)</f>
        <v>Pelicula PVC 35 mic. CH 611 mm</v>
      </c>
      <c r="E84">
        <f>VLOOKUP(B84,'[1]Base de datos'!$B:$E,3,FALSE)</f>
        <v>2928</v>
      </c>
      <c r="F84">
        <f>VLOOKUP(B84,'[1]Base de datos'!$B:$E,4,FALSE)</f>
        <v>85</v>
      </c>
    </row>
    <row r="85" spans="1:6" x14ac:dyDescent="0.25">
      <c r="A85" s="18"/>
      <c r="B85" s="28">
        <v>200611120</v>
      </c>
      <c r="C85" s="19"/>
      <c r="D85" s="5" t="str">
        <f>VLOOKUP(B85,'[1]Base de datos'!$B:$F,2,FALSE)</f>
        <v>Pelicula PVC 35 mic. CH 611 mm</v>
      </c>
      <c r="E85">
        <f>VLOOKUP(B85,'[1]Base de datos'!$B:$E,3,FALSE)</f>
        <v>2828</v>
      </c>
      <c r="F85">
        <f>VLOOKUP(B85,'[1]Base de datos'!$B:$E,4,FALSE)</f>
        <v>81.8</v>
      </c>
    </row>
    <row r="86" spans="1:6" x14ac:dyDescent="0.25">
      <c r="A86" s="18"/>
      <c r="B86" s="28">
        <v>200611098</v>
      </c>
      <c r="C86" s="19"/>
      <c r="D86" s="5" t="str">
        <f>VLOOKUP(B86,'[1]Base de datos'!$B:$F,2,FALSE)</f>
        <v>Pelicula PVC 35 mic. CH 611 mm</v>
      </c>
      <c r="E86">
        <f>VLOOKUP(B86,'[1]Base de datos'!$B:$E,3,FALSE)</f>
        <v>2820</v>
      </c>
      <c r="F86">
        <f>VLOOKUP(B86,'[1]Base de datos'!$B:$E,4,FALSE)</f>
        <v>78.8</v>
      </c>
    </row>
    <row r="87" spans="1:6" x14ac:dyDescent="0.25">
      <c r="A87" s="18"/>
      <c r="B87" s="28">
        <v>200611132</v>
      </c>
      <c r="C87" s="19"/>
      <c r="D87" s="5" t="str">
        <f>VLOOKUP(B87,'[1]Base de datos'!$B:$F,2,FALSE)</f>
        <v>Pelicula PVC 35 mic. CH 611 mm</v>
      </c>
      <c r="E87">
        <f>VLOOKUP(B87,'[1]Base de datos'!$B:$E,3,FALSE)</f>
        <v>2826</v>
      </c>
      <c r="F87">
        <f>VLOOKUP(B87,'[1]Base de datos'!$B:$E,4,FALSE)</f>
        <v>82.1</v>
      </c>
    </row>
    <row r="88" spans="1:6" x14ac:dyDescent="0.25">
      <c r="A88" s="18"/>
      <c r="B88" s="28">
        <v>200611121</v>
      </c>
      <c r="C88" s="19"/>
      <c r="D88" s="5" t="str">
        <f>VLOOKUP(B88,'[1]Base de datos'!$B:$F,2,FALSE)</f>
        <v>Pelicula PVC 35 mic. CH 611 mm</v>
      </c>
      <c r="E88">
        <f>VLOOKUP(B88,'[1]Base de datos'!$B:$E,3,FALSE)</f>
        <v>2834</v>
      </c>
      <c r="F88">
        <f>VLOOKUP(B88,'[1]Base de datos'!$B:$E,4,FALSE)</f>
        <v>80.099999999999994</v>
      </c>
    </row>
    <row r="89" spans="1:6" x14ac:dyDescent="0.25">
      <c r="A89" s="18"/>
      <c r="B89" s="28">
        <v>200611067</v>
      </c>
      <c r="C89" s="19"/>
      <c r="D89" s="5" t="str">
        <f>VLOOKUP(B89,'[1]Base de datos'!$B:$F,2,FALSE)</f>
        <v>Pelicula PVC 35 mic. CH 611 mm</v>
      </c>
      <c r="E89">
        <f>VLOOKUP(B89,'[1]Base de datos'!$B:$E,3,FALSE)</f>
        <v>3265</v>
      </c>
      <c r="F89">
        <f>VLOOKUP(B89,'[1]Base de datos'!$B:$E,4,FALSE)</f>
        <v>94.2</v>
      </c>
    </row>
    <row r="90" spans="1:6" x14ac:dyDescent="0.25">
      <c r="A90" s="18"/>
      <c r="B90" s="28">
        <v>200611061</v>
      </c>
      <c r="C90" s="19"/>
      <c r="D90" s="5" t="str">
        <f>VLOOKUP(B90,'[1]Base de datos'!$B:$F,2,FALSE)</f>
        <v>Pelicula PVC 35 mic. CH 611 mm</v>
      </c>
      <c r="E90">
        <f>VLOOKUP(B90,'[1]Base de datos'!$B:$E,3,FALSE)</f>
        <v>2825</v>
      </c>
      <c r="F90">
        <f>VLOOKUP(B90,'[1]Base de datos'!$B:$E,4,FALSE)</f>
        <v>80.400000000000006</v>
      </c>
    </row>
    <row r="91" spans="1:6" x14ac:dyDescent="0.25">
      <c r="A91" s="18"/>
      <c r="B91" s="28">
        <v>200611018</v>
      </c>
      <c r="C91" s="19"/>
      <c r="D91" s="5" t="str">
        <f>VLOOKUP(B91,'[1]Base de datos'!$B:$F,2,FALSE)</f>
        <v>Pelicula PVC 35 mic. CH 611 mm</v>
      </c>
      <c r="E91">
        <f>VLOOKUP(B91,'[1]Base de datos'!$B:$E,3,FALSE)</f>
        <v>2981</v>
      </c>
      <c r="F91">
        <f>VLOOKUP(B91,'[1]Base de datos'!$B:$E,4,FALSE)</f>
        <v>88.2</v>
      </c>
    </row>
    <row r="92" spans="1:6" x14ac:dyDescent="0.25">
      <c r="A92" s="18"/>
      <c r="B92" s="28">
        <v>200611017</v>
      </c>
      <c r="C92" s="19"/>
      <c r="D92" s="5" t="str">
        <f>VLOOKUP(B92,'[1]Base de datos'!$B:$F,2,FALSE)</f>
        <v>Pelicula PVC 35 mic. CH 611 mm</v>
      </c>
      <c r="E92">
        <f>VLOOKUP(B92,'[1]Base de datos'!$B:$E,3,FALSE)</f>
        <v>2822</v>
      </c>
      <c r="F92">
        <f>VLOOKUP(B92,'[1]Base de datos'!$B:$E,4,FALSE)</f>
        <v>79</v>
      </c>
    </row>
    <row r="93" spans="1:6" x14ac:dyDescent="0.25">
      <c r="A93" s="18"/>
      <c r="B93" s="28">
        <v>200611086</v>
      </c>
      <c r="C93" s="19"/>
      <c r="D93" s="5" t="str">
        <f>VLOOKUP(B93,'[1]Base de datos'!$B:$F,2,FALSE)</f>
        <v>Pelicula PVC 35 mic. CH 611 mm</v>
      </c>
      <c r="E93">
        <f>VLOOKUP(B93,'[1]Base de datos'!$B:$E,3,FALSE)</f>
        <v>2824</v>
      </c>
      <c r="F93">
        <f>VLOOKUP(B93,'[1]Base de datos'!$B:$E,4,FALSE)</f>
        <v>78.599999999999994</v>
      </c>
    </row>
    <row r="94" spans="1:6" x14ac:dyDescent="0.25">
      <c r="A94" s="18"/>
      <c r="B94" s="28">
        <v>200611059</v>
      </c>
      <c r="C94" s="19"/>
      <c r="D94" s="5" t="str">
        <f>VLOOKUP(B94,'[1]Base de datos'!$B:$F,2,FALSE)</f>
        <v>Pelicula PVC 35 mic. CH 611 mm</v>
      </c>
      <c r="E94">
        <f>VLOOKUP(B94,'[1]Base de datos'!$B:$E,3,FALSE)</f>
        <v>2843</v>
      </c>
      <c r="F94">
        <f>VLOOKUP(B94,'[1]Base de datos'!$B:$E,4,FALSE)</f>
        <v>80.3</v>
      </c>
    </row>
    <row r="95" spans="1:6" x14ac:dyDescent="0.25">
      <c r="A95" s="18"/>
      <c r="B95" s="28">
        <v>200611043</v>
      </c>
      <c r="C95" s="19"/>
      <c r="D95" s="5" t="str">
        <f>VLOOKUP(B95,'[1]Base de datos'!$B:$F,2,FALSE)</f>
        <v>Pelicula PVC 35 mic. CH 611 mm</v>
      </c>
      <c r="E95">
        <f>VLOOKUP(B95,'[1]Base de datos'!$B:$E,3,FALSE)</f>
        <v>2828</v>
      </c>
      <c r="F95">
        <f>VLOOKUP(B95,'[1]Base de datos'!$B:$E,4,FALSE)</f>
        <v>81.099999999999994</v>
      </c>
    </row>
    <row r="96" spans="1:6" x14ac:dyDescent="0.25">
      <c r="A96" s="18"/>
      <c r="B96" s="28">
        <v>200611148</v>
      </c>
      <c r="C96" s="19"/>
      <c r="D96" s="5" t="str">
        <f>VLOOKUP(B96,'[1]Base de datos'!$B:$F,2,FALSE)</f>
        <v>Pelicula PVC 35 mic. CH 611 mm</v>
      </c>
      <c r="E96">
        <f>VLOOKUP(B96,'[1]Base de datos'!$B:$E,3,FALSE)</f>
        <v>2822</v>
      </c>
      <c r="F96">
        <f>VLOOKUP(B96,'[1]Base de datos'!$B:$E,4,FALSE)</f>
        <v>80.7</v>
      </c>
    </row>
    <row r="97" spans="1:6" x14ac:dyDescent="0.25">
      <c r="A97" s="18"/>
      <c r="B97" s="28">
        <v>200611062</v>
      </c>
      <c r="C97" s="19"/>
      <c r="D97" s="5" t="str">
        <f>VLOOKUP(B97,'[1]Base de datos'!$B:$F,2,FALSE)</f>
        <v>Pelicula PVC 35 mic. CH 611 mm</v>
      </c>
      <c r="E97">
        <f>VLOOKUP(B97,'[1]Base de datos'!$B:$E,3,FALSE)</f>
        <v>2891</v>
      </c>
      <c r="F97">
        <f>VLOOKUP(B97,'[1]Base de datos'!$B:$E,4,FALSE)</f>
        <v>85.4</v>
      </c>
    </row>
    <row r="98" spans="1:6" x14ac:dyDescent="0.25">
      <c r="A98" s="18"/>
      <c r="B98" s="28">
        <v>200611040</v>
      </c>
      <c r="C98" s="19"/>
      <c r="D98" s="5" t="str">
        <f>VLOOKUP(B98,'[1]Base de datos'!$B:$F,2,FALSE)</f>
        <v>Pelicula PVC 35 mic. CH 611 mm</v>
      </c>
      <c r="E98">
        <f>VLOOKUP(B98,'[1]Base de datos'!$B:$E,3,FALSE)</f>
        <v>2820</v>
      </c>
      <c r="F98">
        <f>VLOOKUP(B98,'[1]Base de datos'!$B:$E,4,FALSE)</f>
        <v>80.2</v>
      </c>
    </row>
    <row r="99" spans="1:6" x14ac:dyDescent="0.25">
      <c r="A99" s="18"/>
      <c r="B99" s="28">
        <v>300670036</v>
      </c>
      <c r="C99" s="19"/>
      <c r="D99" s="5" t="str">
        <f>VLOOKUP(B99,'[1]Base de datos'!$B:$F,2,FALSE)</f>
        <v>Pet-G  pelicula  40 mic. CH 667 mm</v>
      </c>
      <c r="E99">
        <f>VLOOKUP(B99,'[1]Base de datos'!$B:$E,3,FALSE)</f>
        <v>2200</v>
      </c>
      <c r="F99">
        <f>VLOOKUP(B99,'[1]Base de datos'!$B:$E,4,FALSE)</f>
        <v>77</v>
      </c>
    </row>
    <row r="100" spans="1:6" x14ac:dyDescent="0.25">
      <c r="A100" s="18"/>
      <c r="B100" s="28">
        <v>300670037</v>
      </c>
      <c r="C100" s="19"/>
      <c r="D100" s="5" t="str">
        <f>VLOOKUP(B100,'[1]Base de datos'!$B:$F,2,FALSE)</f>
        <v>Pet-G  pelicula  40 mic. CH 667 mm</v>
      </c>
      <c r="E100">
        <f>VLOOKUP(B100,'[1]Base de datos'!$B:$E,3,FALSE)</f>
        <v>2200</v>
      </c>
      <c r="F100">
        <f>VLOOKUP(B100,'[1]Base de datos'!$B:$E,4,FALSE)</f>
        <v>77</v>
      </c>
    </row>
    <row r="101" spans="1:6" x14ac:dyDescent="0.25">
      <c r="A101" s="18"/>
      <c r="B101" s="28">
        <v>300670038</v>
      </c>
      <c r="C101" s="19"/>
      <c r="D101" s="5" t="str">
        <f>VLOOKUP(B101,'[1]Base de datos'!$B:$F,2,FALSE)</f>
        <v>Pet-G  pelicula  40 mic. CH 667 mm</v>
      </c>
      <c r="E101">
        <f>VLOOKUP(B101,'[1]Base de datos'!$B:$E,3,FALSE)</f>
        <v>2200</v>
      </c>
      <c r="F101">
        <f>VLOOKUP(B101,'[1]Base de datos'!$B:$E,4,FALSE)</f>
        <v>77</v>
      </c>
    </row>
    <row r="102" spans="1:6" x14ac:dyDescent="0.25">
      <c r="A102" s="18"/>
      <c r="B102" s="28">
        <v>300670039</v>
      </c>
      <c r="C102" s="19"/>
      <c r="D102" s="5" t="str">
        <f>VLOOKUP(B102,'[1]Base de datos'!$B:$F,2,FALSE)</f>
        <v>Pet-G  pelicula  40 mic. CH 667 mm</v>
      </c>
      <c r="E102">
        <f>VLOOKUP(B102,'[1]Base de datos'!$B:$E,3,FALSE)</f>
        <v>2200</v>
      </c>
      <c r="F102">
        <f>VLOOKUP(B102,'[1]Base de datos'!$B:$E,4,FALSE)</f>
        <v>77</v>
      </c>
    </row>
    <row r="103" spans="1:6" x14ac:dyDescent="0.25">
      <c r="A103" s="18"/>
      <c r="B103" s="28">
        <v>300670040</v>
      </c>
      <c r="C103" s="19"/>
      <c r="D103" s="5" t="str">
        <f>VLOOKUP(B103,'[1]Base de datos'!$B:$F,2,FALSE)</f>
        <v>Pet-G  pelicula  40 mic. CH 667 mm</v>
      </c>
      <c r="E103">
        <f>VLOOKUP(B103,'[1]Base de datos'!$B:$E,3,FALSE)</f>
        <v>2200</v>
      </c>
      <c r="F103">
        <f>VLOOKUP(B103,'[1]Base de datos'!$B:$E,4,FALSE)</f>
        <v>77</v>
      </c>
    </row>
    <row r="104" spans="1:6" x14ac:dyDescent="0.25">
      <c r="A104" s="18"/>
      <c r="B104" s="28">
        <v>300670041</v>
      </c>
      <c r="C104" s="19"/>
      <c r="D104" s="5" t="str">
        <f>VLOOKUP(B104,'[1]Base de datos'!$B:$F,2,FALSE)</f>
        <v>Pet-G  pelicula  40 mic. CH 667 mm</v>
      </c>
      <c r="E104">
        <f>VLOOKUP(B104,'[1]Base de datos'!$B:$E,3,FALSE)</f>
        <v>2200</v>
      </c>
      <c r="F104">
        <f>VLOOKUP(B104,'[1]Base de datos'!$B:$E,4,FALSE)</f>
        <v>77</v>
      </c>
    </row>
    <row r="105" spans="1:6" x14ac:dyDescent="0.25">
      <c r="A105" s="18"/>
      <c r="B105" s="28">
        <v>300670042</v>
      </c>
      <c r="C105" s="19"/>
      <c r="D105" s="5" t="str">
        <f>VLOOKUP(B105,'[1]Base de datos'!$B:$F,2,FALSE)</f>
        <v>Pet-G  pelicula  40 mic. CH 667 mm</v>
      </c>
      <c r="E105">
        <f>VLOOKUP(B105,'[1]Base de datos'!$B:$E,3,FALSE)</f>
        <v>2200</v>
      </c>
      <c r="F105">
        <f>VLOOKUP(B105,'[1]Base de datos'!$B:$E,4,FALSE)</f>
        <v>77</v>
      </c>
    </row>
    <row r="106" spans="1:6" x14ac:dyDescent="0.25">
      <c r="A106" s="18"/>
      <c r="B106" s="28">
        <v>300670043</v>
      </c>
      <c r="C106" s="19"/>
      <c r="D106" s="5" t="str">
        <f>VLOOKUP(B106,'[1]Base de datos'!$B:$F,2,FALSE)</f>
        <v>Pet-G  pelicula  40 mic. CH 667 mm</v>
      </c>
      <c r="E106">
        <f>VLOOKUP(B106,'[1]Base de datos'!$B:$E,3,FALSE)</f>
        <v>2200</v>
      </c>
      <c r="F106">
        <f>VLOOKUP(B106,'[1]Base de datos'!$B:$E,4,FALSE)</f>
        <v>77</v>
      </c>
    </row>
    <row r="107" spans="1:6" x14ac:dyDescent="0.25">
      <c r="A107" s="18"/>
      <c r="B107" s="28">
        <v>300670044</v>
      </c>
      <c r="C107" s="19"/>
      <c r="D107" s="5" t="str">
        <f>VLOOKUP(B107,'[1]Base de datos'!$B:$F,2,FALSE)</f>
        <v>Pet-G  pelicula  40 mic. CH 667 mm</v>
      </c>
      <c r="E107">
        <f>VLOOKUP(B107,'[1]Base de datos'!$B:$E,3,FALSE)</f>
        <v>2200</v>
      </c>
      <c r="F107">
        <f>VLOOKUP(B107,'[1]Base de datos'!$B:$E,4,FALSE)</f>
        <v>77</v>
      </c>
    </row>
    <row r="108" spans="1:6" x14ac:dyDescent="0.25">
      <c r="A108" s="18"/>
      <c r="B108" s="28">
        <v>300670045</v>
      </c>
      <c r="C108" s="19"/>
      <c r="D108" s="5" t="str">
        <f>VLOOKUP(B108,'[1]Base de datos'!$B:$F,2,FALSE)</f>
        <v>Pet-G  pelicula  40 mic. CH 667 mm</v>
      </c>
      <c r="E108">
        <f>VLOOKUP(B108,'[1]Base de datos'!$B:$E,3,FALSE)</f>
        <v>2200</v>
      </c>
      <c r="F108">
        <f>VLOOKUP(B108,'[1]Base de datos'!$B:$E,4,FALSE)</f>
        <v>77</v>
      </c>
    </row>
    <row r="109" spans="1:6" x14ac:dyDescent="0.25">
      <c r="A109" s="18"/>
      <c r="B109" s="28">
        <v>300670046</v>
      </c>
      <c r="C109" s="19"/>
      <c r="D109" s="5" t="str">
        <f>VLOOKUP(B109,'[1]Base de datos'!$B:$F,2,FALSE)</f>
        <v>Pet-G  pelicula  40 mic. CH 667 mm</v>
      </c>
      <c r="E109">
        <f>VLOOKUP(B109,'[1]Base de datos'!$B:$E,3,FALSE)</f>
        <v>2200</v>
      </c>
      <c r="F109">
        <f>VLOOKUP(B109,'[1]Base de datos'!$B:$E,4,FALSE)</f>
        <v>77</v>
      </c>
    </row>
    <row r="110" spans="1:6" x14ac:dyDescent="0.25">
      <c r="A110" s="18"/>
      <c r="B110" s="28">
        <v>200611096</v>
      </c>
      <c r="C110" s="19"/>
      <c r="D110" s="5" t="str">
        <f>VLOOKUP(B110,'[1]Base de datos'!$B:$F,2,FALSE)</f>
        <v>Pelicula PVC 35 mic. CH 611 mm</v>
      </c>
      <c r="E110">
        <f>VLOOKUP(B110,'[1]Base de datos'!$B:$E,3,FALSE)</f>
        <v>2825</v>
      </c>
      <c r="F110">
        <f>VLOOKUP(B110,'[1]Base de datos'!$B:$E,4,FALSE)</f>
        <v>81.2</v>
      </c>
    </row>
    <row r="111" spans="1:6" x14ac:dyDescent="0.25">
      <c r="A111" s="18"/>
      <c r="B111" s="28">
        <v>200611104</v>
      </c>
      <c r="C111" s="19"/>
      <c r="D111" s="5" t="str">
        <f>VLOOKUP(B111,'[1]Base de datos'!$B:$F,2,FALSE)</f>
        <v>Pelicula PVC 35 mic. CH 611 mm</v>
      </c>
      <c r="E111">
        <f>VLOOKUP(B111,'[1]Base de datos'!$B:$E,3,FALSE)</f>
        <v>2819</v>
      </c>
      <c r="F111">
        <f>VLOOKUP(B111,'[1]Base de datos'!$B:$E,4,FALSE)</f>
        <v>79.2</v>
      </c>
    </row>
    <row r="112" spans="1:6" x14ac:dyDescent="0.25">
      <c r="A112" s="18"/>
      <c r="B112" s="28">
        <v>200611030</v>
      </c>
      <c r="C112" s="19"/>
      <c r="D112" s="5" t="str">
        <f>VLOOKUP(B112,'[1]Base de datos'!$B:$F,2,FALSE)</f>
        <v>Pelicula PVC 35 mic. CH 611 mm</v>
      </c>
      <c r="E112">
        <f>VLOOKUP(B112,'[1]Base de datos'!$B:$E,3,FALSE)</f>
        <v>2822</v>
      </c>
      <c r="F112">
        <f>VLOOKUP(B112,'[1]Base de datos'!$B:$E,4,FALSE)</f>
        <v>81.400000000000006</v>
      </c>
    </row>
    <row r="113" spans="1:6" x14ac:dyDescent="0.25">
      <c r="A113" s="18"/>
      <c r="B113" s="28">
        <v>200611025</v>
      </c>
      <c r="C113" s="19"/>
      <c r="D113" s="5" t="str">
        <f>VLOOKUP(B113,'[1]Base de datos'!$B:$F,2,FALSE)</f>
        <v>Pelicula PVC 35 mic. CH 611 mm</v>
      </c>
      <c r="E113">
        <f>VLOOKUP(B113,'[1]Base de datos'!$B:$E,3,FALSE)</f>
        <v>2805</v>
      </c>
      <c r="F113">
        <f>VLOOKUP(B113,'[1]Base de datos'!$B:$E,4,FALSE)</f>
        <v>76.599999999999994</v>
      </c>
    </row>
    <row r="114" spans="1:6" x14ac:dyDescent="0.25">
      <c r="A114" s="18"/>
      <c r="B114" s="28">
        <v>200611102</v>
      </c>
      <c r="C114" s="19"/>
      <c r="D114" s="5" t="str">
        <f>VLOOKUP(B114,'[1]Base de datos'!$B:$F,2,FALSE)</f>
        <v>Pelicula PVC 35 mic. CH 611 mm</v>
      </c>
      <c r="E114">
        <f>VLOOKUP(B114,'[1]Base de datos'!$B:$E,3,FALSE)</f>
        <v>2997</v>
      </c>
      <c r="F114">
        <f>VLOOKUP(B114,'[1]Base de datos'!$B:$E,4,FALSE)</f>
        <v>85.3</v>
      </c>
    </row>
    <row r="115" spans="1:6" x14ac:dyDescent="0.25">
      <c r="A115" s="18"/>
      <c r="B115" s="28">
        <v>200611023</v>
      </c>
      <c r="C115" s="19"/>
      <c r="D115" s="5" t="str">
        <f>VLOOKUP(B115,'[1]Base de datos'!$B:$F,2,FALSE)</f>
        <v>Pelicula PVC 35 mic. CH 611 mm</v>
      </c>
      <c r="E115">
        <f>VLOOKUP(B115,'[1]Base de datos'!$B:$E,3,FALSE)</f>
        <v>2890</v>
      </c>
      <c r="F115">
        <f>VLOOKUP(B115,'[1]Base de datos'!$B:$E,4,FALSE)</f>
        <v>82.6</v>
      </c>
    </row>
    <row r="116" spans="1:6" x14ac:dyDescent="0.25">
      <c r="A116" s="18"/>
      <c r="B116" s="28">
        <v>200611029</v>
      </c>
      <c r="C116" s="19"/>
      <c r="D116" s="5" t="str">
        <f>VLOOKUP(B116,'[1]Base de datos'!$B:$F,2,FALSE)</f>
        <v>Pelicula PVC 35 mic. CH 611 mm</v>
      </c>
      <c r="E116">
        <f>VLOOKUP(B116,'[1]Base de datos'!$B:$E,3,FALSE)</f>
        <v>2822</v>
      </c>
      <c r="F116">
        <f>VLOOKUP(B116,'[1]Base de datos'!$B:$E,4,FALSE)</f>
        <v>81.900000000000006</v>
      </c>
    </row>
    <row r="117" spans="1:6" x14ac:dyDescent="0.25">
      <c r="A117" s="18"/>
      <c r="B117" s="28">
        <v>200611028</v>
      </c>
      <c r="C117" s="19"/>
      <c r="D117" s="5" t="str">
        <f>VLOOKUP(B117,'[1]Base de datos'!$B:$F,2,FALSE)</f>
        <v>Pelicula PVC 35 mic. CH 611 mm</v>
      </c>
      <c r="E117">
        <f>VLOOKUP(B117,'[1]Base de datos'!$B:$E,3,FALSE)</f>
        <v>2822</v>
      </c>
      <c r="F117">
        <f>VLOOKUP(B117,'[1]Base de datos'!$B:$E,4,FALSE)</f>
        <v>81.400000000000006</v>
      </c>
    </row>
    <row r="118" spans="1:6" x14ac:dyDescent="0.25">
      <c r="A118" s="18"/>
      <c r="B118" s="28">
        <v>200611122</v>
      </c>
      <c r="C118" s="19"/>
      <c r="D118" s="5" t="str">
        <f>VLOOKUP(B118,'[1]Base de datos'!$B:$F,2,FALSE)</f>
        <v>Pelicula PVC 35 mic. CH 611 mm</v>
      </c>
      <c r="E118">
        <f>VLOOKUP(B118,'[1]Base de datos'!$B:$E,3,FALSE)</f>
        <v>2834</v>
      </c>
      <c r="F118">
        <f>VLOOKUP(B118,'[1]Base de datos'!$B:$E,4,FALSE)</f>
        <v>81</v>
      </c>
    </row>
    <row r="119" spans="1:6" x14ac:dyDescent="0.25">
      <c r="A119" s="18"/>
      <c r="B119" s="28"/>
      <c r="C119" s="19"/>
      <c r="D119" s="5" t="e">
        <f>VLOOKUP(B119,'[1]Base de datos'!$B:$F,2,FALSE)</f>
        <v>#N/A</v>
      </c>
      <c r="E119" t="e">
        <f>VLOOKUP(B119,'[1]Base de datos'!$B:$E,3,FALSE)</f>
        <v>#N/A</v>
      </c>
      <c r="F119" t="e">
        <f>VLOOKUP(B119,'[1]Base de datos'!$B:$E,4,FALSE)</f>
        <v>#N/A</v>
      </c>
    </row>
    <row r="120" spans="1:6" x14ac:dyDescent="0.25">
      <c r="A120" s="18"/>
      <c r="B120" s="28"/>
      <c r="C120" s="19"/>
      <c r="D120" s="5" t="e">
        <f>VLOOKUP(B120,'[1]Base de datos'!$B:$F,2,FALSE)</f>
        <v>#N/A</v>
      </c>
      <c r="E120" t="e">
        <f>VLOOKUP(B120,'[1]Base de datos'!$B:$E,3,FALSE)</f>
        <v>#N/A</v>
      </c>
      <c r="F120" t="e">
        <f>VLOOKUP(B120,'[1]Base de datos'!$B:$E,4,FALSE)</f>
        <v>#N/A</v>
      </c>
    </row>
    <row r="121" spans="1:6" x14ac:dyDescent="0.25">
      <c r="A121" s="18"/>
      <c r="B121" s="28"/>
      <c r="C121" s="19"/>
      <c r="D121" s="5" t="e">
        <f>VLOOKUP(B121,'[1]Base de datos'!$B:$F,2,FALSE)</f>
        <v>#N/A</v>
      </c>
      <c r="E121" t="e">
        <f>VLOOKUP(B121,'[1]Base de datos'!$B:$E,3,FALSE)</f>
        <v>#N/A</v>
      </c>
      <c r="F121" t="e">
        <f>VLOOKUP(B121,'[1]Base de datos'!$B:$E,4,FALSE)</f>
        <v>#N/A</v>
      </c>
    </row>
    <row r="122" spans="1:6" x14ac:dyDescent="0.25">
      <c r="A122" s="18"/>
      <c r="B122" s="28"/>
      <c r="C122" s="19"/>
      <c r="D122" s="5" t="e">
        <f>VLOOKUP(B122,'[1]Base de datos'!$B:$F,2,FALSE)</f>
        <v>#N/A</v>
      </c>
      <c r="E122" t="e">
        <f>VLOOKUP(B122,'[1]Base de datos'!$B:$E,3,FALSE)</f>
        <v>#N/A</v>
      </c>
      <c r="F122" t="e">
        <f>VLOOKUP(B122,'[1]Base de datos'!$B:$E,4,FALSE)</f>
        <v>#N/A</v>
      </c>
    </row>
    <row r="123" spans="1:6" x14ac:dyDescent="0.25">
      <c r="A123" s="18"/>
      <c r="B123" s="28"/>
      <c r="C123" s="19"/>
      <c r="D123" s="5" t="e">
        <f>VLOOKUP(B123,'[1]Base de datos'!$B:$F,2,FALSE)</f>
        <v>#N/A</v>
      </c>
      <c r="E123" t="e">
        <f>VLOOKUP(B123,'[1]Base de datos'!$B:$E,3,FALSE)</f>
        <v>#N/A</v>
      </c>
      <c r="F123" t="e">
        <f>VLOOKUP(B123,'[1]Base de datos'!$B:$E,4,FALSE)</f>
        <v>#N/A</v>
      </c>
    </row>
    <row r="124" spans="1:6" x14ac:dyDescent="0.25">
      <c r="A124" s="18"/>
      <c r="B124" s="28"/>
      <c r="C124" s="19"/>
      <c r="D124" s="5" t="e">
        <f>VLOOKUP(B124,'[1]Base de datos'!$B:$F,2,FALSE)</f>
        <v>#N/A</v>
      </c>
      <c r="E124" t="e">
        <f>VLOOKUP(B124,'[1]Base de datos'!$B:$E,3,FALSE)</f>
        <v>#N/A</v>
      </c>
      <c r="F124" t="e">
        <f>VLOOKUP(B124,'[1]Base de datos'!$B:$E,4,FALSE)</f>
        <v>#N/A</v>
      </c>
    </row>
    <row r="125" spans="1:6" x14ac:dyDescent="0.25">
      <c r="A125" s="18"/>
      <c r="B125" s="28"/>
      <c r="C125" s="19"/>
      <c r="D125" s="5" t="e">
        <f>VLOOKUP(B125,'[1]Base de datos'!$B:$F,2,FALSE)</f>
        <v>#N/A</v>
      </c>
      <c r="E125" t="e">
        <f>VLOOKUP(B125,'[1]Base de datos'!$B:$E,3,FALSE)</f>
        <v>#N/A</v>
      </c>
      <c r="F125" t="e">
        <f>VLOOKUP(B125,'[1]Base de datos'!$B:$E,4,FALSE)</f>
        <v>#N/A</v>
      </c>
    </row>
    <row r="126" spans="1:6" x14ac:dyDescent="0.25">
      <c r="A126" s="18"/>
      <c r="B126" s="28"/>
      <c r="C126" s="19"/>
      <c r="D126" s="5" t="e">
        <f>VLOOKUP(B126,'[1]Base de datos'!$B:$F,2,FALSE)</f>
        <v>#N/A</v>
      </c>
      <c r="E126" t="e">
        <f>VLOOKUP(B126,'[1]Base de datos'!$B:$E,3,FALSE)</f>
        <v>#N/A</v>
      </c>
      <c r="F126" t="e">
        <f>VLOOKUP(B126,'[1]Base de datos'!$B:$E,4,FALSE)</f>
        <v>#N/A</v>
      </c>
    </row>
    <row r="127" spans="1:6" x14ac:dyDescent="0.25">
      <c r="A127" s="18"/>
      <c r="B127" s="28"/>
      <c r="C127" s="19"/>
      <c r="D127" s="5" t="e">
        <f>VLOOKUP(B127,'[1]Base de datos'!$B:$F,2,FALSE)</f>
        <v>#N/A</v>
      </c>
      <c r="E127" t="e">
        <f>VLOOKUP(B127,'[1]Base de datos'!$B:$E,3,FALSE)</f>
        <v>#N/A</v>
      </c>
      <c r="F127" t="e">
        <f>VLOOKUP(B127,'[1]Base de datos'!$B:$E,4,FALSE)</f>
        <v>#N/A</v>
      </c>
    </row>
    <row r="128" spans="1:6" x14ac:dyDescent="0.25">
      <c r="A128" s="18"/>
      <c r="B128" s="28"/>
      <c r="C128" s="19"/>
      <c r="D128" s="5" t="e">
        <f>VLOOKUP(B128,'[1]Base de datos'!$B:$F,2,FALSE)</f>
        <v>#N/A</v>
      </c>
      <c r="E128" t="e">
        <f>VLOOKUP(B128,'[1]Base de datos'!$B:$E,3,FALSE)</f>
        <v>#N/A</v>
      </c>
      <c r="F128" t="e">
        <f>VLOOKUP(B128,'[1]Base de datos'!$B:$E,4,FALSE)</f>
        <v>#N/A</v>
      </c>
    </row>
    <row r="129" spans="1:6" x14ac:dyDescent="0.25">
      <c r="A129" s="18"/>
      <c r="B129" s="28"/>
      <c r="C129" s="19"/>
      <c r="D129" s="5" t="e">
        <f>VLOOKUP(B129,'[1]Base de datos'!$B:$F,2,FALSE)</f>
        <v>#N/A</v>
      </c>
      <c r="E129" t="e">
        <f>VLOOKUP(B129,'[1]Base de datos'!$B:$E,3,FALSE)</f>
        <v>#N/A</v>
      </c>
      <c r="F129" t="e">
        <f>VLOOKUP(B129,'[1]Base de datos'!$B:$E,4,FALSE)</f>
        <v>#N/A</v>
      </c>
    </row>
    <row r="130" spans="1:6" x14ac:dyDescent="0.25">
      <c r="A130" s="18"/>
      <c r="B130" s="28"/>
      <c r="C130" s="19"/>
      <c r="D130" s="5" t="e">
        <f>VLOOKUP(B130,'[1]Base de datos'!$B:$F,2,FALSE)</f>
        <v>#N/A</v>
      </c>
      <c r="E130" t="e">
        <f>VLOOKUP(B130,'[1]Base de datos'!$B:$E,3,FALSE)</f>
        <v>#N/A</v>
      </c>
      <c r="F130" t="e">
        <f>VLOOKUP(B130,'[1]Base de datos'!$B:$E,4,FALSE)</f>
        <v>#N/A</v>
      </c>
    </row>
    <row r="131" spans="1:6" x14ac:dyDescent="0.25">
      <c r="A131" s="18"/>
      <c r="B131" s="28"/>
      <c r="C131" s="19"/>
      <c r="D131" s="5" t="e">
        <f>VLOOKUP(B131,'[1]Base de datos'!$B:$F,2,FALSE)</f>
        <v>#N/A</v>
      </c>
      <c r="E131" t="e">
        <f>VLOOKUP(B131,'[1]Base de datos'!$B:$E,3,FALSE)</f>
        <v>#N/A</v>
      </c>
      <c r="F131" t="e">
        <f>VLOOKUP(B131,'[1]Base de datos'!$B:$E,4,FALSE)</f>
        <v>#N/A</v>
      </c>
    </row>
    <row r="132" spans="1:6" x14ac:dyDescent="0.25">
      <c r="A132" s="18"/>
      <c r="B132" s="28"/>
      <c r="C132" s="19"/>
      <c r="D132" s="5" t="e">
        <f>VLOOKUP(B132,'[1]Base de datos'!$B:$F,2,FALSE)</f>
        <v>#N/A</v>
      </c>
      <c r="E132" t="e">
        <f>VLOOKUP(B132,'[1]Base de datos'!$B:$E,3,FALSE)</f>
        <v>#N/A</v>
      </c>
      <c r="F132" t="e">
        <f>VLOOKUP(B132,'[1]Base de datos'!$B:$E,4,FALSE)</f>
        <v>#N/A</v>
      </c>
    </row>
    <row r="133" spans="1:6" x14ac:dyDescent="0.25">
      <c r="A133" s="18"/>
      <c r="B133" s="28"/>
      <c r="C133" s="19"/>
      <c r="D133" s="5" t="e">
        <f>VLOOKUP(B133,'[1]Base de datos'!$B:$F,2,FALSE)</f>
        <v>#N/A</v>
      </c>
      <c r="E133" t="e">
        <f>VLOOKUP(B133,'[1]Base de datos'!$B:$E,3,FALSE)</f>
        <v>#N/A</v>
      </c>
      <c r="F133" t="e">
        <f>VLOOKUP(B133,'[1]Base de datos'!$B:$E,4,FALSE)</f>
        <v>#N/A</v>
      </c>
    </row>
    <row r="134" spans="1:6" x14ac:dyDescent="0.25">
      <c r="A134" s="18"/>
      <c r="B134" s="28"/>
      <c r="C134" s="19"/>
      <c r="D134" s="5" t="e">
        <f>VLOOKUP(B134,'[1]Base de datos'!$B:$F,2,FALSE)</f>
        <v>#N/A</v>
      </c>
      <c r="E134" t="e">
        <f>VLOOKUP(B134,'[1]Base de datos'!$B:$E,3,FALSE)</f>
        <v>#N/A</v>
      </c>
      <c r="F134" t="e">
        <f>VLOOKUP(B134,'[1]Base de datos'!$B:$E,4,FALSE)</f>
        <v>#N/A</v>
      </c>
    </row>
    <row r="135" spans="1:6" x14ac:dyDescent="0.25">
      <c r="A135" s="18"/>
      <c r="B135" s="28"/>
      <c r="C135" s="19"/>
      <c r="D135" s="5" t="e">
        <f>VLOOKUP(B135,'[1]Base de datos'!$B:$F,2,FALSE)</f>
        <v>#N/A</v>
      </c>
      <c r="E135" t="e">
        <f>VLOOKUP(B135,'[1]Base de datos'!$B:$E,3,FALSE)</f>
        <v>#N/A</v>
      </c>
      <c r="F135" t="e">
        <f>VLOOKUP(B135,'[1]Base de datos'!$B:$E,4,FALSE)</f>
        <v>#N/A</v>
      </c>
    </row>
    <row r="136" spans="1:6" x14ac:dyDescent="0.25">
      <c r="A136" s="18"/>
      <c r="B136" s="28"/>
      <c r="C136" s="19"/>
      <c r="D136" s="5" t="e">
        <f>VLOOKUP(B136,'[1]Base de datos'!$B:$F,2,FALSE)</f>
        <v>#N/A</v>
      </c>
      <c r="E136" t="e">
        <f>VLOOKUP(B136,'[1]Base de datos'!$B:$E,3,FALSE)</f>
        <v>#N/A</v>
      </c>
      <c r="F136" t="e">
        <f>VLOOKUP(B136,'[1]Base de datos'!$B:$E,4,FALSE)</f>
        <v>#N/A</v>
      </c>
    </row>
    <row r="137" spans="1:6" x14ac:dyDescent="0.25">
      <c r="A137" s="18"/>
      <c r="B137" s="28"/>
      <c r="C137" s="19"/>
      <c r="D137" s="5" t="e">
        <f>VLOOKUP(B137,'[1]Base de datos'!$B:$F,2,FALSE)</f>
        <v>#N/A</v>
      </c>
      <c r="E137" t="e">
        <f>VLOOKUP(B137,'[1]Base de datos'!$B:$E,3,FALSE)</f>
        <v>#N/A</v>
      </c>
      <c r="F137" t="e">
        <f>VLOOKUP(B137,'[1]Base de datos'!$B:$E,4,FALSE)</f>
        <v>#N/A</v>
      </c>
    </row>
    <row r="138" spans="1:6" x14ac:dyDescent="0.25">
      <c r="A138" s="18"/>
      <c r="B138" s="28"/>
      <c r="C138" s="19"/>
      <c r="D138" s="5" t="e">
        <f>VLOOKUP(B138,'[1]Base de datos'!$B:$F,2,FALSE)</f>
        <v>#N/A</v>
      </c>
      <c r="E138" t="e">
        <f>VLOOKUP(B138,'[1]Base de datos'!$B:$E,3,FALSE)</f>
        <v>#N/A</v>
      </c>
      <c r="F138" t="e">
        <f>VLOOKUP(B138,'[1]Base de datos'!$B:$E,4,FALSE)</f>
        <v>#N/A</v>
      </c>
    </row>
    <row r="139" spans="1:6" x14ac:dyDescent="0.25">
      <c r="A139" s="18"/>
      <c r="B139" s="28"/>
      <c r="C139" s="19"/>
      <c r="D139" s="5" t="e">
        <f>VLOOKUP(B139,'[1]Base de datos'!$B:$F,2,FALSE)</f>
        <v>#N/A</v>
      </c>
      <c r="E139" t="e">
        <f>VLOOKUP(B139,'[1]Base de datos'!$B:$E,3,FALSE)</f>
        <v>#N/A</v>
      </c>
      <c r="F139" t="e">
        <f>VLOOKUP(B139,'[1]Base de datos'!$B:$E,4,FALSE)</f>
        <v>#N/A</v>
      </c>
    </row>
    <row r="140" spans="1:6" x14ac:dyDescent="0.25">
      <c r="A140" s="18"/>
      <c r="B140" s="28"/>
      <c r="C140" s="19"/>
      <c r="D140" s="5" t="e">
        <f>VLOOKUP(B140,'[1]Base de datos'!$B:$F,2,FALSE)</f>
        <v>#N/A</v>
      </c>
      <c r="E140" t="e">
        <f>VLOOKUP(B140,'[1]Base de datos'!$B:$E,3,FALSE)</f>
        <v>#N/A</v>
      </c>
      <c r="F140" t="e">
        <f>VLOOKUP(B140,'[1]Base de datos'!$B:$E,4,FALSE)</f>
        <v>#N/A</v>
      </c>
    </row>
    <row r="141" spans="1:6" x14ac:dyDescent="0.25">
      <c r="A141" s="18"/>
      <c r="B141" s="28"/>
      <c r="C141" s="19"/>
      <c r="D141" s="5" t="e">
        <f>VLOOKUP(B141,'[1]Base de datos'!$B:$F,2,FALSE)</f>
        <v>#N/A</v>
      </c>
      <c r="E141" t="e">
        <f>VLOOKUP(B141,'[1]Base de datos'!$B:$E,3,FALSE)</f>
        <v>#N/A</v>
      </c>
      <c r="F141" t="e">
        <f>VLOOKUP(B141,'[1]Base de datos'!$B:$E,4,FALSE)</f>
        <v>#N/A</v>
      </c>
    </row>
    <row r="142" spans="1:6" x14ac:dyDescent="0.25">
      <c r="A142" s="18"/>
      <c r="B142" s="28"/>
      <c r="C142" s="19"/>
      <c r="D142" s="5" t="e">
        <f>VLOOKUP(B142,'[1]Base de datos'!$B:$F,2,FALSE)</f>
        <v>#N/A</v>
      </c>
      <c r="E142" t="e">
        <f>VLOOKUP(B142,'[1]Base de datos'!$B:$E,3,FALSE)</f>
        <v>#N/A</v>
      </c>
      <c r="F142" t="e">
        <f>VLOOKUP(B142,'[1]Base de datos'!$B:$E,4,FALSE)</f>
        <v>#N/A</v>
      </c>
    </row>
    <row r="143" spans="1:6" x14ac:dyDescent="0.25">
      <c r="A143" s="18"/>
      <c r="B143" s="28"/>
      <c r="C143" s="19"/>
      <c r="D143" s="5" t="e">
        <f>VLOOKUP(B143,'[1]Base de datos'!$B:$F,2,FALSE)</f>
        <v>#N/A</v>
      </c>
      <c r="E143" t="e">
        <f>VLOOKUP(B143,'[1]Base de datos'!$B:$E,3,FALSE)</f>
        <v>#N/A</v>
      </c>
      <c r="F143" t="e">
        <f>VLOOKUP(B143,'[1]Base de datos'!$B:$E,4,FALSE)</f>
        <v>#N/A</v>
      </c>
    </row>
    <row r="144" spans="1:6" x14ac:dyDescent="0.25">
      <c r="A144" s="18"/>
      <c r="B144" s="28"/>
      <c r="C144" s="19"/>
      <c r="D144" s="5" t="e">
        <f>VLOOKUP(B144,'[1]Base de datos'!$B:$F,2,FALSE)</f>
        <v>#N/A</v>
      </c>
      <c r="E144" t="e">
        <f>VLOOKUP(B144,'[1]Base de datos'!$B:$E,3,FALSE)</f>
        <v>#N/A</v>
      </c>
      <c r="F144" t="e">
        <f>VLOOKUP(B144,'[1]Base de datos'!$B:$E,4,FALSE)</f>
        <v>#N/A</v>
      </c>
    </row>
    <row r="145" spans="1:6" x14ac:dyDescent="0.25">
      <c r="A145" s="18"/>
      <c r="B145" s="28"/>
      <c r="C145" s="19"/>
      <c r="D145" s="5" t="e">
        <f>VLOOKUP(B145,'[1]Base de datos'!$B:$F,2,FALSE)</f>
        <v>#N/A</v>
      </c>
      <c r="E145" t="e">
        <f>VLOOKUP(B145,'[1]Base de datos'!$B:$E,3,FALSE)</f>
        <v>#N/A</v>
      </c>
      <c r="F145" t="e">
        <f>VLOOKUP(B145,'[1]Base de datos'!$B:$E,4,FALSE)</f>
        <v>#N/A</v>
      </c>
    </row>
    <row r="146" spans="1:6" x14ac:dyDescent="0.25">
      <c r="A146" s="18"/>
      <c r="B146" s="28"/>
      <c r="C146" s="19"/>
      <c r="D146" s="5" t="e">
        <f>VLOOKUP(B146,'[1]Base de datos'!$B:$F,2,FALSE)</f>
        <v>#N/A</v>
      </c>
      <c r="E146" t="e">
        <f>VLOOKUP(B146,'[1]Base de datos'!$B:$E,3,FALSE)</f>
        <v>#N/A</v>
      </c>
      <c r="F146" t="e">
        <f>VLOOKUP(B146,'[1]Base de datos'!$B:$E,4,FALSE)</f>
        <v>#N/A</v>
      </c>
    </row>
    <row r="147" spans="1:6" x14ac:dyDescent="0.25">
      <c r="A147" s="18"/>
      <c r="B147" s="28"/>
      <c r="C147" s="19"/>
      <c r="D147" s="5" t="e">
        <f>VLOOKUP(B147,'[1]Base de datos'!$B:$F,2,FALSE)</f>
        <v>#N/A</v>
      </c>
      <c r="E147" t="e">
        <f>VLOOKUP(B147,'[1]Base de datos'!$B:$E,3,FALSE)</f>
        <v>#N/A</v>
      </c>
      <c r="F147" t="e">
        <f>VLOOKUP(B147,'[1]Base de datos'!$B:$E,4,FALSE)</f>
        <v>#N/A</v>
      </c>
    </row>
    <row r="148" spans="1:6" x14ac:dyDescent="0.25">
      <c r="A148" s="18"/>
      <c r="B148" s="28"/>
      <c r="C148" s="19"/>
      <c r="D148" s="5" t="e">
        <f>VLOOKUP(B148,'[1]Base de datos'!$B:$F,2,FALSE)</f>
        <v>#N/A</v>
      </c>
      <c r="E148" t="e">
        <f>VLOOKUP(B148,'[1]Base de datos'!$B:$E,3,FALSE)</f>
        <v>#N/A</v>
      </c>
      <c r="F148" t="e">
        <f>VLOOKUP(B148,'[1]Base de datos'!$B:$E,4,FALSE)</f>
        <v>#N/A</v>
      </c>
    </row>
    <row r="149" spans="1:6" x14ac:dyDescent="0.25">
      <c r="A149" s="18"/>
      <c r="B149" s="28"/>
      <c r="C149" s="19"/>
      <c r="D149" s="5" t="e">
        <f>VLOOKUP(B149,'[1]Base de datos'!$B:$F,2,FALSE)</f>
        <v>#N/A</v>
      </c>
      <c r="E149" t="e">
        <f>VLOOKUP(B149,'[1]Base de datos'!$B:$E,3,FALSE)</f>
        <v>#N/A</v>
      </c>
      <c r="F149" t="e">
        <f>VLOOKUP(B149,'[1]Base de datos'!$B:$E,4,FALSE)</f>
        <v>#N/A</v>
      </c>
    </row>
    <row r="150" spans="1:6" x14ac:dyDescent="0.25">
      <c r="A150" s="18"/>
      <c r="B150" s="28"/>
      <c r="C150" s="19"/>
      <c r="D150" s="5" t="e">
        <f>VLOOKUP(B150,'[1]Base de datos'!$B:$F,2,FALSE)</f>
        <v>#N/A</v>
      </c>
      <c r="E150" t="e">
        <f>VLOOKUP(B150,'[1]Base de datos'!$B:$E,3,FALSE)</f>
        <v>#N/A</v>
      </c>
      <c r="F150" t="e">
        <f>VLOOKUP(B150,'[1]Base de datos'!$B:$E,4,FALSE)</f>
        <v>#N/A</v>
      </c>
    </row>
    <row r="151" spans="1:6" x14ac:dyDescent="0.25">
      <c r="A151" s="18"/>
      <c r="B151" s="28"/>
      <c r="C151" s="19"/>
      <c r="D151" s="5" t="e">
        <f>VLOOKUP(B151,'[1]Base de datos'!$B:$F,2,FALSE)</f>
        <v>#N/A</v>
      </c>
      <c r="E151" t="e">
        <f>VLOOKUP(B151,'[1]Base de datos'!$B:$E,3,FALSE)</f>
        <v>#N/A</v>
      </c>
      <c r="F151" t="e">
        <f>VLOOKUP(B151,'[1]Base de datos'!$B:$E,4,FALSE)</f>
        <v>#N/A</v>
      </c>
    </row>
    <row r="152" spans="1:6" x14ac:dyDescent="0.25">
      <c r="A152" s="18"/>
      <c r="B152" s="28"/>
      <c r="C152" s="19"/>
      <c r="D152" s="5" t="e">
        <f>VLOOKUP(B152,'[1]Base de datos'!$B:$F,2,FALSE)</f>
        <v>#N/A</v>
      </c>
      <c r="E152" t="e">
        <f>VLOOKUP(B152,'[1]Base de datos'!$B:$E,3,FALSE)</f>
        <v>#N/A</v>
      </c>
      <c r="F152" t="e">
        <f>VLOOKUP(B152,'[1]Base de datos'!$B:$E,4,FALSE)</f>
        <v>#N/A</v>
      </c>
    </row>
    <row r="153" spans="1:6" x14ac:dyDescent="0.25">
      <c r="A153" s="18"/>
      <c r="B153" s="28"/>
      <c r="C153" s="19"/>
      <c r="D153" s="5" t="e">
        <f>VLOOKUP(B153,'[1]Base de datos'!$B:$F,2,FALSE)</f>
        <v>#N/A</v>
      </c>
      <c r="E153" t="e">
        <f>VLOOKUP(B153,'[1]Base de datos'!$B:$E,3,FALSE)</f>
        <v>#N/A</v>
      </c>
      <c r="F153" t="e">
        <f>VLOOKUP(B153,'[1]Base de datos'!$B:$E,4,FALSE)</f>
        <v>#N/A</v>
      </c>
    </row>
    <row r="154" spans="1:6" x14ac:dyDescent="0.25">
      <c r="A154" s="18"/>
      <c r="B154" s="28"/>
      <c r="C154" s="19"/>
      <c r="D154" s="5" t="e">
        <f>VLOOKUP(B154,'[1]Base de datos'!$B:$F,2,FALSE)</f>
        <v>#N/A</v>
      </c>
      <c r="E154" t="e">
        <f>VLOOKUP(B154,'[1]Base de datos'!$B:$E,3,FALSE)</f>
        <v>#N/A</v>
      </c>
      <c r="F154" t="e">
        <f>VLOOKUP(B154,'[1]Base de datos'!$B:$E,4,FALSE)</f>
        <v>#N/A</v>
      </c>
    </row>
    <row r="155" spans="1:6" x14ac:dyDescent="0.25">
      <c r="A155" s="18"/>
      <c r="B155" s="28"/>
      <c r="C155" s="19"/>
      <c r="D155" s="5" t="e">
        <f>VLOOKUP(B155,'[1]Base de datos'!$B:$F,2,FALSE)</f>
        <v>#N/A</v>
      </c>
      <c r="E155" t="e">
        <f>VLOOKUP(B155,'[1]Base de datos'!$B:$E,3,FALSE)</f>
        <v>#N/A</v>
      </c>
      <c r="F155" t="e">
        <f>VLOOKUP(B155,'[1]Base de datos'!$B:$E,4,FALSE)</f>
        <v>#N/A</v>
      </c>
    </row>
    <row r="156" spans="1:6" x14ac:dyDescent="0.25">
      <c r="A156" s="18"/>
      <c r="B156" s="28"/>
      <c r="C156" s="19"/>
      <c r="D156" s="5" t="e">
        <f>VLOOKUP(B156,'[1]Base de datos'!$B:$F,2,FALSE)</f>
        <v>#N/A</v>
      </c>
      <c r="E156" t="e">
        <f>VLOOKUP(B156,'[1]Base de datos'!$B:$E,3,FALSE)</f>
        <v>#N/A</v>
      </c>
      <c r="F156" t="e">
        <f>VLOOKUP(B156,'[1]Base de datos'!$B:$E,4,FALSE)</f>
        <v>#N/A</v>
      </c>
    </row>
    <row r="157" spans="1:6" x14ac:dyDescent="0.25">
      <c r="A157" s="18"/>
      <c r="B157" s="28"/>
      <c r="C157" s="19"/>
      <c r="D157" s="5" t="e">
        <f>VLOOKUP(B157,'[1]Base de datos'!$B:$F,2,FALSE)</f>
        <v>#N/A</v>
      </c>
      <c r="E157" t="e">
        <f>VLOOKUP(B157,'[1]Base de datos'!$B:$E,3,FALSE)</f>
        <v>#N/A</v>
      </c>
      <c r="F157" t="e">
        <f>VLOOKUP(B157,'[1]Base de datos'!$B:$E,4,FALSE)</f>
        <v>#N/A</v>
      </c>
    </row>
    <row r="158" spans="1:6" x14ac:dyDescent="0.25">
      <c r="A158" s="18"/>
      <c r="B158" s="28"/>
      <c r="C158" s="19"/>
      <c r="D158" s="5" t="e">
        <f>VLOOKUP(B158,'[1]Base de datos'!$B:$F,2,FALSE)</f>
        <v>#N/A</v>
      </c>
      <c r="E158" t="e">
        <f>VLOOKUP(B158,'[1]Base de datos'!$B:$E,3,FALSE)</f>
        <v>#N/A</v>
      </c>
      <c r="F158" t="e">
        <f>VLOOKUP(B158,'[1]Base de datos'!$B:$E,4,FALSE)</f>
        <v>#N/A</v>
      </c>
    </row>
    <row r="159" spans="1:6" x14ac:dyDescent="0.25">
      <c r="A159" s="18"/>
      <c r="B159" s="28"/>
      <c r="C159" s="19"/>
      <c r="D159" s="5" t="e">
        <f>VLOOKUP(B159,'[1]Base de datos'!$B:$F,2,FALSE)</f>
        <v>#N/A</v>
      </c>
      <c r="E159" t="e">
        <f>VLOOKUP(B159,'[1]Base de datos'!$B:$E,3,FALSE)</f>
        <v>#N/A</v>
      </c>
      <c r="F159" t="e">
        <f>VLOOKUP(B159,'[1]Base de datos'!$B:$E,4,FALSE)</f>
        <v>#N/A</v>
      </c>
    </row>
    <row r="160" spans="1:6" x14ac:dyDescent="0.25">
      <c r="A160" s="18"/>
      <c r="B160" s="28"/>
      <c r="C160" s="19"/>
      <c r="D160" s="5" t="e">
        <f>VLOOKUP(B160,'[1]Base de datos'!$B:$F,2,FALSE)</f>
        <v>#N/A</v>
      </c>
      <c r="E160" t="e">
        <f>VLOOKUP(B160,'[1]Base de datos'!$B:$E,3,FALSE)</f>
        <v>#N/A</v>
      </c>
      <c r="F160" t="e">
        <f>VLOOKUP(B160,'[1]Base de datos'!$B:$E,4,FALSE)</f>
        <v>#N/A</v>
      </c>
    </row>
    <row r="161" spans="1:6" x14ac:dyDescent="0.25">
      <c r="A161" s="18"/>
      <c r="B161" s="28"/>
      <c r="C161" s="19"/>
      <c r="D161" s="5" t="e">
        <f>VLOOKUP(B161,'[1]Base de datos'!$B:$F,2,FALSE)</f>
        <v>#N/A</v>
      </c>
      <c r="E161" t="e">
        <f>VLOOKUP(B161,'[1]Base de datos'!$B:$E,3,FALSE)</f>
        <v>#N/A</v>
      </c>
      <c r="F161" t="e">
        <f>VLOOKUP(B161,'[1]Base de datos'!$B:$E,4,FALSE)</f>
        <v>#N/A</v>
      </c>
    </row>
    <row r="162" spans="1:6" x14ac:dyDescent="0.25">
      <c r="A162" s="18"/>
      <c r="B162" s="28"/>
      <c r="C162" s="19"/>
      <c r="D162" s="5" t="e">
        <f>VLOOKUP(B162,'[1]Base de datos'!$B:$F,2,FALSE)</f>
        <v>#N/A</v>
      </c>
      <c r="E162" t="e">
        <f>VLOOKUP(B162,'[1]Base de datos'!$B:$E,3,FALSE)</f>
        <v>#N/A</v>
      </c>
      <c r="F162" t="e">
        <f>VLOOKUP(B162,'[1]Base de datos'!$B:$E,4,FALSE)</f>
        <v>#N/A</v>
      </c>
    </row>
    <row r="163" spans="1:6" x14ac:dyDescent="0.25">
      <c r="A163" s="18"/>
      <c r="B163" s="28"/>
      <c r="C163" s="19"/>
      <c r="D163" s="5" t="e">
        <f>VLOOKUP(B163,'[1]Base de datos'!$B:$F,2,FALSE)</f>
        <v>#N/A</v>
      </c>
      <c r="E163" t="e">
        <f>VLOOKUP(B163,'[1]Base de datos'!$B:$E,3,FALSE)</f>
        <v>#N/A</v>
      </c>
      <c r="F163" t="e">
        <f>VLOOKUP(B163,'[1]Base de datos'!$B:$E,4,FALSE)</f>
        <v>#N/A</v>
      </c>
    </row>
    <row r="164" spans="1:6" x14ac:dyDescent="0.25">
      <c r="A164" s="18"/>
      <c r="B164" s="28"/>
      <c r="C164" s="19"/>
      <c r="D164" s="5" t="e">
        <f>VLOOKUP(B164,'[1]Base de datos'!$B:$F,2,FALSE)</f>
        <v>#N/A</v>
      </c>
      <c r="E164" t="e">
        <f>VLOOKUP(B164,'[1]Base de datos'!$B:$E,3,FALSE)</f>
        <v>#N/A</v>
      </c>
      <c r="F164" t="e">
        <f>VLOOKUP(B164,'[1]Base de datos'!$B:$E,4,FALSE)</f>
        <v>#N/A</v>
      </c>
    </row>
    <row r="165" spans="1:6" x14ac:dyDescent="0.25">
      <c r="A165" s="18"/>
      <c r="B165" s="28"/>
      <c r="C165" s="19"/>
      <c r="D165" s="5" t="e">
        <f>VLOOKUP(B165,'[1]Base de datos'!$B:$F,2,FALSE)</f>
        <v>#N/A</v>
      </c>
      <c r="E165" t="e">
        <f>VLOOKUP(B165,'[1]Base de datos'!$B:$E,3,FALSE)</f>
        <v>#N/A</v>
      </c>
      <c r="F165" t="e">
        <f>VLOOKUP(B165,'[1]Base de datos'!$B:$E,4,FALSE)</f>
        <v>#N/A</v>
      </c>
    </row>
    <row r="166" spans="1:6" x14ac:dyDescent="0.25">
      <c r="A166" s="18"/>
      <c r="B166" s="28"/>
      <c r="C166" s="19"/>
      <c r="D166" s="5" t="e">
        <f>VLOOKUP(B166,'[1]Base de datos'!$B:$F,2,FALSE)</f>
        <v>#N/A</v>
      </c>
      <c r="E166" t="e">
        <f>VLOOKUP(B166,'[1]Base de datos'!$B:$E,3,FALSE)</f>
        <v>#N/A</v>
      </c>
      <c r="F166" t="e">
        <f>VLOOKUP(B166,'[1]Base de datos'!$B:$E,4,FALSE)</f>
        <v>#N/A</v>
      </c>
    </row>
    <row r="167" spans="1:6" x14ac:dyDescent="0.25">
      <c r="A167" s="18"/>
      <c r="B167" s="28"/>
      <c r="C167" s="19"/>
      <c r="D167" s="5" t="e">
        <f>VLOOKUP(B167,'[1]Base de datos'!$B:$F,2,FALSE)</f>
        <v>#N/A</v>
      </c>
      <c r="E167" t="e">
        <f>VLOOKUP(B167,'[1]Base de datos'!$B:$E,3,FALSE)</f>
        <v>#N/A</v>
      </c>
      <c r="F167" t="e">
        <f>VLOOKUP(B167,'[1]Base de datos'!$B:$E,4,FALSE)</f>
        <v>#N/A</v>
      </c>
    </row>
    <row r="168" spans="1:6" x14ac:dyDescent="0.25">
      <c r="A168" s="18"/>
      <c r="B168" s="28"/>
      <c r="C168" s="19"/>
      <c r="D168" s="5" t="e">
        <f>VLOOKUP(B168,'[1]Base de datos'!$B:$F,2,FALSE)</f>
        <v>#N/A</v>
      </c>
      <c r="E168" t="e">
        <f>VLOOKUP(B168,'[1]Base de datos'!$B:$E,3,FALSE)</f>
        <v>#N/A</v>
      </c>
      <c r="F168" t="e">
        <f>VLOOKUP(B168,'[1]Base de datos'!$B:$E,4,FALSE)</f>
        <v>#N/A</v>
      </c>
    </row>
    <row r="169" spans="1:6" x14ac:dyDescent="0.25">
      <c r="A169" s="18"/>
      <c r="B169" s="28"/>
      <c r="C169" s="19"/>
      <c r="D169" s="5" t="e">
        <f>VLOOKUP(B169,'[1]Base de datos'!$B:$F,2,FALSE)</f>
        <v>#N/A</v>
      </c>
      <c r="E169" t="e">
        <f>VLOOKUP(B169,'[1]Base de datos'!$B:$E,3,FALSE)</f>
        <v>#N/A</v>
      </c>
      <c r="F169" t="e">
        <f>VLOOKUP(B169,'[1]Base de datos'!$B:$E,4,FALSE)</f>
        <v>#N/A</v>
      </c>
    </row>
    <row r="170" spans="1:6" x14ac:dyDescent="0.25">
      <c r="A170" s="18"/>
      <c r="B170" s="28"/>
      <c r="C170" s="19"/>
      <c r="D170" s="5" t="e">
        <f>VLOOKUP(B170,'[1]Base de datos'!$B:$F,2,FALSE)</f>
        <v>#N/A</v>
      </c>
      <c r="E170" t="e">
        <f>VLOOKUP(B170,'[1]Base de datos'!$B:$E,3,FALSE)</f>
        <v>#N/A</v>
      </c>
      <c r="F170" t="e">
        <f>VLOOKUP(B170,'[1]Base de datos'!$B:$E,4,FALSE)</f>
        <v>#N/A</v>
      </c>
    </row>
    <row r="171" spans="1:6" x14ac:dyDescent="0.25">
      <c r="A171" s="18"/>
      <c r="B171" s="28"/>
      <c r="C171" s="19"/>
      <c r="D171" s="5" t="e">
        <f>VLOOKUP(B171,'[1]Base de datos'!$B:$F,2,FALSE)</f>
        <v>#N/A</v>
      </c>
      <c r="E171" t="e">
        <f>VLOOKUP(B171,'[1]Base de datos'!$B:$E,3,FALSE)</f>
        <v>#N/A</v>
      </c>
      <c r="F171" t="e">
        <f>VLOOKUP(B171,'[1]Base de datos'!$B:$E,4,FALSE)</f>
        <v>#N/A</v>
      </c>
    </row>
    <row r="172" spans="1:6" x14ac:dyDescent="0.25">
      <c r="A172" s="18"/>
      <c r="B172" s="28"/>
      <c r="C172" s="19"/>
      <c r="D172" s="5" t="e">
        <f>VLOOKUP(B172,'[1]Base de datos'!$B:$F,2,FALSE)</f>
        <v>#N/A</v>
      </c>
      <c r="E172" t="e">
        <f>VLOOKUP(B172,'[1]Base de datos'!$B:$E,3,FALSE)</f>
        <v>#N/A</v>
      </c>
      <c r="F172" t="e">
        <f>VLOOKUP(B172,'[1]Base de datos'!$B:$E,4,FALSE)</f>
        <v>#N/A</v>
      </c>
    </row>
    <row r="173" spans="1:6" x14ac:dyDescent="0.25">
      <c r="A173" s="18"/>
      <c r="B173" s="28"/>
      <c r="C173" s="19"/>
      <c r="D173" s="5" t="e">
        <f>VLOOKUP(B173,'[1]Base de datos'!$B:$F,2,FALSE)</f>
        <v>#N/A</v>
      </c>
      <c r="E173" t="e">
        <f>VLOOKUP(B173,'[1]Base de datos'!$B:$E,3,FALSE)</f>
        <v>#N/A</v>
      </c>
      <c r="F173" t="e">
        <f>VLOOKUP(B173,'[1]Base de datos'!$B:$E,4,FALSE)</f>
        <v>#N/A</v>
      </c>
    </row>
    <row r="174" spans="1:6" x14ac:dyDescent="0.25">
      <c r="A174" s="18"/>
      <c r="B174" s="28"/>
      <c r="C174" s="19"/>
      <c r="D174" s="5" t="e">
        <f>VLOOKUP(B174,'[1]Base de datos'!$B:$F,2,FALSE)</f>
        <v>#N/A</v>
      </c>
      <c r="E174" t="e">
        <f>VLOOKUP(B174,'[1]Base de datos'!$B:$E,3,FALSE)</f>
        <v>#N/A</v>
      </c>
      <c r="F174" t="e">
        <f>VLOOKUP(B174,'[1]Base de datos'!$B:$E,4,FALSE)</f>
        <v>#N/A</v>
      </c>
    </row>
    <row r="175" spans="1:6" x14ac:dyDescent="0.25">
      <c r="A175" s="18"/>
      <c r="B175" s="28"/>
      <c r="C175" s="19"/>
      <c r="D175" s="5" t="e">
        <f>VLOOKUP(B175,'[1]Base de datos'!$B:$F,2,FALSE)</f>
        <v>#N/A</v>
      </c>
      <c r="E175" t="e">
        <f>VLOOKUP(B175,'[1]Base de datos'!$B:$E,3,FALSE)</f>
        <v>#N/A</v>
      </c>
      <c r="F175" t="e">
        <f>VLOOKUP(B175,'[1]Base de datos'!$B:$E,4,FALSE)</f>
        <v>#N/A</v>
      </c>
    </row>
    <row r="176" spans="1:6" x14ac:dyDescent="0.25">
      <c r="A176" s="18"/>
      <c r="B176" s="28"/>
      <c r="C176" s="19"/>
      <c r="D176" s="5" t="e">
        <f>VLOOKUP(B176,'[1]Base de datos'!$B:$F,2,FALSE)</f>
        <v>#N/A</v>
      </c>
      <c r="E176" t="e">
        <f>VLOOKUP(B176,'[1]Base de datos'!$B:$E,3,FALSE)</f>
        <v>#N/A</v>
      </c>
      <c r="F176" t="e">
        <f>VLOOKUP(B176,'[1]Base de datos'!$B:$E,4,FALSE)</f>
        <v>#N/A</v>
      </c>
    </row>
    <row r="177" spans="1:6" x14ac:dyDescent="0.25">
      <c r="A177" s="18"/>
      <c r="B177" s="28"/>
      <c r="C177" s="19"/>
      <c r="D177" s="5" t="e">
        <f>VLOOKUP(B177,'[1]Base de datos'!$B:$F,2,FALSE)</f>
        <v>#N/A</v>
      </c>
      <c r="E177" t="e">
        <f>VLOOKUP(B177,'[1]Base de datos'!$B:$E,3,FALSE)</f>
        <v>#N/A</v>
      </c>
      <c r="F177" t="e">
        <f>VLOOKUP(B177,'[1]Base de datos'!$B:$E,4,FALSE)</f>
        <v>#N/A</v>
      </c>
    </row>
    <row r="178" spans="1:6" x14ac:dyDescent="0.25">
      <c r="A178" s="18"/>
      <c r="B178" s="28"/>
      <c r="C178" s="19"/>
      <c r="D178" s="5" t="e">
        <f>VLOOKUP(B178,'[1]Base de datos'!$B:$F,2,FALSE)</f>
        <v>#N/A</v>
      </c>
      <c r="E178" t="e">
        <f>VLOOKUP(B178,'[1]Base de datos'!$B:$E,3,FALSE)</f>
        <v>#N/A</v>
      </c>
      <c r="F178" t="e">
        <f>VLOOKUP(B178,'[1]Base de datos'!$B:$E,4,FALSE)</f>
        <v>#N/A</v>
      </c>
    </row>
    <row r="179" spans="1:6" x14ac:dyDescent="0.25">
      <c r="A179" s="18"/>
      <c r="B179" s="28"/>
      <c r="C179" s="19"/>
      <c r="D179" s="5" t="e">
        <f>VLOOKUP(B179,'[1]Base de datos'!$B:$F,2,FALSE)</f>
        <v>#N/A</v>
      </c>
      <c r="E179" t="e">
        <f>VLOOKUP(B179,'[1]Base de datos'!$B:$E,3,FALSE)</f>
        <v>#N/A</v>
      </c>
      <c r="F179" t="e">
        <f>VLOOKUP(B179,'[1]Base de datos'!$B:$E,4,FALSE)</f>
        <v>#N/A</v>
      </c>
    </row>
    <row r="180" spans="1:6" x14ac:dyDescent="0.25">
      <c r="A180" s="18"/>
      <c r="B180" s="28"/>
      <c r="C180" s="19"/>
      <c r="D180" s="5" t="e">
        <f>VLOOKUP(B180,'[1]Base de datos'!$B:$F,2,FALSE)</f>
        <v>#N/A</v>
      </c>
      <c r="E180" t="e">
        <f>VLOOKUP(B180,'[1]Base de datos'!$B:$E,3,FALSE)</f>
        <v>#N/A</v>
      </c>
      <c r="F180" t="e">
        <f>VLOOKUP(B180,'[1]Base de datos'!$B:$E,4,FALSE)</f>
        <v>#N/A</v>
      </c>
    </row>
    <row r="181" spans="1:6" x14ac:dyDescent="0.25">
      <c r="A181" s="18"/>
      <c r="B181" s="28"/>
      <c r="C181" s="19"/>
      <c r="D181" s="5" t="e">
        <f>VLOOKUP(B181,'[1]Base de datos'!$B:$F,2,FALSE)</f>
        <v>#N/A</v>
      </c>
      <c r="E181" t="e">
        <f>VLOOKUP(B181,'[1]Base de datos'!$B:$E,3,FALSE)</f>
        <v>#N/A</v>
      </c>
      <c r="F181" t="e">
        <f>VLOOKUP(B181,'[1]Base de datos'!$B:$E,4,FALSE)</f>
        <v>#N/A</v>
      </c>
    </row>
    <row r="182" spans="1:6" x14ac:dyDescent="0.25">
      <c r="A182" s="18"/>
      <c r="B182" s="28"/>
      <c r="C182" s="19"/>
      <c r="D182" s="5" t="e">
        <f>VLOOKUP(B182,'[1]Base de datos'!$B:$F,2,FALSE)</f>
        <v>#N/A</v>
      </c>
      <c r="E182" t="e">
        <f>VLOOKUP(B182,'[1]Base de datos'!$B:$E,3,FALSE)</f>
        <v>#N/A</v>
      </c>
      <c r="F182" t="e">
        <f>VLOOKUP(B182,'[1]Base de datos'!$B:$E,4,FALSE)</f>
        <v>#N/A</v>
      </c>
    </row>
    <row r="183" spans="1:6" x14ac:dyDescent="0.25">
      <c r="A183" s="18"/>
      <c r="B183" s="28"/>
      <c r="C183" s="19"/>
      <c r="D183" s="5" t="e">
        <f>VLOOKUP(B183,'[1]Base de datos'!$B:$F,2,FALSE)</f>
        <v>#N/A</v>
      </c>
      <c r="E183" t="e">
        <f>VLOOKUP(B183,'[1]Base de datos'!$B:$E,3,FALSE)</f>
        <v>#N/A</v>
      </c>
      <c r="F183" t="e">
        <f>VLOOKUP(B183,'[1]Base de datos'!$B:$E,4,FALSE)</f>
        <v>#N/A</v>
      </c>
    </row>
    <row r="184" spans="1:6" x14ac:dyDescent="0.25">
      <c r="A184" s="18"/>
      <c r="B184" s="28"/>
      <c r="C184" s="19"/>
      <c r="D184" s="5" t="e">
        <f>VLOOKUP(B184,'[1]Base de datos'!$B:$F,2,FALSE)</f>
        <v>#N/A</v>
      </c>
      <c r="E184" t="e">
        <f>VLOOKUP(B184,'[1]Base de datos'!$B:$E,3,FALSE)</f>
        <v>#N/A</v>
      </c>
      <c r="F184" t="e">
        <f>VLOOKUP(B184,'[1]Base de datos'!$B:$E,4,FALSE)</f>
        <v>#N/A</v>
      </c>
    </row>
    <row r="185" spans="1:6" x14ac:dyDescent="0.25">
      <c r="A185" s="18"/>
      <c r="B185" s="28"/>
      <c r="C185" s="19"/>
      <c r="D185" s="5" t="e">
        <f>VLOOKUP(B185,'[1]Base de datos'!$B:$F,2,FALSE)</f>
        <v>#N/A</v>
      </c>
      <c r="E185" t="e">
        <f>VLOOKUP(B185,'[1]Base de datos'!$B:$E,3,FALSE)</f>
        <v>#N/A</v>
      </c>
      <c r="F185" t="e">
        <f>VLOOKUP(B185,'[1]Base de datos'!$B:$E,4,FALSE)</f>
        <v>#N/A</v>
      </c>
    </row>
    <row r="186" spans="1:6" x14ac:dyDescent="0.25">
      <c r="A186" s="18"/>
      <c r="B186" s="28"/>
      <c r="C186" s="19"/>
      <c r="D186" s="5" t="e">
        <f>VLOOKUP(B186,'[1]Base de datos'!$B:$F,2,FALSE)</f>
        <v>#N/A</v>
      </c>
      <c r="E186" t="e">
        <f>VLOOKUP(B186,'[1]Base de datos'!$B:$E,3,FALSE)</f>
        <v>#N/A</v>
      </c>
      <c r="F186" t="e">
        <f>VLOOKUP(B186,'[1]Base de datos'!$B:$E,4,FALSE)</f>
        <v>#N/A</v>
      </c>
    </row>
    <row r="187" spans="1:6" x14ac:dyDescent="0.25">
      <c r="A187" s="18"/>
      <c r="B187" s="28"/>
      <c r="C187" s="19"/>
      <c r="D187" s="5" t="e">
        <f>VLOOKUP(B187,'[1]Base de datos'!$B:$F,2,FALSE)</f>
        <v>#N/A</v>
      </c>
      <c r="E187" t="e">
        <f>VLOOKUP(B187,'[1]Base de datos'!$B:$E,3,FALSE)</f>
        <v>#N/A</v>
      </c>
      <c r="F187" t="e">
        <f>VLOOKUP(B187,'[1]Base de datos'!$B:$E,4,FALSE)</f>
        <v>#N/A</v>
      </c>
    </row>
    <row r="188" spans="1:6" x14ac:dyDescent="0.25">
      <c r="A188" s="18"/>
      <c r="B188" s="28"/>
      <c r="C188" s="19"/>
      <c r="D188" s="5" t="e">
        <f>VLOOKUP(B188,'[1]Base de datos'!$B:$F,2,FALSE)</f>
        <v>#N/A</v>
      </c>
      <c r="E188" t="e">
        <f>VLOOKUP(B188,'[1]Base de datos'!$B:$E,3,FALSE)</f>
        <v>#N/A</v>
      </c>
      <c r="F188" t="e">
        <f>VLOOKUP(B188,'[1]Base de datos'!$B:$E,4,FALSE)</f>
        <v>#N/A</v>
      </c>
    </row>
    <row r="189" spans="1:6" x14ac:dyDescent="0.25">
      <c r="A189" s="18"/>
      <c r="B189" s="28"/>
      <c r="C189" s="19"/>
      <c r="D189" s="5" t="e">
        <f>VLOOKUP(B189,'[1]Base de datos'!$B:$F,2,FALSE)</f>
        <v>#N/A</v>
      </c>
      <c r="E189" t="e">
        <f>VLOOKUP(B189,'[1]Base de datos'!$B:$E,3,FALSE)</f>
        <v>#N/A</v>
      </c>
      <c r="F189" t="e">
        <f>VLOOKUP(B189,'[1]Base de datos'!$B:$E,4,FALSE)</f>
        <v>#N/A</v>
      </c>
    </row>
    <row r="190" spans="1:6" x14ac:dyDescent="0.25">
      <c r="A190" s="18"/>
      <c r="B190" s="28"/>
      <c r="C190" s="19"/>
      <c r="D190" s="5" t="e">
        <f>VLOOKUP(B190,'[1]Base de datos'!$B:$F,2,FALSE)</f>
        <v>#N/A</v>
      </c>
      <c r="E190" t="e">
        <f>VLOOKUP(B190,'[1]Base de datos'!$B:$E,3,FALSE)</f>
        <v>#N/A</v>
      </c>
      <c r="F190" t="e">
        <f>VLOOKUP(B190,'[1]Base de datos'!$B:$E,4,FALSE)</f>
        <v>#N/A</v>
      </c>
    </row>
    <row r="191" spans="1:6" x14ac:dyDescent="0.25">
      <c r="A191" s="18"/>
      <c r="B191" s="28"/>
      <c r="C191" s="19"/>
      <c r="D191" s="5" t="e">
        <f>VLOOKUP(B191,'[1]Base de datos'!$B:$F,2,FALSE)</f>
        <v>#N/A</v>
      </c>
      <c r="E191" t="e">
        <f>VLOOKUP(B191,'[1]Base de datos'!$B:$E,3,FALSE)</f>
        <v>#N/A</v>
      </c>
      <c r="F191" t="e">
        <f>VLOOKUP(B191,'[1]Base de datos'!$B:$E,4,FALSE)</f>
        <v>#N/A</v>
      </c>
    </row>
    <row r="192" spans="1:6" x14ac:dyDescent="0.25">
      <c r="A192" s="18"/>
      <c r="B192" s="28"/>
      <c r="C192" s="19"/>
      <c r="D192" s="5" t="e">
        <f>VLOOKUP(B192,'[1]Base de datos'!$B:$F,2,FALSE)</f>
        <v>#N/A</v>
      </c>
      <c r="E192" t="e">
        <f>VLOOKUP(B192,'[1]Base de datos'!$B:$E,3,FALSE)</f>
        <v>#N/A</v>
      </c>
      <c r="F192" t="e">
        <f>VLOOKUP(B192,'[1]Base de datos'!$B:$E,4,FALSE)</f>
        <v>#N/A</v>
      </c>
    </row>
    <row r="193" spans="1:6" x14ac:dyDescent="0.25">
      <c r="A193" s="18"/>
      <c r="B193" s="28"/>
      <c r="C193" s="19"/>
      <c r="D193" s="5" t="e">
        <f>VLOOKUP(B193,'[1]Base de datos'!$B:$F,2,FALSE)</f>
        <v>#N/A</v>
      </c>
      <c r="E193" t="e">
        <f>VLOOKUP(B193,'[1]Base de datos'!$B:$E,3,FALSE)</f>
        <v>#N/A</v>
      </c>
      <c r="F193" t="e">
        <f>VLOOKUP(B193,'[1]Base de datos'!$B:$E,4,FALSE)</f>
        <v>#N/A</v>
      </c>
    </row>
    <row r="194" spans="1:6" x14ac:dyDescent="0.25">
      <c r="A194" s="18"/>
      <c r="B194" s="28"/>
      <c r="C194" s="19"/>
      <c r="D194" s="5" t="e">
        <f>VLOOKUP(B194,'[1]Base de datos'!$B:$F,2,FALSE)</f>
        <v>#N/A</v>
      </c>
      <c r="E194" t="e">
        <f>VLOOKUP(B194,'[1]Base de datos'!$B:$E,3,FALSE)</f>
        <v>#N/A</v>
      </c>
      <c r="F194" t="e">
        <f>VLOOKUP(B194,'[1]Base de datos'!$B:$E,4,FALSE)</f>
        <v>#N/A</v>
      </c>
    </row>
    <row r="195" spans="1:6" x14ac:dyDescent="0.25">
      <c r="A195" s="18"/>
      <c r="B195" s="28"/>
      <c r="C195" s="19"/>
      <c r="D195" s="5" t="e">
        <f>VLOOKUP(B195,'[1]Base de datos'!$B:$F,2,FALSE)</f>
        <v>#N/A</v>
      </c>
      <c r="E195" t="e">
        <f>VLOOKUP(B195,'[1]Base de datos'!$B:$E,3,FALSE)</f>
        <v>#N/A</v>
      </c>
      <c r="F195" t="e">
        <f>VLOOKUP(B195,'[1]Base de datos'!$B:$E,4,FALSE)</f>
        <v>#N/A</v>
      </c>
    </row>
    <row r="196" spans="1:6" x14ac:dyDescent="0.25">
      <c r="A196" s="18"/>
      <c r="B196" s="28"/>
      <c r="C196" s="19"/>
      <c r="D196" s="5" t="e">
        <f>VLOOKUP(B196,'[1]Base de datos'!$B:$F,2,FALSE)</f>
        <v>#N/A</v>
      </c>
      <c r="E196" t="e">
        <f>VLOOKUP(B196,'[1]Base de datos'!$B:$E,3,FALSE)</f>
        <v>#N/A</v>
      </c>
      <c r="F196" t="e">
        <f>VLOOKUP(B196,'[1]Base de datos'!$B:$E,4,FALSE)</f>
        <v>#N/A</v>
      </c>
    </row>
    <row r="197" spans="1:6" x14ac:dyDescent="0.25">
      <c r="A197" s="18"/>
      <c r="B197" s="28"/>
      <c r="C197" s="19"/>
      <c r="D197" s="5" t="e">
        <f>VLOOKUP(B197,'[1]Base de datos'!$B:$F,2,FALSE)</f>
        <v>#N/A</v>
      </c>
      <c r="E197" t="e">
        <f>VLOOKUP(B197,'[1]Base de datos'!$B:$E,3,FALSE)</f>
        <v>#N/A</v>
      </c>
      <c r="F197" t="e">
        <f>VLOOKUP(B197,'[1]Base de datos'!$B:$E,4,FALSE)</f>
        <v>#N/A</v>
      </c>
    </row>
    <row r="198" spans="1:6" x14ac:dyDescent="0.25">
      <c r="A198" s="18"/>
      <c r="B198" s="28"/>
      <c r="C198" s="19"/>
      <c r="D198" s="5" t="e">
        <f>VLOOKUP(B198,'[1]Base de datos'!$B:$F,2,FALSE)</f>
        <v>#N/A</v>
      </c>
      <c r="E198" t="e">
        <f>VLOOKUP(B198,'[1]Base de datos'!$B:$E,3,FALSE)</f>
        <v>#N/A</v>
      </c>
      <c r="F198" t="e">
        <f>VLOOKUP(B198,'[1]Base de datos'!$B:$E,4,FALSE)</f>
        <v>#N/A</v>
      </c>
    </row>
    <row r="199" spans="1:6" x14ac:dyDescent="0.25">
      <c r="A199" s="18"/>
      <c r="B199" s="28"/>
      <c r="C199" s="19"/>
      <c r="D199" s="5" t="e">
        <f>VLOOKUP(B199,'[1]Base de datos'!$B:$F,2,FALSE)</f>
        <v>#N/A</v>
      </c>
      <c r="E199" t="e">
        <f>VLOOKUP(B199,'[1]Base de datos'!$B:$E,3,FALSE)</f>
        <v>#N/A</v>
      </c>
      <c r="F199" t="e">
        <f>VLOOKUP(B199,'[1]Base de datos'!$B:$E,4,FALSE)</f>
        <v>#N/A</v>
      </c>
    </row>
    <row r="200" spans="1:6" x14ac:dyDescent="0.25">
      <c r="A200" s="18"/>
      <c r="B200" s="28"/>
      <c r="C200" s="19"/>
      <c r="D200" s="5" t="e">
        <f>VLOOKUP(B200,'[1]Base de datos'!$B:$F,2,FALSE)</f>
        <v>#N/A</v>
      </c>
      <c r="E200" t="e">
        <f>VLOOKUP(B200,'[1]Base de datos'!$B:$E,3,FALSE)</f>
        <v>#N/A</v>
      </c>
      <c r="F200" t="e">
        <f>VLOOKUP(B200,'[1]Base de datos'!$B:$E,4,FALSE)</f>
        <v>#N/A</v>
      </c>
    </row>
    <row r="201" spans="1:6" x14ac:dyDescent="0.25">
      <c r="A201" s="18"/>
      <c r="B201" s="28"/>
      <c r="C201" s="19"/>
      <c r="D201" s="5" t="e">
        <f>VLOOKUP(B201,'[1]Base de datos'!$B:$F,2,FALSE)</f>
        <v>#N/A</v>
      </c>
      <c r="E201" t="e">
        <f>VLOOKUP(B201,'[1]Base de datos'!$B:$E,3,FALSE)</f>
        <v>#N/A</v>
      </c>
      <c r="F201" t="e">
        <f>VLOOKUP(B201,'[1]Base de datos'!$B:$E,4,FALSE)</f>
        <v>#N/A</v>
      </c>
    </row>
    <row r="202" spans="1:6" x14ac:dyDescent="0.25">
      <c r="A202" s="18"/>
      <c r="B202" s="28"/>
      <c r="C202" s="19"/>
      <c r="D202" s="5" t="e">
        <f>VLOOKUP(B202,'[1]Base de datos'!$B:$F,2,FALSE)</f>
        <v>#N/A</v>
      </c>
      <c r="E202" t="e">
        <f>VLOOKUP(B202,'[1]Base de datos'!$B:$E,3,FALSE)</f>
        <v>#N/A</v>
      </c>
      <c r="F202" t="e">
        <f>VLOOKUP(B202,'[1]Base de datos'!$B:$E,4,FALSE)</f>
        <v>#N/A</v>
      </c>
    </row>
    <row r="203" spans="1:6" x14ac:dyDescent="0.25">
      <c r="A203" s="18"/>
      <c r="B203" s="28"/>
      <c r="C203" s="19"/>
      <c r="D203" s="5" t="e">
        <f>VLOOKUP(B203,'[1]Base de datos'!$B:$F,2,FALSE)</f>
        <v>#N/A</v>
      </c>
      <c r="E203" t="e">
        <f>VLOOKUP(B203,'[1]Base de datos'!$B:$E,3,FALSE)</f>
        <v>#N/A</v>
      </c>
      <c r="F203" t="e">
        <f>VLOOKUP(B203,'[1]Base de datos'!$B:$E,4,FALSE)</f>
        <v>#N/A</v>
      </c>
    </row>
    <row r="204" spans="1:6" x14ac:dyDescent="0.25">
      <c r="A204" s="18"/>
      <c r="B204" s="28"/>
      <c r="C204" s="19"/>
      <c r="D204" s="5" t="e">
        <f>VLOOKUP(B204,'[1]Base de datos'!$B:$F,2,FALSE)</f>
        <v>#N/A</v>
      </c>
      <c r="E204" t="e">
        <f>VLOOKUP(B204,'[1]Base de datos'!$B:$E,3,FALSE)</f>
        <v>#N/A</v>
      </c>
      <c r="F204" t="e">
        <f>VLOOKUP(B204,'[1]Base de datos'!$B:$E,4,FALSE)</f>
        <v>#N/A</v>
      </c>
    </row>
    <row r="205" spans="1:6" x14ac:dyDescent="0.25">
      <c r="A205" s="18"/>
      <c r="B205" s="28"/>
      <c r="C205" s="19"/>
      <c r="D205" s="5" t="e">
        <f>VLOOKUP(B205,'[1]Base de datos'!$B:$F,2,FALSE)</f>
        <v>#N/A</v>
      </c>
      <c r="E205" t="e">
        <f>VLOOKUP(B205,'[1]Base de datos'!$B:$E,3,FALSE)</f>
        <v>#N/A</v>
      </c>
      <c r="F205" t="e">
        <f>VLOOKUP(B205,'[1]Base de datos'!$B:$E,4,FALSE)</f>
        <v>#N/A</v>
      </c>
    </row>
    <row r="206" spans="1:6" x14ac:dyDescent="0.25">
      <c r="A206" s="18"/>
      <c r="B206" s="28"/>
      <c r="C206" s="19"/>
      <c r="D206" s="5" t="e">
        <f>VLOOKUP(B206,'[1]Base de datos'!$B:$F,2,FALSE)</f>
        <v>#N/A</v>
      </c>
      <c r="E206" t="e">
        <f>VLOOKUP(B206,'[1]Base de datos'!$B:$E,3,FALSE)</f>
        <v>#N/A</v>
      </c>
      <c r="F206" t="e">
        <f>VLOOKUP(B206,'[1]Base de datos'!$B:$E,4,FALSE)</f>
        <v>#N/A</v>
      </c>
    </row>
    <row r="207" spans="1:6" x14ac:dyDescent="0.25">
      <c r="A207" s="18"/>
      <c r="B207" s="28"/>
      <c r="C207" s="19"/>
      <c r="D207" s="5" t="e">
        <f>VLOOKUP(B207,'[1]Base de datos'!$B:$F,2,FALSE)</f>
        <v>#N/A</v>
      </c>
      <c r="E207" t="e">
        <f>VLOOKUP(B207,'[1]Base de datos'!$B:$E,3,FALSE)</f>
        <v>#N/A</v>
      </c>
      <c r="F207" t="e">
        <f>VLOOKUP(B207,'[1]Base de datos'!$B:$E,4,FALSE)</f>
        <v>#N/A</v>
      </c>
    </row>
    <row r="208" spans="1:6" x14ac:dyDescent="0.25">
      <c r="A208" s="18"/>
      <c r="B208" s="28"/>
      <c r="C208" s="19"/>
      <c r="D208" s="5" t="e">
        <f>VLOOKUP(B208,'[1]Base de datos'!$B:$F,2,FALSE)</f>
        <v>#N/A</v>
      </c>
      <c r="E208" t="e">
        <f>VLOOKUP(B208,'[1]Base de datos'!$B:$E,3,FALSE)</f>
        <v>#N/A</v>
      </c>
      <c r="F208" t="e">
        <f>VLOOKUP(B208,'[1]Base de datos'!$B:$E,4,FALSE)</f>
        <v>#N/A</v>
      </c>
    </row>
    <row r="209" spans="1:6" x14ac:dyDescent="0.25">
      <c r="A209" s="18"/>
      <c r="B209" s="28"/>
      <c r="C209" s="19"/>
      <c r="D209" s="5" t="e">
        <f>VLOOKUP(B209,'[1]Base de datos'!$B:$F,2,FALSE)</f>
        <v>#N/A</v>
      </c>
      <c r="E209" t="e">
        <f>VLOOKUP(B209,'[1]Base de datos'!$B:$E,3,FALSE)</f>
        <v>#N/A</v>
      </c>
      <c r="F209" t="e">
        <f>VLOOKUP(B209,'[1]Base de datos'!$B:$E,4,FALSE)</f>
        <v>#N/A</v>
      </c>
    </row>
    <row r="210" spans="1:6" x14ac:dyDescent="0.25">
      <c r="A210" s="18"/>
      <c r="B210" s="28"/>
      <c r="C210" s="19"/>
      <c r="D210" s="5" t="e">
        <f>VLOOKUP(B210,'[1]Base de datos'!$B:$F,2,FALSE)</f>
        <v>#N/A</v>
      </c>
      <c r="E210" t="e">
        <f>VLOOKUP(B210,'[1]Base de datos'!$B:$E,3,FALSE)</f>
        <v>#N/A</v>
      </c>
      <c r="F210" t="e">
        <f>VLOOKUP(B210,'[1]Base de datos'!$B:$E,4,FALSE)</f>
        <v>#N/A</v>
      </c>
    </row>
    <row r="211" spans="1:6" x14ac:dyDescent="0.25">
      <c r="A211" s="18"/>
      <c r="B211" s="28"/>
      <c r="C211" s="19"/>
      <c r="D211" s="5" t="e">
        <f>VLOOKUP(B211,'[1]Base de datos'!$B:$F,2,FALSE)</f>
        <v>#N/A</v>
      </c>
      <c r="E211" t="e">
        <f>VLOOKUP(B211,'[1]Base de datos'!$B:$E,3,FALSE)</f>
        <v>#N/A</v>
      </c>
      <c r="F211" t="e">
        <f>VLOOKUP(B211,'[1]Base de datos'!$B:$E,4,FALSE)</f>
        <v>#N/A</v>
      </c>
    </row>
    <row r="212" spans="1:6" x14ac:dyDescent="0.25">
      <c r="A212" s="18"/>
      <c r="B212" s="28"/>
      <c r="C212" s="19"/>
      <c r="D212" s="5" t="e">
        <f>VLOOKUP(B212,'[1]Base de datos'!$B:$F,2,FALSE)</f>
        <v>#N/A</v>
      </c>
      <c r="E212" t="e">
        <f>VLOOKUP(B212,'[1]Base de datos'!$B:$E,3,FALSE)</f>
        <v>#N/A</v>
      </c>
      <c r="F212" t="e">
        <f>VLOOKUP(B212,'[1]Base de datos'!$B:$E,4,FALSE)</f>
        <v>#N/A</v>
      </c>
    </row>
    <row r="213" spans="1:6" x14ac:dyDescent="0.25">
      <c r="A213" s="18"/>
      <c r="B213" s="28"/>
      <c r="C213" s="19"/>
      <c r="D213" s="5" t="e">
        <f>VLOOKUP(B213,'[1]Base de datos'!$B:$F,2,FALSE)</f>
        <v>#N/A</v>
      </c>
      <c r="E213" t="e">
        <f>VLOOKUP(B213,'[1]Base de datos'!$B:$E,3,FALSE)</f>
        <v>#N/A</v>
      </c>
      <c r="F213" t="e">
        <f>VLOOKUP(B213,'[1]Base de datos'!$B:$E,4,FALSE)</f>
        <v>#N/A</v>
      </c>
    </row>
    <row r="214" spans="1:6" x14ac:dyDescent="0.25">
      <c r="A214" s="18"/>
      <c r="B214" s="28"/>
      <c r="C214" s="19"/>
      <c r="D214" s="5" t="e">
        <f>VLOOKUP(B214,'[1]Base de datos'!$B:$F,2,FALSE)</f>
        <v>#N/A</v>
      </c>
      <c r="E214" t="e">
        <f>VLOOKUP(B214,'[1]Base de datos'!$B:$E,3,FALSE)</f>
        <v>#N/A</v>
      </c>
      <c r="F214" t="e">
        <f>VLOOKUP(B214,'[1]Base de datos'!$B:$E,4,FALSE)</f>
        <v>#N/A</v>
      </c>
    </row>
    <row r="215" spans="1:6" x14ac:dyDescent="0.25">
      <c r="A215" s="18"/>
      <c r="B215" s="28"/>
      <c r="C215" s="19"/>
      <c r="D215" s="5" t="e">
        <f>VLOOKUP(B215,'[1]Base de datos'!$B:$F,2,FALSE)</f>
        <v>#N/A</v>
      </c>
      <c r="E215" t="e">
        <f>VLOOKUP(B215,'[1]Base de datos'!$B:$E,3,FALSE)</f>
        <v>#N/A</v>
      </c>
      <c r="F215" t="e">
        <f>VLOOKUP(B215,'[1]Base de datos'!$B:$E,4,FALSE)</f>
        <v>#N/A</v>
      </c>
    </row>
    <row r="216" spans="1:6" x14ac:dyDescent="0.25">
      <c r="A216" s="18"/>
      <c r="B216" s="28"/>
      <c r="C216" s="19"/>
      <c r="D216" s="5" t="e">
        <f>VLOOKUP(B216,'[1]Base de datos'!$B:$F,2,FALSE)</f>
        <v>#N/A</v>
      </c>
      <c r="E216" t="e">
        <f>VLOOKUP(B216,'[1]Base de datos'!$B:$E,3,FALSE)</f>
        <v>#N/A</v>
      </c>
      <c r="F216" t="e">
        <f>VLOOKUP(B216,'[1]Base de datos'!$B:$E,4,FALSE)</f>
        <v>#N/A</v>
      </c>
    </row>
    <row r="217" spans="1:6" x14ac:dyDescent="0.25">
      <c r="A217" s="18"/>
      <c r="B217" s="28"/>
      <c r="C217" s="19"/>
      <c r="D217" s="5" t="e">
        <f>VLOOKUP(B217,'[1]Base de datos'!$B:$F,2,FALSE)</f>
        <v>#N/A</v>
      </c>
      <c r="E217" t="e">
        <f>VLOOKUP(B217,'[1]Base de datos'!$B:$E,3,FALSE)</f>
        <v>#N/A</v>
      </c>
      <c r="F217" t="e">
        <f>VLOOKUP(B217,'[1]Base de datos'!$B:$E,4,FALSE)</f>
        <v>#N/A</v>
      </c>
    </row>
    <row r="218" spans="1:6" x14ac:dyDescent="0.25">
      <c r="A218" s="18"/>
      <c r="B218" s="28"/>
      <c r="C218" s="19"/>
      <c r="D218" s="5" t="e">
        <f>VLOOKUP(B218,'[1]Base de datos'!$B:$F,2,FALSE)</f>
        <v>#N/A</v>
      </c>
      <c r="E218" t="e">
        <f>VLOOKUP(B218,'[1]Base de datos'!$B:$E,3,FALSE)</f>
        <v>#N/A</v>
      </c>
      <c r="F218" t="e">
        <f>VLOOKUP(B218,'[1]Base de datos'!$B:$E,4,FALSE)</f>
        <v>#N/A</v>
      </c>
    </row>
    <row r="219" spans="1:6" x14ac:dyDescent="0.25">
      <c r="A219" s="18"/>
      <c r="B219" s="28"/>
      <c r="C219" s="19"/>
      <c r="D219" s="5" t="e">
        <f>VLOOKUP(B219,'[1]Base de datos'!$B:$F,2,FALSE)</f>
        <v>#N/A</v>
      </c>
      <c r="E219" t="e">
        <f>VLOOKUP(B219,'[1]Base de datos'!$B:$E,3,FALSE)</f>
        <v>#N/A</v>
      </c>
      <c r="F219" t="e">
        <f>VLOOKUP(B219,'[1]Base de datos'!$B:$E,4,FALSE)</f>
        <v>#N/A</v>
      </c>
    </row>
    <row r="220" spans="1:6" x14ac:dyDescent="0.25">
      <c r="A220" s="18"/>
      <c r="B220" s="28"/>
      <c r="C220" s="19"/>
      <c r="D220" s="5" t="e">
        <f>VLOOKUP(B220,'[1]Base de datos'!$B:$F,2,FALSE)</f>
        <v>#N/A</v>
      </c>
      <c r="E220" t="e">
        <f>VLOOKUP(B220,'[1]Base de datos'!$B:$E,3,FALSE)</f>
        <v>#N/A</v>
      </c>
      <c r="F220" t="e">
        <f>VLOOKUP(B220,'[1]Base de datos'!$B:$E,4,FALSE)</f>
        <v>#N/A</v>
      </c>
    </row>
    <row r="221" spans="1:6" x14ac:dyDescent="0.25">
      <c r="A221" s="18"/>
      <c r="B221" s="28"/>
      <c r="C221" s="19"/>
      <c r="D221" s="5" t="e">
        <f>VLOOKUP(B221,'[1]Base de datos'!$B:$F,2,FALSE)</f>
        <v>#N/A</v>
      </c>
      <c r="E221" t="e">
        <f>VLOOKUP(B221,'[1]Base de datos'!$B:$E,3,FALSE)</f>
        <v>#N/A</v>
      </c>
      <c r="F221" t="e">
        <f>VLOOKUP(B221,'[1]Base de datos'!$B:$E,4,FALSE)</f>
        <v>#N/A</v>
      </c>
    </row>
    <row r="222" spans="1:6" x14ac:dyDescent="0.25">
      <c r="A222" s="18"/>
      <c r="B222" s="28"/>
      <c r="C222" s="19"/>
      <c r="D222" s="5" t="e">
        <f>VLOOKUP(B222,'[1]Base de datos'!$B:$F,2,FALSE)</f>
        <v>#N/A</v>
      </c>
      <c r="E222" t="e">
        <f>VLOOKUP(B222,'[1]Base de datos'!$B:$E,3,FALSE)</f>
        <v>#N/A</v>
      </c>
      <c r="F222" t="e">
        <f>VLOOKUP(B222,'[1]Base de datos'!$B:$E,4,FALSE)</f>
        <v>#N/A</v>
      </c>
    </row>
    <row r="223" spans="1:6" x14ac:dyDescent="0.25">
      <c r="A223" s="18"/>
      <c r="B223" s="28"/>
      <c r="C223" s="19"/>
      <c r="D223" s="5" t="e">
        <f>VLOOKUP(B223,'[1]Base de datos'!$B:$F,2,FALSE)</f>
        <v>#N/A</v>
      </c>
      <c r="E223" t="e">
        <f>VLOOKUP(B223,'[1]Base de datos'!$B:$E,3,FALSE)</f>
        <v>#N/A</v>
      </c>
      <c r="F223" t="e">
        <f>VLOOKUP(B223,'[1]Base de datos'!$B:$E,4,FALSE)</f>
        <v>#N/A</v>
      </c>
    </row>
    <row r="224" spans="1:6" x14ac:dyDescent="0.25">
      <c r="A224" s="18"/>
      <c r="B224" s="28"/>
      <c r="C224" s="19"/>
      <c r="D224" s="5" t="e">
        <f>VLOOKUP(B224,'[1]Base de datos'!$B:$F,2,FALSE)</f>
        <v>#N/A</v>
      </c>
      <c r="E224" t="e">
        <f>VLOOKUP(B224,'[1]Base de datos'!$B:$E,3,FALSE)</f>
        <v>#N/A</v>
      </c>
      <c r="F224" t="e">
        <f>VLOOKUP(B224,'[1]Base de datos'!$B:$E,4,FALSE)</f>
        <v>#N/A</v>
      </c>
    </row>
    <row r="225" spans="1:6" x14ac:dyDescent="0.25">
      <c r="A225" s="18"/>
      <c r="B225" s="28"/>
      <c r="C225" s="19"/>
      <c r="D225" s="5" t="e">
        <f>VLOOKUP(B225,'[1]Base de datos'!$B:$F,2,FALSE)</f>
        <v>#N/A</v>
      </c>
      <c r="E225" t="e">
        <f>VLOOKUP(B225,'[1]Base de datos'!$B:$E,3,FALSE)</f>
        <v>#N/A</v>
      </c>
      <c r="F225" t="e">
        <f>VLOOKUP(B225,'[1]Base de datos'!$B:$E,4,FALSE)</f>
        <v>#N/A</v>
      </c>
    </row>
    <row r="226" spans="1:6" x14ac:dyDescent="0.25">
      <c r="A226" s="18"/>
      <c r="B226" s="28"/>
      <c r="C226" s="19"/>
      <c r="D226" s="5" t="e">
        <f>VLOOKUP(B226,'[1]Base de datos'!$B:$F,2,FALSE)</f>
        <v>#N/A</v>
      </c>
      <c r="E226" t="e">
        <f>VLOOKUP(B226,'[1]Base de datos'!$B:$E,3,FALSE)</f>
        <v>#N/A</v>
      </c>
      <c r="F226" t="e">
        <f>VLOOKUP(B226,'[1]Base de datos'!$B:$E,4,FALSE)</f>
        <v>#N/A</v>
      </c>
    </row>
    <row r="227" spans="1:6" x14ac:dyDescent="0.25">
      <c r="A227" s="18"/>
      <c r="B227" s="28"/>
      <c r="C227" s="19"/>
      <c r="D227" s="5" t="e">
        <f>VLOOKUP(B227,'[1]Base de datos'!$B:$F,2,FALSE)</f>
        <v>#N/A</v>
      </c>
      <c r="E227" t="e">
        <f>VLOOKUP(B227,'[1]Base de datos'!$B:$E,3,FALSE)</f>
        <v>#N/A</v>
      </c>
      <c r="F227" t="e">
        <f>VLOOKUP(B227,'[1]Base de datos'!$B:$E,4,FALSE)</f>
        <v>#N/A</v>
      </c>
    </row>
    <row r="228" spans="1:6" x14ac:dyDescent="0.25">
      <c r="A228" s="18"/>
      <c r="B228" s="28"/>
      <c r="C228" s="19"/>
      <c r="D228" s="5" t="e">
        <f>VLOOKUP(B228,'[1]Base de datos'!$B:$F,2,FALSE)</f>
        <v>#N/A</v>
      </c>
      <c r="E228" t="e">
        <f>VLOOKUP(B228,'[1]Base de datos'!$B:$E,3,FALSE)</f>
        <v>#N/A</v>
      </c>
      <c r="F228" t="e">
        <f>VLOOKUP(B228,'[1]Base de datos'!$B:$E,4,FALSE)</f>
        <v>#N/A</v>
      </c>
    </row>
    <row r="229" spans="1:6" x14ac:dyDescent="0.25">
      <c r="A229" s="18"/>
      <c r="B229" s="28"/>
      <c r="C229" s="19"/>
      <c r="D229" s="5" t="e">
        <f>VLOOKUP(B229,'[1]Base de datos'!$B:$F,2,FALSE)</f>
        <v>#N/A</v>
      </c>
      <c r="E229" t="e">
        <f>VLOOKUP(B229,'[1]Base de datos'!$B:$E,3,FALSE)</f>
        <v>#N/A</v>
      </c>
      <c r="F229" t="e">
        <f>VLOOKUP(B229,'[1]Base de datos'!$B:$E,4,FALSE)</f>
        <v>#N/A</v>
      </c>
    </row>
    <row r="230" spans="1:6" x14ac:dyDescent="0.25">
      <c r="A230" s="18"/>
      <c r="B230" s="28"/>
      <c r="C230" s="19"/>
      <c r="D230" s="5" t="e">
        <f>VLOOKUP(B230,'[1]Base de datos'!$B:$F,2,FALSE)</f>
        <v>#N/A</v>
      </c>
      <c r="E230" t="e">
        <f>VLOOKUP(B230,'[1]Base de datos'!$B:$E,3,FALSE)</f>
        <v>#N/A</v>
      </c>
      <c r="F230" t="e">
        <f>VLOOKUP(B230,'[1]Base de datos'!$B:$E,4,FALSE)</f>
        <v>#N/A</v>
      </c>
    </row>
    <row r="231" spans="1:6" x14ac:dyDescent="0.25">
      <c r="A231" s="18"/>
      <c r="B231" s="28"/>
      <c r="C231" s="19"/>
      <c r="D231" s="5" t="e">
        <f>VLOOKUP(B231,'[1]Base de datos'!$B:$F,2,FALSE)</f>
        <v>#N/A</v>
      </c>
      <c r="E231" t="e">
        <f>VLOOKUP(B231,'[1]Base de datos'!$B:$E,3,FALSE)</f>
        <v>#N/A</v>
      </c>
      <c r="F231" t="e">
        <f>VLOOKUP(B231,'[1]Base de datos'!$B:$E,4,FALSE)</f>
        <v>#N/A</v>
      </c>
    </row>
    <row r="232" spans="1:6" x14ac:dyDescent="0.25">
      <c r="A232" s="18"/>
      <c r="B232" s="28"/>
      <c r="C232" s="19"/>
      <c r="D232" s="5" t="e">
        <f>VLOOKUP(B232,'[1]Base de datos'!$B:$F,2,FALSE)</f>
        <v>#N/A</v>
      </c>
      <c r="E232" t="e">
        <f>VLOOKUP(B232,'[1]Base de datos'!$B:$E,3,FALSE)</f>
        <v>#N/A</v>
      </c>
      <c r="F232" t="e">
        <f>VLOOKUP(B232,'[1]Base de datos'!$B:$E,4,FALSE)</f>
        <v>#N/A</v>
      </c>
    </row>
    <row r="233" spans="1:6" x14ac:dyDescent="0.25">
      <c r="A233" s="18"/>
      <c r="B233" s="28"/>
      <c r="C233" s="19"/>
      <c r="D233" s="5" t="e">
        <f>VLOOKUP(B233,'[1]Base de datos'!$B:$F,2,FALSE)</f>
        <v>#N/A</v>
      </c>
      <c r="E233" t="e">
        <f>VLOOKUP(B233,'[1]Base de datos'!$B:$E,3,FALSE)</f>
        <v>#N/A</v>
      </c>
      <c r="F233" t="e">
        <f>VLOOKUP(B233,'[1]Base de datos'!$B:$E,4,FALSE)</f>
        <v>#N/A</v>
      </c>
    </row>
    <row r="234" spans="1:6" x14ac:dyDescent="0.25">
      <c r="A234" s="18"/>
      <c r="B234" s="28"/>
      <c r="C234" s="19"/>
      <c r="D234" s="5" t="e">
        <f>VLOOKUP(B234,'[1]Base de datos'!$B:$F,2,FALSE)</f>
        <v>#N/A</v>
      </c>
      <c r="E234" t="e">
        <f>VLOOKUP(B234,'[1]Base de datos'!$B:$E,3,FALSE)</f>
        <v>#N/A</v>
      </c>
      <c r="F234" t="e">
        <f>VLOOKUP(B234,'[1]Base de datos'!$B:$E,4,FALSE)</f>
        <v>#N/A</v>
      </c>
    </row>
    <row r="235" spans="1:6" x14ac:dyDescent="0.25">
      <c r="A235" s="18"/>
      <c r="B235" s="28"/>
      <c r="C235" s="19"/>
      <c r="D235" s="5" t="e">
        <f>VLOOKUP(B235,'[1]Base de datos'!$B:$F,2,FALSE)</f>
        <v>#N/A</v>
      </c>
      <c r="E235" t="e">
        <f>VLOOKUP(B235,'[1]Base de datos'!$B:$E,3,FALSE)</f>
        <v>#N/A</v>
      </c>
      <c r="F235" t="e">
        <f>VLOOKUP(B235,'[1]Base de datos'!$B:$E,4,FALSE)</f>
        <v>#N/A</v>
      </c>
    </row>
    <row r="236" spans="1:6" x14ac:dyDescent="0.25">
      <c r="A236" s="18"/>
      <c r="B236" s="28"/>
      <c r="C236" s="19"/>
      <c r="D236" s="5" t="e">
        <f>VLOOKUP(B236,'[1]Base de datos'!$B:$F,2,FALSE)</f>
        <v>#N/A</v>
      </c>
      <c r="E236" t="e">
        <f>VLOOKUP(B236,'[1]Base de datos'!$B:$E,3,FALSE)</f>
        <v>#N/A</v>
      </c>
      <c r="F236" t="e">
        <f>VLOOKUP(B236,'[1]Base de datos'!$B:$E,4,FALSE)</f>
        <v>#N/A</v>
      </c>
    </row>
    <row r="237" spans="1:6" x14ac:dyDescent="0.25">
      <c r="A237" s="18"/>
      <c r="B237" s="28"/>
      <c r="C237" s="19"/>
      <c r="D237" s="5" t="e">
        <f>VLOOKUP(B237,'[1]Base de datos'!$B:$F,2,FALSE)</f>
        <v>#N/A</v>
      </c>
      <c r="E237" t="e">
        <f>VLOOKUP(B237,'[1]Base de datos'!$B:$E,3,FALSE)</f>
        <v>#N/A</v>
      </c>
      <c r="F237" t="e">
        <f>VLOOKUP(B237,'[1]Base de datos'!$B:$E,4,FALSE)</f>
        <v>#N/A</v>
      </c>
    </row>
    <row r="238" spans="1:6" x14ac:dyDescent="0.25">
      <c r="A238" s="18"/>
      <c r="B238" s="28"/>
      <c r="C238" s="19"/>
      <c r="D238" s="5" t="e">
        <f>VLOOKUP(B238,'[1]Base de datos'!$B:$F,2,FALSE)</f>
        <v>#N/A</v>
      </c>
      <c r="E238" t="e">
        <f>VLOOKUP(B238,'[1]Base de datos'!$B:$E,3,FALSE)</f>
        <v>#N/A</v>
      </c>
      <c r="F238" t="e">
        <f>VLOOKUP(B238,'[1]Base de datos'!$B:$E,4,FALSE)</f>
        <v>#N/A</v>
      </c>
    </row>
    <row r="239" spans="1:6" x14ac:dyDescent="0.25">
      <c r="A239" s="18"/>
      <c r="B239" s="28"/>
      <c r="C239" s="19"/>
      <c r="D239" s="5" t="e">
        <f>VLOOKUP(B239,'[1]Base de datos'!$B:$F,2,FALSE)</f>
        <v>#N/A</v>
      </c>
      <c r="E239" t="e">
        <f>VLOOKUP(B239,'[1]Base de datos'!$B:$E,3,FALSE)</f>
        <v>#N/A</v>
      </c>
      <c r="F239" t="e">
        <f>VLOOKUP(B239,'[1]Base de datos'!$B:$E,4,FALSE)</f>
        <v>#N/A</v>
      </c>
    </row>
    <row r="240" spans="1:6" x14ac:dyDescent="0.25">
      <c r="A240" s="18"/>
      <c r="B240" s="28"/>
      <c r="C240" s="19"/>
      <c r="D240" s="5" t="e">
        <f>VLOOKUP(B240,'[1]Base de datos'!$B:$F,2,FALSE)</f>
        <v>#N/A</v>
      </c>
      <c r="E240" t="e">
        <f>VLOOKUP(B240,'[1]Base de datos'!$B:$E,3,FALSE)</f>
        <v>#N/A</v>
      </c>
      <c r="F240" t="e">
        <f>VLOOKUP(B240,'[1]Base de datos'!$B:$E,4,FALSE)</f>
        <v>#N/A</v>
      </c>
    </row>
    <row r="241" spans="1:6" x14ac:dyDescent="0.25">
      <c r="A241" s="18"/>
      <c r="B241" s="28"/>
      <c r="C241" s="19"/>
      <c r="D241" s="5" t="e">
        <f>VLOOKUP(B241,'[1]Base de datos'!$B:$F,2,FALSE)</f>
        <v>#N/A</v>
      </c>
      <c r="E241" t="e">
        <f>VLOOKUP(B241,'[1]Base de datos'!$B:$E,3,FALSE)</f>
        <v>#N/A</v>
      </c>
      <c r="F241" t="e">
        <f>VLOOKUP(B241,'[1]Base de datos'!$B:$E,4,FALSE)</f>
        <v>#N/A</v>
      </c>
    </row>
    <row r="242" spans="1:6" x14ac:dyDescent="0.25">
      <c r="A242" s="18"/>
      <c r="B242" s="28"/>
      <c r="C242" s="19"/>
      <c r="D242" s="5" t="e">
        <f>VLOOKUP(B242,'[1]Base de datos'!$B:$F,2,FALSE)</f>
        <v>#N/A</v>
      </c>
      <c r="E242" t="e">
        <f>VLOOKUP(B242,'[1]Base de datos'!$B:$E,3,FALSE)</f>
        <v>#N/A</v>
      </c>
      <c r="F242" t="e">
        <f>VLOOKUP(B242,'[1]Base de datos'!$B:$E,4,FALSE)</f>
        <v>#N/A</v>
      </c>
    </row>
    <row r="243" spans="1:6" x14ac:dyDescent="0.25">
      <c r="A243" s="18"/>
      <c r="B243" s="28"/>
      <c r="C243" s="19"/>
      <c r="D243" s="5" t="e">
        <f>VLOOKUP(B243,'[1]Base de datos'!$B:$F,2,FALSE)</f>
        <v>#N/A</v>
      </c>
      <c r="E243" t="e">
        <f>VLOOKUP(B243,'[1]Base de datos'!$B:$E,3,FALSE)</f>
        <v>#N/A</v>
      </c>
      <c r="F243" t="e">
        <f>VLOOKUP(B243,'[1]Base de datos'!$B:$E,4,FALSE)</f>
        <v>#N/A</v>
      </c>
    </row>
    <row r="244" spans="1:6" x14ac:dyDescent="0.25">
      <c r="A244" s="18"/>
      <c r="B244" s="28"/>
      <c r="C244" s="19"/>
      <c r="D244" s="5" t="e">
        <f>VLOOKUP(B244,'[1]Base de datos'!$B:$F,2,FALSE)</f>
        <v>#N/A</v>
      </c>
      <c r="E244" t="e">
        <f>VLOOKUP(B244,'[1]Base de datos'!$B:$E,3,FALSE)</f>
        <v>#N/A</v>
      </c>
      <c r="F244" t="e">
        <f>VLOOKUP(B244,'[1]Base de datos'!$B:$E,4,FALSE)</f>
        <v>#N/A</v>
      </c>
    </row>
    <row r="245" spans="1:6" x14ac:dyDescent="0.25">
      <c r="B245" s="28"/>
      <c r="C245" s="19"/>
      <c r="D245" s="5" t="e">
        <f>VLOOKUP(B245,'[1]Base de datos'!$B:$F,2,FALSE)</f>
        <v>#N/A</v>
      </c>
      <c r="E245" t="e">
        <f>VLOOKUP(B245,'[1]Base de datos'!$B:$E,3,FALSE)</f>
        <v>#N/A</v>
      </c>
      <c r="F245" t="e">
        <f>VLOOKUP(B245,'[1]Base de datos'!$B:$E,4,FALSE)</f>
        <v>#N/A</v>
      </c>
    </row>
    <row r="246" spans="1:6" x14ac:dyDescent="0.25">
      <c r="B246" s="28"/>
      <c r="C246" s="19"/>
      <c r="D246" s="5" t="e">
        <f>VLOOKUP(B246,'[1]Base de datos'!$B:$F,2,FALSE)</f>
        <v>#N/A</v>
      </c>
      <c r="E246" t="e">
        <f>VLOOKUP(B246,'[1]Base de datos'!$B:$E,3,FALSE)</f>
        <v>#N/A</v>
      </c>
      <c r="F246" t="e">
        <f>VLOOKUP(B246,'[1]Base de datos'!$B:$E,4,FALSE)</f>
        <v>#N/A</v>
      </c>
    </row>
    <row r="247" spans="1:6" x14ac:dyDescent="0.25">
      <c r="B247" s="28"/>
      <c r="C247" s="19"/>
      <c r="D247" s="5" t="e">
        <f>VLOOKUP(B247,'[1]Base de datos'!$B:$F,2,FALSE)</f>
        <v>#N/A</v>
      </c>
      <c r="E247" t="e">
        <f>VLOOKUP(B247,'[1]Base de datos'!$B:$E,3,FALSE)</f>
        <v>#N/A</v>
      </c>
      <c r="F247" t="e">
        <f>VLOOKUP(B247,'[1]Base de datos'!$B:$E,4,FALSE)</f>
        <v>#N/A</v>
      </c>
    </row>
    <row r="248" spans="1:6" x14ac:dyDescent="0.25">
      <c r="B248" s="28"/>
      <c r="C248" s="19"/>
      <c r="D248" s="5" t="e">
        <f>VLOOKUP(B248,'[1]Base de datos'!$B:$F,2,FALSE)</f>
        <v>#N/A</v>
      </c>
      <c r="E248" t="e">
        <f>VLOOKUP(B248,'[1]Base de datos'!$B:$E,3,FALSE)</f>
        <v>#N/A</v>
      </c>
      <c r="F248" t="e">
        <f>VLOOKUP(B248,'[1]Base de datos'!$B:$E,4,FALSE)</f>
        <v>#N/A</v>
      </c>
    </row>
    <row r="249" spans="1:6" x14ac:dyDescent="0.25">
      <c r="B249" s="28"/>
      <c r="C249" s="19"/>
      <c r="D249" s="5" t="e">
        <f>VLOOKUP(B249,'[1]Base de datos'!$B:$F,2,FALSE)</f>
        <v>#N/A</v>
      </c>
      <c r="E249" t="e">
        <f>VLOOKUP(B249,'[1]Base de datos'!$B:$E,3,FALSE)</f>
        <v>#N/A</v>
      </c>
      <c r="F249" t="e">
        <f>VLOOKUP(B249,'[1]Base de datos'!$B:$E,4,FALSE)</f>
        <v>#N/A</v>
      </c>
    </row>
    <row r="250" spans="1:6" x14ac:dyDescent="0.25">
      <c r="B250" s="28"/>
      <c r="C250" s="19"/>
      <c r="D250" s="5" t="e">
        <f>VLOOKUP(B250,'[1]Base de datos'!$B:$F,2,FALSE)</f>
        <v>#N/A</v>
      </c>
      <c r="E250" t="e">
        <f>VLOOKUP(B250,'[1]Base de datos'!$B:$E,3,FALSE)</f>
        <v>#N/A</v>
      </c>
      <c r="F250" t="e">
        <f>VLOOKUP(B250,'[1]Base de datos'!$B:$E,4,FALSE)</f>
        <v>#N/A</v>
      </c>
    </row>
    <row r="251" spans="1:6" x14ac:dyDescent="0.25">
      <c r="B251" s="28"/>
      <c r="C251" s="19"/>
      <c r="D251" s="5" t="e">
        <f>VLOOKUP(B251,'[1]Base de datos'!$B:$F,2,FALSE)</f>
        <v>#N/A</v>
      </c>
      <c r="E251" t="e">
        <f>VLOOKUP(B251,'[1]Base de datos'!$B:$E,3,FALSE)</f>
        <v>#N/A</v>
      </c>
      <c r="F251" t="e">
        <f>VLOOKUP(B251,'[1]Base de datos'!$B:$E,4,FALSE)</f>
        <v>#N/A</v>
      </c>
    </row>
    <row r="252" spans="1:6" x14ac:dyDescent="0.25">
      <c r="B252" s="28"/>
      <c r="C252" s="19"/>
      <c r="D252" s="5" t="e">
        <f>VLOOKUP(B252,'[1]Base de datos'!$B:$F,2,FALSE)</f>
        <v>#N/A</v>
      </c>
      <c r="E252" t="e">
        <f>VLOOKUP(B252,'[1]Base de datos'!$B:$E,3,FALSE)</f>
        <v>#N/A</v>
      </c>
      <c r="F252" t="e">
        <f>VLOOKUP(B252,'[1]Base de datos'!$B:$E,4,FALSE)</f>
        <v>#N/A</v>
      </c>
    </row>
    <row r="253" spans="1:6" x14ac:dyDescent="0.25">
      <c r="B253" s="28"/>
      <c r="C253" s="19"/>
      <c r="D253" s="5" t="e">
        <f>VLOOKUP(B253,'[1]Base de datos'!$B:$F,2,FALSE)</f>
        <v>#N/A</v>
      </c>
      <c r="E253" t="e">
        <f>VLOOKUP(B253,'[1]Base de datos'!$B:$E,3,FALSE)</f>
        <v>#N/A</v>
      </c>
      <c r="F253" t="e">
        <f>VLOOKUP(B253,'[1]Base de datos'!$B:$E,4,FALSE)</f>
        <v>#N/A</v>
      </c>
    </row>
    <row r="254" spans="1:6" x14ac:dyDescent="0.25">
      <c r="B254" s="28"/>
      <c r="C254" s="19"/>
      <c r="D254" s="5" t="e">
        <f>VLOOKUP(B254,'[1]Base de datos'!$B:$F,2,FALSE)</f>
        <v>#N/A</v>
      </c>
      <c r="E254" t="e">
        <f>VLOOKUP(B254,'[1]Base de datos'!$B:$E,3,FALSE)</f>
        <v>#N/A</v>
      </c>
      <c r="F254" t="e">
        <f>VLOOKUP(B254,'[1]Base de datos'!$B:$E,4,FALSE)</f>
        <v>#N/A</v>
      </c>
    </row>
    <row r="255" spans="1:6" x14ac:dyDescent="0.25">
      <c r="B255" s="28"/>
      <c r="C255" s="19"/>
      <c r="D255" s="5" t="e">
        <f>VLOOKUP(B255,'[1]Base de datos'!$B:$F,2,FALSE)</f>
        <v>#N/A</v>
      </c>
      <c r="E255" t="e">
        <f>VLOOKUP(B255,'[1]Base de datos'!$B:$E,3,FALSE)</f>
        <v>#N/A</v>
      </c>
      <c r="F255" t="e">
        <f>VLOOKUP(B255,'[1]Base de datos'!$B:$E,4,FALSE)</f>
        <v>#N/A</v>
      </c>
    </row>
    <row r="256" spans="1:6" x14ac:dyDescent="0.25">
      <c r="B256" s="28"/>
      <c r="C256" s="19"/>
      <c r="D256" s="5" t="e">
        <f>VLOOKUP(B256,'[1]Base de datos'!$B:$F,2,FALSE)</f>
        <v>#N/A</v>
      </c>
      <c r="E256" t="e">
        <f>VLOOKUP(B256,'[1]Base de datos'!$B:$E,3,FALSE)</f>
        <v>#N/A</v>
      </c>
      <c r="F256" t="e">
        <f>VLOOKUP(B256,'[1]Base de datos'!$B:$E,4,FALSE)</f>
        <v>#N/A</v>
      </c>
    </row>
    <row r="257" spans="2:6" x14ac:dyDescent="0.25">
      <c r="B257" s="28"/>
      <c r="C257" s="19"/>
      <c r="D257" s="5" t="e">
        <f>VLOOKUP(B257,'[1]Base de datos'!$B:$F,2,FALSE)</f>
        <v>#N/A</v>
      </c>
      <c r="E257" t="e">
        <f>VLOOKUP(B257,'[1]Base de datos'!$B:$E,3,FALSE)</f>
        <v>#N/A</v>
      </c>
      <c r="F257" t="e">
        <f>VLOOKUP(B257,'[1]Base de datos'!$B:$E,4,FALSE)</f>
        <v>#N/A</v>
      </c>
    </row>
    <row r="258" spans="2:6" x14ac:dyDescent="0.25">
      <c r="B258" s="28"/>
      <c r="C258" s="19"/>
      <c r="D258" s="5" t="e">
        <f>VLOOKUP(B258,'[1]Base de datos'!$B:$F,2,FALSE)</f>
        <v>#N/A</v>
      </c>
      <c r="E258" t="e">
        <f>VLOOKUP(B258,'[1]Base de datos'!$B:$E,3,FALSE)</f>
        <v>#N/A</v>
      </c>
      <c r="F258" t="e">
        <f>VLOOKUP(B258,'[1]Base de datos'!$B:$E,4,FALSE)</f>
        <v>#N/A</v>
      </c>
    </row>
    <row r="259" spans="2:6" x14ac:dyDescent="0.25">
      <c r="B259" s="28"/>
      <c r="C259" s="19"/>
      <c r="D259" s="5" t="e">
        <f>VLOOKUP(B259,'[1]Base de datos'!$B:$F,2,FALSE)</f>
        <v>#N/A</v>
      </c>
      <c r="E259" t="e">
        <f>VLOOKUP(B259,'[1]Base de datos'!$B:$E,3,FALSE)</f>
        <v>#N/A</v>
      </c>
      <c r="F259" t="e">
        <f>VLOOKUP(B259,'[1]Base de datos'!$B:$E,4,FALSE)</f>
        <v>#N/A</v>
      </c>
    </row>
    <row r="260" spans="2:6" x14ac:dyDescent="0.25">
      <c r="B260" s="28"/>
      <c r="C260" s="19"/>
      <c r="D260" s="5" t="e">
        <f>VLOOKUP(B260,'[1]Base de datos'!$B:$F,2,FALSE)</f>
        <v>#N/A</v>
      </c>
      <c r="E260" t="e">
        <f>VLOOKUP(B260,'[1]Base de datos'!$B:$E,3,FALSE)</f>
        <v>#N/A</v>
      </c>
      <c r="F260" t="e">
        <f>VLOOKUP(B260,'[1]Base de datos'!$B:$E,4,FALSE)</f>
        <v>#N/A</v>
      </c>
    </row>
    <row r="261" spans="2:6" x14ac:dyDescent="0.25">
      <c r="B261" s="28"/>
      <c r="C261" s="19"/>
      <c r="D261" s="5" t="e">
        <f>VLOOKUP(B261,'[1]Base de datos'!$B:$F,2,FALSE)</f>
        <v>#N/A</v>
      </c>
      <c r="E261" t="e">
        <f>VLOOKUP(B261,'[1]Base de datos'!$B:$E,3,FALSE)</f>
        <v>#N/A</v>
      </c>
      <c r="F261" t="e">
        <f>VLOOKUP(B261,'[1]Base de datos'!$B:$E,4,FALSE)</f>
        <v>#N/A</v>
      </c>
    </row>
    <row r="262" spans="2:6" x14ac:dyDescent="0.25">
      <c r="B262" s="28"/>
      <c r="C262" s="19"/>
      <c r="D262" s="5" t="e">
        <f>VLOOKUP(B262,'[1]Base de datos'!$B:$F,2,FALSE)</f>
        <v>#N/A</v>
      </c>
      <c r="E262" t="e">
        <f>VLOOKUP(B262,'[1]Base de datos'!$B:$E,3,FALSE)</f>
        <v>#N/A</v>
      </c>
      <c r="F262" t="e">
        <f>VLOOKUP(B262,'[1]Base de datos'!$B:$E,4,FALSE)</f>
        <v>#N/A</v>
      </c>
    </row>
    <row r="263" spans="2:6" x14ac:dyDescent="0.25">
      <c r="B263" s="28"/>
      <c r="C263" s="19"/>
      <c r="D263" s="5" t="e">
        <f>VLOOKUP(B263,'[1]Base de datos'!$B:$F,2,FALSE)</f>
        <v>#N/A</v>
      </c>
      <c r="E263" t="e">
        <f>VLOOKUP(B263,'[1]Base de datos'!$B:$E,3,FALSE)</f>
        <v>#N/A</v>
      </c>
      <c r="F263" t="e">
        <f>VLOOKUP(B263,'[1]Base de datos'!$B:$E,4,FALSE)</f>
        <v>#N/A</v>
      </c>
    </row>
    <row r="264" spans="2:6" x14ac:dyDescent="0.25">
      <c r="B264" s="28"/>
      <c r="C264" s="19"/>
      <c r="D264" s="5" t="e">
        <f>VLOOKUP(B264,'[1]Base de datos'!$B:$F,2,FALSE)</f>
        <v>#N/A</v>
      </c>
      <c r="E264" t="e">
        <f>VLOOKUP(B264,'[1]Base de datos'!$B:$E,3,FALSE)</f>
        <v>#N/A</v>
      </c>
      <c r="F264" t="e">
        <f>VLOOKUP(B264,'[1]Base de datos'!$B:$E,4,FALSE)</f>
        <v>#N/A</v>
      </c>
    </row>
    <row r="265" spans="2:6" x14ac:dyDescent="0.25">
      <c r="B265" s="28"/>
      <c r="C265" s="19"/>
      <c r="D265" s="5" t="e">
        <f>VLOOKUP(B265,'[1]Base de datos'!$B:$F,2,FALSE)</f>
        <v>#N/A</v>
      </c>
      <c r="E265" t="e">
        <f>VLOOKUP(B265,'[1]Base de datos'!$B:$E,3,FALSE)</f>
        <v>#N/A</v>
      </c>
      <c r="F265" t="e">
        <f>VLOOKUP(B265,'[1]Base de datos'!$B:$E,4,FALSE)</f>
        <v>#N/A</v>
      </c>
    </row>
    <row r="266" spans="2:6" x14ac:dyDescent="0.25">
      <c r="B266" s="28"/>
      <c r="C266" s="19"/>
      <c r="D266" s="5" t="e">
        <f>VLOOKUP(B266,'[1]Base de datos'!$B:$F,2,FALSE)</f>
        <v>#N/A</v>
      </c>
      <c r="E266" t="e">
        <f>VLOOKUP(B266,'[1]Base de datos'!$B:$E,3,FALSE)</f>
        <v>#N/A</v>
      </c>
      <c r="F266" t="e">
        <f>VLOOKUP(B266,'[1]Base de datos'!$B:$E,4,FALSE)</f>
        <v>#N/A</v>
      </c>
    </row>
    <row r="267" spans="2:6" x14ac:dyDescent="0.25">
      <c r="B267" s="28"/>
      <c r="C267" s="19"/>
      <c r="D267" s="5" t="e">
        <f>VLOOKUP(B267,'[1]Base de datos'!$B:$F,2,FALSE)</f>
        <v>#N/A</v>
      </c>
      <c r="E267" t="e">
        <f>VLOOKUP(B267,'[1]Base de datos'!$B:$E,3,FALSE)</f>
        <v>#N/A</v>
      </c>
      <c r="F267" t="e">
        <f>VLOOKUP(B267,'[1]Base de datos'!$B:$E,4,FALSE)</f>
        <v>#N/A</v>
      </c>
    </row>
    <row r="268" spans="2:6" x14ac:dyDescent="0.25">
      <c r="B268" s="28"/>
      <c r="C268" s="19"/>
      <c r="D268" s="5" t="e">
        <f>VLOOKUP(B268,'[1]Base de datos'!$B:$F,2,FALSE)</f>
        <v>#N/A</v>
      </c>
      <c r="E268" t="e">
        <f>VLOOKUP(B268,'[1]Base de datos'!$B:$E,3,FALSE)</f>
        <v>#N/A</v>
      </c>
      <c r="F268" t="e">
        <f>VLOOKUP(B268,'[1]Base de datos'!$B:$E,4,FALSE)</f>
        <v>#N/A</v>
      </c>
    </row>
    <row r="269" spans="2:6" x14ac:dyDescent="0.25">
      <c r="B269" s="28"/>
      <c r="C269" s="19"/>
      <c r="D269" s="5" t="e">
        <f>VLOOKUP(B269,'[1]Base de datos'!$B:$F,2,FALSE)</f>
        <v>#N/A</v>
      </c>
      <c r="E269" t="e">
        <f>VLOOKUP(B269,'[1]Base de datos'!$B:$E,3,FALSE)</f>
        <v>#N/A</v>
      </c>
      <c r="F269" t="e">
        <f>VLOOKUP(B269,'[1]Base de datos'!$B:$E,4,FALSE)</f>
        <v>#N/A</v>
      </c>
    </row>
    <row r="270" spans="2:6" x14ac:dyDescent="0.25">
      <c r="B270" s="28"/>
      <c r="C270" s="19"/>
      <c r="D270" s="5" t="e">
        <f>VLOOKUP(B270,'[1]Base de datos'!$B:$F,2,FALSE)</f>
        <v>#N/A</v>
      </c>
      <c r="E270" t="e">
        <f>VLOOKUP(B270,'[1]Base de datos'!$B:$E,3,FALSE)</f>
        <v>#N/A</v>
      </c>
      <c r="F270" t="e">
        <f>VLOOKUP(B270,'[1]Base de datos'!$B:$E,4,FALSE)</f>
        <v>#N/A</v>
      </c>
    </row>
    <row r="271" spans="2:6" x14ac:dyDescent="0.25">
      <c r="B271" s="28"/>
      <c r="C271" s="19"/>
      <c r="D271" s="5" t="e">
        <f>VLOOKUP(B271,'[1]Base de datos'!$B:$F,2,FALSE)</f>
        <v>#N/A</v>
      </c>
      <c r="E271" t="e">
        <f>VLOOKUP(B271,'[1]Base de datos'!$B:$E,3,FALSE)</f>
        <v>#N/A</v>
      </c>
      <c r="F271" t="e">
        <f>VLOOKUP(B271,'[1]Base de datos'!$B:$E,4,FALSE)</f>
        <v>#N/A</v>
      </c>
    </row>
    <row r="272" spans="2:6" x14ac:dyDescent="0.25">
      <c r="B272" s="28"/>
      <c r="C272" s="19"/>
      <c r="D272" s="5" t="e">
        <f>VLOOKUP(B272,'[1]Base de datos'!$B:$F,2,FALSE)</f>
        <v>#N/A</v>
      </c>
      <c r="E272" t="e">
        <f>VLOOKUP(B272,'[1]Base de datos'!$B:$E,3,FALSE)</f>
        <v>#N/A</v>
      </c>
      <c r="F272" t="e">
        <f>VLOOKUP(B272,'[1]Base de datos'!$B:$E,4,FALSE)</f>
        <v>#N/A</v>
      </c>
    </row>
    <row r="273" spans="2:6" x14ac:dyDescent="0.25">
      <c r="B273" s="28"/>
      <c r="C273" s="19"/>
      <c r="D273" s="5" t="e">
        <f>VLOOKUP(B273,'[1]Base de datos'!$B:$F,2,FALSE)</f>
        <v>#N/A</v>
      </c>
      <c r="E273" t="e">
        <f>VLOOKUP(B273,'[1]Base de datos'!$B:$E,3,FALSE)</f>
        <v>#N/A</v>
      </c>
      <c r="F273" t="e">
        <f>VLOOKUP(B273,'[1]Base de datos'!$B:$E,4,FALSE)</f>
        <v>#N/A</v>
      </c>
    </row>
    <row r="274" spans="2:6" x14ac:dyDescent="0.25">
      <c r="B274" s="28"/>
      <c r="C274" s="19"/>
      <c r="D274" s="5" t="e">
        <f>VLOOKUP(B274,'[1]Base de datos'!$B:$F,2,FALSE)</f>
        <v>#N/A</v>
      </c>
      <c r="E274" t="e">
        <f>VLOOKUP(B274,'[1]Base de datos'!$B:$E,3,FALSE)</f>
        <v>#N/A</v>
      </c>
      <c r="F274" t="e">
        <f>VLOOKUP(B274,'[1]Base de datos'!$B:$E,4,FALSE)</f>
        <v>#N/A</v>
      </c>
    </row>
    <row r="275" spans="2:6" x14ac:dyDescent="0.25">
      <c r="B275" s="28"/>
      <c r="C275" s="19"/>
      <c r="D275" s="5" t="e">
        <f>VLOOKUP(B275,'[1]Base de datos'!$B:$F,2,FALSE)</f>
        <v>#N/A</v>
      </c>
      <c r="E275" t="e">
        <f>VLOOKUP(B275,'[1]Base de datos'!$B:$E,3,FALSE)</f>
        <v>#N/A</v>
      </c>
      <c r="F275" t="e">
        <f>VLOOKUP(B275,'[1]Base de datos'!$B:$E,4,FALSE)</f>
        <v>#N/A</v>
      </c>
    </row>
    <row r="276" spans="2:6" x14ac:dyDescent="0.25">
      <c r="B276" s="28"/>
      <c r="C276" s="19"/>
      <c r="D276" s="5" t="e">
        <f>VLOOKUP(B276,'[1]Base de datos'!$B:$F,2,FALSE)</f>
        <v>#N/A</v>
      </c>
      <c r="E276" t="e">
        <f>VLOOKUP(B276,'[1]Base de datos'!$B:$E,3,FALSE)</f>
        <v>#N/A</v>
      </c>
      <c r="F276" t="e">
        <f>VLOOKUP(B276,'[1]Base de datos'!$B:$E,4,FALSE)</f>
        <v>#N/A</v>
      </c>
    </row>
    <row r="277" spans="2:6" x14ac:dyDescent="0.25">
      <c r="B277" s="28"/>
      <c r="C277" s="19"/>
      <c r="D277" s="5" t="e">
        <f>VLOOKUP(B277,'[1]Base de datos'!$B:$F,2,FALSE)</f>
        <v>#N/A</v>
      </c>
      <c r="E277" t="e">
        <f>VLOOKUP(B277,'[1]Base de datos'!$B:$E,3,FALSE)</f>
        <v>#N/A</v>
      </c>
      <c r="F277" t="e">
        <f>VLOOKUP(B277,'[1]Base de datos'!$B:$E,4,FALSE)</f>
        <v>#N/A</v>
      </c>
    </row>
    <row r="278" spans="2:6" x14ac:dyDescent="0.25">
      <c r="B278" s="28"/>
      <c r="C278" s="19"/>
      <c r="D278" s="5" t="e">
        <f>VLOOKUP(B278,'[1]Base de datos'!$B:$F,2,FALSE)</f>
        <v>#N/A</v>
      </c>
      <c r="E278" t="e">
        <f>VLOOKUP(B278,'[1]Base de datos'!$B:$E,3,FALSE)</f>
        <v>#N/A</v>
      </c>
      <c r="F278" t="e">
        <f>VLOOKUP(B278,'[1]Base de datos'!$B:$E,4,FALSE)</f>
        <v>#N/A</v>
      </c>
    </row>
    <row r="279" spans="2:6" x14ac:dyDescent="0.25">
      <c r="B279" s="28"/>
      <c r="C279" s="19"/>
      <c r="D279" s="5" t="e">
        <f>VLOOKUP(B279,'[1]Base de datos'!$B:$F,2,FALSE)</f>
        <v>#N/A</v>
      </c>
      <c r="E279" t="e">
        <f>VLOOKUP(B279,'[1]Base de datos'!$B:$E,3,FALSE)</f>
        <v>#N/A</v>
      </c>
      <c r="F279" t="e">
        <f>VLOOKUP(B279,'[1]Base de datos'!$B:$E,4,FALSE)</f>
        <v>#N/A</v>
      </c>
    </row>
    <row r="280" spans="2:6" x14ac:dyDescent="0.25">
      <c r="B280" s="28"/>
      <c r="C280" s="19"/>
      <c r="D280" s="5" t="e">
        <f>VLOOKUP(B280,'[1]Base de datos'!$B:$F,2,FALSE)</f>
        <v>#N/A</v>
      </c>
      <c r="E280" t="e">
        <f>VLOOKUP(B280,'[1]Base de datos'!$B:$E,3,FALSE)</f>
        <v>#N/A</v>
      </c>
      <c r="F280" t="e">
        <f>VLOOKUP(B280,'[1]Base de datos'!$B:$E,4,FALSE)</f>
        <v>#N/A</v>
      </c>
    </row>
    <row r="281" spans="2:6" x14ac:dyDescent="0.25">
      <c r="B281" s="28"/>
      <c r="C281" s="19"/>
      <c r="D281" s="5" t="e">
        <f>VLOOKUP(B281,'[1]Base de datos'!$B:$F,2,FALSE)</f>
        <v>#N/A</v>
      </c>
      <c r="E281" t="e">
        <f>VLOOKUP(B281,'[1]Base de datos'!$B:$E,3,FALSE)</f>
        <v>#N/A</v>
      </c>
      <c r="F281" t="e">
        <f>VLOOKUP(B281,'[1]Base de datos'!$B:$E,4,FALSE)</f>
        <v>#N/A</v>
      </c>
    </row>
    <row r="282" spans="2:6" x14ac:dyDescent="0.25">
      <c r="B282" s="28"/>
      <c r="C282" s="19"/>
      <c r="D282" s="5" t="e">
        <f>VLOOKUP(B282,'[1]Base de datos'!$B:$F,2,FALSE)</f>
        <v>#N/A</v>
      </c>
      <c r="E282" t="e">
        <f>VLOOKUP(B282,'[1]Base de datos'!$B:$E,3,FALSE)</f>
        <v>#N/A</v>
      </c>
      <c r="F282" t="e">
        <f>VLOOKUP(B282,'[1]Base de datos'!$B:$E,4,FALSE)</f>
        <v>#N/A</v>
      </c>
    </row>
    <row r="283" spans="2:6" x14ac:dyDescent="0.25">
      <c r="B283" s="28"/>
      <c r="C283" s="19"/>
      <c r="D283" s="5" t="e">
        <f>VLOOKUP(B283,'[1]Base de datos'!$B:$F,2,FALSE)</f>
        <v>#N/A</v>
      </c>
      <c r="E283" t="e">
        <f>VLOOKUP(B283,'[1]Base de datos'!$B:$E,3,FALSE)</f>
        <v>#N/A</v>
      </c>
      <c r="F283" t="e">
        <f>VLOOKUP(B283,'[1]Base de datos'!$B:$E,4,FALSE)</f>
        <v>#N/A</v>
      </c>
    </row>
    <row r="284" spans="2:6" x14ac:dyDescent="0.25">
      <c r="B284" s="28"/>
      <c r="C284" s="19"/>
      <c r="D284" s="5" t="e">
        <f>VLOOKUP(B284,'[1]Base de datos'!$B:$F,2,FALSE)</f>
        <v>#N/A</v>
      </c>
      <c r="E284" t="e">
        <f>VLOOKUP(B284,'[1]Base de datos'!$B:$E,3,FALSE)</f>
        <v>#N/A</v>
      </c>
      <c r="F284" t="e">
        <f>VLOOKUP(B284,'[1]Base de datos'!$B:$E,4,FALSE)</f>
        <v>#N/A</v>
      </c>
    </row>
    <row r="285" spans="2:6" x14ac:dyDescent="0.25">
      <c r="B285" s="28"/>
      <c r="C285" s="19"/>
      <c r="D285" s="5" t="e">
        <f>VLOOKUP(B285,'[1]Base de datos'!$B:$F,2,FALSE)</f>
        <v>#N/A</v>
      </c>
      <c r="E285" t="e">
        <f>VLOOKUP(B285,'[1]Base de datos'!$B:$E,3,FALSE)</f>
        <v>#N/A</v>
      </c>
      <c r="F285" t="e">
        <f>VLOOKUP(B285,'[1]Base de datos'!$B:$E,4,FALSE)</f>
        <v>#N/A</v>
      </c>
    </row>
    <row r="286" spans="2:6" x14ac:dyDescent="0.25">
      <c r="B286" s="28"/>
      <c r="C286" s="19"/>
      <c r="D286" s="5" t="e">
        <f>VLOOKUP(B286,'[1]Base de datos'!$B:$F,2,FALSE)</f>
        <v>#N/A</v>
      </c>
      <c r="E286" t="e">
        <f>VLOOKUP(B286,'[1]Base de datos'!$B:$E,3,FALSE)</f>
        <v>#N/A</v>
      </c>
      <c r="F286" t="e">
        <f>VLOOKUP(B286,'[1]Base de datos'!$B:$E,4,FALSE)</f>
        <v>#N/A</v>
      </c>
    </row>
    <row r="287" spans="2:6" x14ac:dyDescent="0.25">
      <c r="B287" s="28"/>
      <c r="C287" s="19"/>
      <c r="D287" s="5" t="e">
        <f>VLOOKUP(B287,'[1]Base de datos'!$B:$F,2,FALSE)</f>
        <v>#N/A</v>
      </c>
      <c r="E287" t="e">
        <f>VLOOKUP(B287,'[1]Base de datos'!$B:$E,3,FALSE)</f>
        <v>#N/A</v>
      </c>
      <c r="F287" t="e">
        <f>VLOOKUP(B287,'[1]Base de datos'!$B:$E,4,FALSE)</f>
        <v>#N/A</v>
      </c>
    </row>
    <row r="288" spans="2:6" x14ac:dyDescent="0.25">
      <c r="B288" s="28"/>
      <c r="C288" s="19"/>
      <c r="D288" s="5" t="e">
        <f>VLOOKUP(B288,'[1]Base de datos'!$B:$F,2,FALSE)</f>
        <v>#N/A</v>
      </c>
      <c r="E288" t="e">
        <f>VLOOKUP(B288,'[1]Base de datos'!$B:$E,3,FALSE)</f>
        <v>#N/A</v>
      </c>
      <c r="F288" t="e">
        <f>VLOOKUP(B288,'[1]Base de datos'!$B:$E,4,FALSE)</f>
        <v>#N/A</v>
      </c>
    </row>
    <row r="289" spans="2:6" x14ac:dyDescent="0.25">
      <c r="B289" s="28"/>
      <c r="C289" s="19"/>
      <c r="D289" s="5" t="e">
        <f>VLOOKUP(B289,'[1]Base de datos'!$B:$F,2,FALSE)</f>
        <v>#N/A</v>
      </c>
      <c r="E289" t="e">
        <f>VLOOKUP(B289,'[1]Base de datos'!$B:$E,3,FALSE)</f>
        <v>#N/A</v>
      </c>
      <c r="F289" t="e">
        <f>VLOOKUP(B289,'[1]Base de datos'!$B:$E,4,FALSE)</f>
        <v>#N/A</v>
      </c>
    </row>
    <row r="290" spans="2:6" x14ac:dyDescent="0.25">
      <c r="B290" s="28"/>
      <c r="C290" s="19"/>
      <c r="D290" s="5" t="e">
        <f>VLOOKUP(B290,'[1]Base de datos'!$B:$F,2,FALSE)</f>
        <v>#N/A</v>
      </c>
      <c r="E290" t="e">
        <f>VLOOKUP(B290,'[1]Base de datos'!$B:$E,3,FALSE)</f>
        <v>#N/A</v>
      </c>
      <c r="F290" t="e">
        <f>VLOOKUP(B290,'[1]Base de datos'!$B:$E,4,FALSE)</f>
        <v>#N/A</v>
      </c>
    </row>
    <row r="291" spans="2:6" x14ac:dyDescent="0.25">
      <c r="B291" s="28"/>
      <c r="C291" s="19"/>
      <c r="D291" s="5" t="e">
        <f>VLOOKUP(B291,'[1]Base de datos'!$B:$F,2,FALSE)</f>
        <v>#N/A</v>
      </c>
      <c r="E291" t="e">
        <f>VLOOKUP(B291,'[1]Base de datos'!$B:$E,3,FALSE)</f>
        <v>#N/A</v>
      </c>
      <c r="F291" t="e">
        <f>VLOOKUP(B291,'[1]Base de datos'!$B:$E,4,FALSE)</f>
        <v>#N/A</v>
      </c>
    </row>
    <row r="292" spans="2:6" x14ac:dyDescent="0.25">
      <c r="B292" s="28"/>
      <c r="C292" s="19"/>
      <c r="D292" s="5" t="e">
        <f>VLOOKUP(B292,'[1]Base de datos'!$B:$F,2,FALSE)</f>
        <v>#N/A</v>
      </c>
      <c r="E292" t="e">
        <f>VLOOKUP(B292,'[1]Base de datos'!$B:$E,3,FALSE)</f>
        <v>#N/A</v>
      </c>
      <c r="F292" t="e">
        <f>VLOOKUP(B292,'[1]Base de datos'!$B:$E,4,FALSE)</f>
        <v>#N/A</v>
      </c>
    </row>
    <row r="293" spans="2:6" x14ac:dyDescent="0.25">
      <c r="B293" s="28"/>
      <c r="C293" s="19"/>
      <c r="D293" s="5" t="e">
        <f>VLOOKUP(B293,'[1]Base de datos'!$B:$F,2,FALSE)</f>
        <v>#N/A</v>
      </c>
      <c r="E293" t="e">
        <f>VLOOKUP(B293,'[1]Base de datos'!$B:$E,3,FALSE)</f>
        <v>#N/A</v>
      </c>
      <c r="F293" t="e">
        <f>VLOOKUP(B293,'[1]Base de datos'!$B:$E,4,FALSE)</f>
        <v>#N/A</v>
      </c>
    </row>
    <row r="294" spans="2:6" x14ac:dyDescent="0.25">
      <c r="B294" s="28"/>
      <c r="C294" s="19"/>
      <c r="D294" s="5" t="e">
        <f>VLOOKUP(B294,'[1]Base de datos'!$B:$F,2,FALSE)</f>
        <v>#N/A</v>
      </c>
      <c r="E294" t="e">
        <f>VLOOKUP(B294,'[1]Base de datos'!$B:$E,3,FALSE)</f>
        <v>#N/A</v>
      </c>
      <c r="F294" t="e">
        <f>VLOOKUP(B294,'[1]Base de datos'!$B:$E,4,FALSE)</f>
        <v>#N/A</v>
      </c>
    </row>
    <row r="295" spans="2:6" x14ac:dyDescent="0.25">
      <c r="B295" s="28"/>
      <c r="C295" s="19"/>
      <c r="D295" s="5" t="e">
        <f>VLOOKUP(B295,'[1]Base de datos'!$B:$F,2,FALSE)</f>
        <v>#N/A</v>
      </c>
      <c r="E295" t="e">
        <f>VLOOKUP(B295,'[1]Base de datos'!$B:$E,3,FALSE)</f>
        <v>#N/A</v>
      </c>
      <c r="F295" t="e">
        <f>VLOOKUP(B295,'[1]Base de datos'!$B:$E,4,FALSE)</f>
        <v>#N/A</v>
      </c>
    </row>
    <row r="296" spans="2:6" x14ac:dyDescent="0.25">
      <c r="B296" s="28"/>
      <c r="C296" s="19"/>
      <c r="D296" s="5" t="e">
        <f>VLOOKUP(B296,'[1]Base de datos'!$B:$F,2,FALSE)</f>
        <v>#N/A</v>
      </c>
      <c r="E296" t="e">
        <f>VLOOKUP(B296,'[1]Base de datos'!$B:$E,3,FALSE)</f>
        <v>#N/A</v>
      </c>
      <c r="F296" t="e">
        <f>VLOOKUP(B296,'[1]Base de datos'!$B:$E,4,FALSE)</f>
        <v>#N/A</v>
      </c>
    </row>
    <row r="297" spans="2:6" x14ac:dyDescent="0.25">
      <c r="B297" s="28"/>
      <c r="C297" s="19"/>
      <c r="D297" s="5" t="e">
        <f>VLOOKUP(B297,'[1]Base de datos'!$B:$F,2,FALSE)</f>
        <v>#N/A</v>
      </c>
      <c r="E297" t="e">
        <f>VLOOKUP(B297,'[1]Base de datos'!$B:$E,3,FALSE)</f>
        <v>#N/A</v>
      </c>
      <c r="F297" t="e">
        <f>VLOOKUP(B297,'[1]Base de datos'!$B:$E,4,FALSE)</f>
        <v>#N/A</v>
      </c>
    </row>
    <row r="298" spans="2:6" x14ac:dyDescent="0.25">
      <c r="B298" s="28"/>
      <c r="C298" s="19"/>
      <c r="D298" s="5" t="e">
        <f>VLOOKUP(B298,'[1]Base de datos'!$B:$F,2,FALSE)</f>
        <v>#N/A</v>
      </c>
      <c r="E298" t="e">
        <f>VLOOKUP(B298,'[1]Base de datos'!$B:$E,3,FALSE)</f>
        <v>#N/A</v>
      </c>
      <c r="F298" t="e">
        <f>VLOOKUP(B298,'[1]Base de datos'!$B:$E,4,FALSE)</f>
        <v>#N/A</v>
      </c>
    </row>
    <row r="299" spans="2:6" x14ac:dyDescent="0.25">
      <c r="B299" s="28"/>
      <c r="C299" s="19"/>
      <c r="D299" s="5" t="e">
        <f>VLOOKUP(B299,'[1]Base de datos'!$B:$F,2,FALSE)</f>
        <v>#N/A</v>
      </c>
      <c r="E299" t="e">
        <f>VLOOKUP(B299,'[1]Base de datos'!$B:$E,3,FALSE)</f>
        <v>#N/A</v>
      </c>
      <c r="F299" t="e">
        <f>VLOOKUP(B299,'[1]Base de datos'!$B:$E,4,FALSE)</f>
        <v>#N/A</v>
      </c>
    </row>
    <row r="300" spans="2:6" x14ac:dyDescent="0.25">
      <c r="B300" s="28"/>
      <c r="C300" s="19"/>
      <c r="D300" s="5" t="e">
        <f>VLOOKUP(B300,'[1]Base de datos'!$B:$F,2,FALSE)</f>
        <v>#N/A</v>
      </c>
      <c r="E300" t="e">
        <f>VLOOKUP(B300,'[1]Base de datos'!$B:$E,3,FALSE)</f>
        <v>#N/A</v>
      </c>
      <c r="F300" t="e">
        <f>VLOOKUP(B300,'[1]Base de datos'!$B:$E,4,FALSE)</f>
        <v>#N/A</v>
      </c>
    </row>
    <row r="301" spans="2:6" x14ac:dyDescent="0.25">
      <c r="B301" s="28"/>
      <c r="C301" s="19"/>
      <c r="D301" s="5" t="e">
        <f>VLOOKUP(B301,'[1]Base de datos'!$B:$F,2,FALSE)</f>
        <v>#N/A</v>
      </c>
      <c r="E301" t="e">
        <f>VLOOKUP(B301,'[1]Base de datos'!$B:$E,3,FALSE)</f>
        <v>#N/A</v>
      </c>
      <c r="F301" t="e">
        <f>VLOOKUP(B301,'[1]Base de datos'!$B:$E,4,FALSE)</f>
        <v>#N/A</v>
      </c>
    </row>
    <row r="302" spans="2:6" x14ac:dyDescent="0.25">
      <c r="B302" s="28"/>
      <c r="C302" s="19"/>
      <c r="D302" s="5" t="e">
        <f>VLOOKUP(B302,'[1]Base de datos'!$B:$F,2,FALSE)</f>
        <v>#N/A</v>
      </c>
      <c r="E302" t="e">
        <f>VLOOKUP(B302,'[1]Base de datos'!$B:$E,3,FALSE)</f>
        <v>#N/A</v>
      </c>
      <c r="F302" t="e">
        <f>VLOOKUP(B302,'[1]Base de datos'!$B:$E,4,FALSE)</f>
        <v>#N/A</v>
      </c>
    </row>
    <row r="303" spans="2:6" x14ac:dyDescent="0.25">
      <c r="B303" s="28"/>
      <c r="C303" s="19"/>
      <c r="D303" s="5" t="e">
        <f>VLOOKUP(B303,'[1]Base de datos'!$B:$F,2,FALSE)</f>
        <v>#N/A</v>
      </c>
      <c r="E303" t="e">
        <f>VLOOKUP(B303,'[1]Base de datos'!$B:$E,3,FALSE)</f>
        <v>#N/A</v>
      </c>
      <c r="F303" t="e">
        <f>VLOOKUP(B303,'[1]Base de datos'!$B:$E,4,FALSE)</f>
        <v>#N/A</v>
      </c>
    </row>
    <row r="304" spans="2:6" x14ac:dyDescent="0.25">
      <c r="B304" s="28"/>
      <c r="C304" s="19"/>
      <c r="D304" s="5" t="e">
        <f>VLOOKUP(B304,'[1]Base de datos'!$B:$F,2,FALSE)</f>
        <v>#N/A</v>
      </c>
      <c r="E304" t="e">
        <f>VLOOKUP(B304,'[1]Base de datos'!$B:$E,3,FALSE)</f>
        <v>#N/A</v>
      </c>
      <c r="F304" t="e">
        <f>VLOOKUP(B304,'[1]Base de datos'!$B:$E,4,FALSE)</f>
        <v>#N/A</v>
      </c>
    </row>
    <row r="305" spans="2:6" x14ac:dyDescent="0.25">
      <c r="B305" s="28"/>
      <c r="C305" s="19"/>
      <c r="D305" s="5" t="e">
        <f>VLOOKUP(B305,'[1]Base de datos'!$B:$F,2,FALSE)</f>
        <v>#N/A</v>
      </c>
      <c r="E305" t="e">
        <f>VLOOKUP(B305,'[1]Base de datos'!$B:$E,3,FALSE)</f>
        <v>#N/A</v>
      </c>
      <c r="F305" t="e">
        <f>VLOOKUP(B305,'[1]Base de datos'!$B:$E,4,FALSE)</f>
        <v>#N/A</v>
      </c>
    </row>
    <row r="306" spans="2:6" x14ac:dyDescent="0.25">
      <c r="B306" s="28"/>
      <c r="C306" s="19"/>
      <c r="D306" s="5" t="e">
        <f>VLOOKUP(B306,'[1]Base de datos'!$B:$F,2,FALSE)</f>
        <v>#N/A</v>
      </c>
      <c r="E306" t="e">
        <f>VLOOKUP(B306,'[1]Base de datos'!$B:$E,3,FALSE)</f>
        <v>#N/A</v>
      </c>
      <c r="F306" t="e">
        <f>VLOOKUP(B306,'[1]Base de datos'!$B:$E,4,FALSE)</f>
        <v>#N/A</v>
      </c>
    </row>
    <row r="307" spans="2:6" x14ac:dyDescent="0.25">
      <c r="B307" s="28"/>
      <c r="C307" s="19"/>
      <c r="D307" s="5" t="e">
        <f>VLOOKUP(B307,'[1]Base de datos'!$B:$F,2,FALSE)</f>
        <v>#N/A</v>
      </c>
      <c r="E307" t="e">
        <f>VLOOKUP(B307,'[1]Base de datos'!$B:$E,3,FALSE)</f>
        <v>#N/A</v>
      </c>
      <c r="F307" t="e">
        <f>VLOOKUP(B307,'[1]Base de datos'!$B:$E,4,FALSE)</f>
        <v>#N/A</v>
      </c>
    </row>
    <row r="308" spans="2:6" x14ac:dyDescent="0.25">
      <c r="B308" s="28"/>
      <c r="C308" s="19"/>
      <c r="D308" s="5" t="e">
        <f>VLOOKUP(B308,'[1]Base de datos'!$B:$F,2,FALSE)</f>
        <v>#N/A</v>
      </c>
      <c r="E308" t="e">
        <f>VLOOKUP(B308,'[1]Base de datos'!$B:$E,3,FALSE)</f>
        <v>#N/A</v>
      </c>
      <c r="F308" t="e">
        <f>VLOOKUP(B308,'[1]Base de datos'!$B:$E,4,FALSE)</f>
        <v>#N/A</v>
      </c>
    </row>
    <row r="309" spans="2:6" x14ac:dyDescent="0.25">
      <c r="B309" s="28"/>
      <c r="C309" s="19"/>
      <c r="D309" s="5" t="e">
        <f>VLOOKUP(B309,'[1]Base de datos'!$B:$F,2,FALSE)</f>
        <v>#N/A</v>
      </c>
      <c r="E309" t="e">
        <f>VLOOKUP(B309,'[1]Base de datos'!$B:$E,3,FALSE)</f>
        <v>#N/A</v>
      </c>
      <c r="F309" t="e">
        <f>VLOOKUP(B309,'[1]Base de datos'!$B:$E,4,FALSE)</f>
        <v>#N/A</v>
      </c>
    </row>
    <row r="310" spans="2:6" x14ac:dyDescent="0.25">
      <c r="B310" s="28"/>
      <c r="C310" s="19"/>
      <c r="D310" s="5" t="e">
        <f>VLOOKUP(B310,'[1]Base de datos'!$B:$F,2,FALSE)</f>
        <v>#N/A</v>
      </c>
      <c r="E310" t="e">
        <f>VLOOKUP(B310,'[1]Base de datos'!$B:$E,3,FALSE)</f>
        <v>#N/A</v>
      </c>
      <c r="F310" t="e">
        <f>VLOOKUP(B310,'[1]Base de datos'!$B:$E,4,FALSE)</f>
        <v>#N/A</v>
      </c>
    </row>
    <row r="311" spans="2:6" x14ac:dyDescent="0.25">
      <c r="B311" s="28"/>
      <c r="C311" s="19"/>
      <c r="D311" s="5" t="e">
        <f>VLOOKUP(B311,'[1]Base de datos'!$B:$F,2,FALSE)</f>
        <v>#N/A</v>
      </c>
      <c r="E311" t="e">
        <f>VLOOKUP(B311,'[1]Base de datos'!$B:$E,3,FALSE)</f>
        <v>#N/A</v>
      </c>
      <c r="F311" t="e">
        <f>VLOOKUP(B311,'[1]Base de datos'!$B:$E,4,FALSE)</f>
        <v>#N/A</v>
      </c>
    </row>
    <row r="312" spans="2:6" x14ac:dyDescent="0.25">
      <c r="B312" s="28"/>
      <c r="C312" s="19"/>
      <c r="D312" s="5" t="e">
        <f>VLOOKUP(B312,'[1]Base de datos'!$B:$F,2,FALSE)</f>
        <v>#N/A</v>
      </c>
      <c r="E312" t="e">
        <f>VLOOKUP(B312,'[1]Base de datos'!$B:$E,3,FALSE)</f>
        <v>#N/A</v>
      </c>
      <c r="F312" t="e">
        <f>VLOOKUP(B312,'[1]Base de datos'!$B:$E,4,FALSE)</f>
        <v>#N/A</v>
      </c>
    </row>
    <row r="313" spans="2:6" x14ac:dyDescent="0.25">
      <c r="B313" s="28"/>
      <c r="C313" s="19"/>
      <c r="D313" s="5" t="e">
        <f>VLOOKUP(B313,'[1]Base de datos'!$B:$F,2,FALSE)</f>
        <v>#N/A</v>
      </c>
      <c r="E313" t="e">
        <f>VLOOKUP(B313,'[1]Base de datos'!$B:$E,3,FALSE)</f>
        <v>#N/A</v>
      </c>
      <c r="F313" t="e">
        <f>VLOOKUP(B313,'[1]Base de datos'!$B:$E,4,FALSE)</f>
        <v>#N/A</v>
      </c>
    </row>
    <row r="314" spans="2:6" x14ac:dyDescent="0.25">
      <c r="B314" s="28"/>
      <c r="C314" s="19"/>
      <c r="D314" s="5" t="e">
        <f>VLOOKUP(B314,'[1]Base de datos'!$B:$F,2,FALSE)</f>
        <v>#N/A</v>
      </c>
      <c r="E314" t="e">
        <f>VLOOKUP(B314,'[1]Base de datos'!$B:$E,3,FALSE)</f>
        <v>#N/A</v>
      </c>
      <c r="F314" t="e">
        <f>VLOOKUP(B314,'[1]Base de datos'!$B:$E,4,FALSE)</f>
        <v>#N/A</v>
      </c>
    </row>
    <row r="315" spans="2:6" x14ac:dyDescent="0.25">
      <c r="B315" s="28"/>
      <c r="C315" s="19"/>
      <c r="D315" s="5" t="e">
        <f>VLOOKUP(B315,'[1]Base de datos'!$B:$F,2,FALSE)</f>
        <v>#N/A</v>
      </c>
      <c r="E315" t="e">
        <f>VLOOKUP(B315,'[1]Base de datos'!$B:$E,3,FALSE)</f>
        <v>#N/A</v>
      </c>
      <c r="F315" t="e">
        <f>VLOOKUP(B315,'[1]Base de datos'!$B:$E,4,FALSE)</f>
        <v>#N/A</v>
      </c>
    </row>
    <row r="316" spans="2:6" x14ac:dyDescent="0.25">
      <c r="B316" s="28"/>
      <c r="C316" s="19"/>
      <c r="D316" s="5" t="e">
        <f>VLOOKUP(B316,'[1]Base de datos'!$B:$F,2,FALSE)</f>
        <v>#N/A</v>
      </c>
      <c r="E316" t="e">
        <f>VLOOKUP(B316,'[1]Base de datos'!$B:$E,3,FALSE)</f>
        <v>#N/A</v>
      </c>
      <c r="F316" t="e">
        <f>VLOOKUP(B316,'[1]Base de datos'!$B:$E,4,FALSE)</f>
        <v>#N/A</v>
      </c>
    </row>
    <row r="317" spans="2:6" x14ac:dyDescent="0.25">
      <c r="B317" s="28"/>
      <c r="C317" s="19"/>
      <c r="D317" s="5" t="e">
        <f>VLOOKUP(B317,'[1]Base de datos'!$B:$F,2,FALSE)</f>
        <v>#N/A</v>
      </c>
      <c r="E317" t="e">
        <f>VLOOKUP(B317,'[1]Base de datos'!$B:$E,3,FALSE)</f>
        <v>#N/A</v>
      </c>
      <c r="F317" t="e">
        <f>VLOOKUP(B317,'[1]Base de datos'!$B:$E,4,FALSE)</f>
        <v>#N/A</v>
      </c>
    </row>
    <row r="318" spans="2:6" x14ac:dyDescent="0.25">
      <c r="B318" s="28"/>
      <c r="C318" s="19"/>
      <c r="D318" s="5" t="e">
        <f>VLOOKUP(B318,'[1]Base de datos'!$B:$F,2,FALSE)</f>
        <v>#N/A</v>
      </c>
      <c r="E318" t="e">
        <f>VLOOKUP(B318,'[1]Base de datos'!$B:$E,3,FALSE)</f>
        <v>#N/A</v>
      </c>
      <c r="F318" t="e">
        <f>VLOOKUP(B318,'[1]Base de datos'!$B:$E,4,FALSE)</f>
        <v>#N/A</v>
      </c>
    </row>
    <row r="319" spans="2:6" x14ac:dyDescent="0.25">
      <c r="B319" s="28"/>
      <c r="C319" s="19"/>
      <c r="D319" s="5" t="e">
        <f>VLOOKUP(B319,'[1]Base de datos'!$B:$F,2,FALSE)</f>
        <v>#N/A</v>
      </c>
      <c r="E319" t="e">
        <f>VLOOKUP(B319,'[1]Base de datos'!$B:$E,3,FALSE)</f>
        <v>#N/A</v>
      </c>
      <c r="F319" t="e">
        <f>VLOOKUP(B319,'[1]Base de datos'!$B:$E,4,FALSE)</f>
        <v>#N/A</v>
      </c>
    </row>
    <row r="320" spans="2:6" x14ac:dyDescent="0.25">
      <c r="B320" s="28"/>
      <c r="C320" s="19"/>
      <c r="D320" s="5" t="e">
        <f>VLOOKUP(B320,'[1]Base de datos'!$B:$F,2,FALSE)</f>
        <v>#N/A</v>
      </c>
      <c r="E320" t="e">
        <f>VLOOKUP(B320,'[1]Base de datos'!$B:$E,3,FALSE)</f>
        <v>#N/A</v>
      </c>
      <c r="F320" t="e">
        <f>VLOOKUP(B320,'[1]Base de datos'!$B:$E,4,FALSE)</f>
        <v>#N/A</v>
      </c>
    </row>
    <row r="321" spans="2:6" x14ac:dyDescent="0.25">
      <c r="B321" s="28"/>
      <c r="C321" s="19"/>
      <c r="D321" s="5" t="e">
        <f>VLOOKUP(B321,'[1]Base de datos'!$B:$F,2,FALSE)</f>
        <v>#N/A</v>
      </c>
      <c r="E321" t="e">
        <f>VLOOKUP(B321,'[1]Base de datos'!$B:$E,3,FALSE)</f>
        <v>#N/A</v>
      </c>
      <c r="F321" t="e">
        <f>VLOOKUP(B321,'[1]Base de datos'!$B:$E,4,FALSE)</f>
        <v>#N/A</v>
      </c>
    </row>
    <row r="322" spans="2:6" x14ac:dyDescent="0.25">
      <c r="B322" s="28"/>
      <c r="C322" s="19"/>
      <c r="D322" s="5" t="e">
        <f>VLOOKUP(B322,'[1]Base de datos'!$B:$F,2,FALSE)</f>
        <v>#N/A</v>
      </c>
      <c r="E322" t="e">
        <f>VLOOKUP(B322,'[1]Base de datos'!$B:$E,3,FALSE)</f>
        <v>#N/A</v>
      </c>
      <c r="F322" t="e">
        <f>VLOOKUP(B322,'[1]Base de datos'!$B:$E,4,FALSE)</f>
        <v>#N/A</v>
      </c>
    </row>
    <row r="323" spans="2:6" x14ac:dyDescent="0.25">
      <c r="B323" s="28"/>
      <c r="C323" s="19"/>
      <c r="D323" s="5" t="e">
        <f>VLOOKUP(B323,'[1]Base de datos'!$B:$F,2,FALSE)</f>
        <v>#N/A</v>
      </c>
      <c r="E323" t="e">
        <f>VLOOKUP(B323,'[1]Base de datos'!$B:$E,3,FALSE)</f>
        <v>#N/A</v>
      </c>
      <c r="F323" t="e">
        <f>VLOOKUP(B323,'[1]Base de datos'!$B:$E,4,FALSE)</f>
        <v>#N/A</v>
      </c>
    </row>
    <row r="324" spans="2:6" x14ac:dyDescent="0.25">
      <c r="B324" s="28"/>
      <c r="C324" s="19"/>
      <c r="D324" s="5" t="e">
        <f>VLOOKUP(B324,'[1]Base de datos'!$B:$F,2,FALSE)</f>
        <v>#N/A</v>
      </c>
      <c r="E324" t="e">
        <f>VLOOKUP(B324,'[1]Base de datos'!$B:$E,3,FALSE)</f>
        <v>#N/A</v>
      </c>
      <c r="F324" t="e">
        <f>VLOOKUP(B324,'[1]Base de datos'!$B:$E,4,FALSE)</f>
        <v>#N/A</v>
      </c>
    </row>
    <row r="325" spans="2:6" x14ac:dyDescent="0.25">
      <c r="B325" s="28"/>
      <c r="C325" s="19"/>
      <c r="D325" s="5" t="e">
        <f>VLOOKUP(B325,'[1]Base de datos'!$B:$F,2,FALSE)</f>
        <v>#N/A</v>
      </c>
      <c r="E325" t="e">
        <f>VLOOKUP(B325,'[1]Base de datos'!$B:$E,3,FALSE)</f>
        <v>#N/A</v>
      </c>
      <c r="F325" t="e">
        <f>VLOOKUP(B325,'[1]Base de datos'!$B:$E,4,FALSE)</f>
        <v>#N/A</v>
      </c>
    </row>
    <row r="326" spans="2:6" x14ac:dyDescent="0.25">
      <c r="B326" s="28"/>
      <c r="C326" s="19"/>
      <c r="D326" s="5" t="e">
        <f>VLOOKUP(B326,'[1]Base de datos'!$B:$F,2,FALSE)</f>
        <v>#N/A</v>
      </c>
      <c r="E326" t="e">
        <f>VLOOKUP(B326,'[1]Base de datos'!$B:$E,3,FALSE)</f>
        <v>#N/A</v>
      </c>
      <c r="F326" t="e">
        <f>VLOOKUP(B326,'[1]Base de datos'!$B:$E,4,FALSE)</f>
        <v>#N/A</v>
      </c>
    </row>
    <row r="327" spans="2:6" x14ac:dyDescent="0.25">
      <c r="B327" s="28"/>
      <c r="C327" s="19"/>
      <c r="D327" s="5" t="e">
        <f>VLOOKUP(B327,'[1]Base de datos'!$B:$F,2,FALSE)</f>
        <v>#N/A</v>
      </c>
      <c r="E327" t="e">
        <f>VLOOKUP(B327,'[1]Base de datos'!$B:$E,3,FALSE)</f>
        <v>#N/A</v>
      </c>
      <c r="F327" t="e">
        <f>VLOOKUP(B327,'[1]Base de datos'!$B:$E,4,FALSE)</f>
        <v>#N/A</v>
      </c>
    </row>
    <row r="328" spans="2:6" x14ac:dyDescent="0.25">
      <c r="B328" s="28"/>
      <c r="C328" s="19"/>
      <c r="D328" s="5" t="e">
        <f>VLOOKUP(B328,'[1]Base de datos'!$B:$F,2,FALSE)</f>
        <v>#N/A</v>
      </c>
      <c r="E328" t="e">
        <f>VLOOKUP(B328,'[1]Base de datos'!$B:$E,3,FALSE)</f>
        <v>#N/A</v>
      </c>
      <c r="F328" t="e">
        <f>VLOOKUP(B328,'[1]Base de datos'!$B:$E,4,FALSE)</f>
        <v>#N/A</v>
      </c>
    </row>
    <row r="329" spans="2:6" x14ac:dyDescent="0.25">
      <c r="B329" s="28"/>
      <c r="C329" s="19"/>
      <c r="D329" s="5" t="e">
        <f>VLOOKUP(B329,'[1]Base de datos'!$B:$F,2,FALSE)</f>
        <v>#N/A</v>
      </c>
      <c r="E329" t="e">
        <f>VLOOKUP(B329,'[1]Base de datos'!$B:$E,3,FALSE)</f>
        <v>#N/A</v>
      </c>
      <c r="F329" t="e">
        <f>VLOOKUP(B329,'[1]Base de datos'!$B:$E,4,FALSE)</f>
        <v>#N/A</v>
      </c>
    </row>
    <row r="330" spans="2:6" x14ac:dyDescent="0.25">
      <c r="B330" s="28"/>
      <c r="C330" s="19"/>
      <c r="D330" s="5" t="e">
        <f>VLOOKUP(B330,'[1]Base de datos'!$B:$F,2,FALSE)</f>
        <v>#N/A</v>
      </c>
      <c r="E330" t="e">
        <f>VLOOKUP(B330,'[1]Base de datos'!$B:$E,3,FALSE)</f>
        <v>#N/A</v>
      </c>
      <c r="F330" t="e">
        <f>VLOOKUP(B330,'[1]Base de datos'!$B:$E,4,FALSE)</f>
        <v>#N/A</v>
      </c>
    </row>
    <row r="331" spans="2:6" x14ac:dyDescent="0.25">
      <c r="B331" s="28"/>
      <c r="C331" s="19"/>
      <c r="D331" s="5" t="e">
        <f>VLOOKUP(B331,'[1]Base de datos'!$B:$F,2,FALSE)</f>
        <v>#N/A</v>
      </c>
      <c r="E331" t="e">
        <f>VLOOKUP(B331,'[1]Base de datos'!$B:$E,3,FALSE)</f>
        <v>#N/A</v>
      </c>
      <c r="F331" t="e">
        <f>VLOOKUP(B331,'[1]Base de datos'!$B:$E,4,FALSE)</f>
        <v>#N/A</v>
      </c>
    </row>
    <row r="332" spans="2:6" x14ac:dyDescent="0.25">
      <c r="B332" s="28"/>
      <c r="C332" s="19"/>
      <c r="D332" s="5" t="e">
        <f>VLOOKUP(B332,'[1]Base de datos'!$B:$F,2,FALSE)</f>
        <v>#N/A</v>
      </c>
      <c r="E332" t="e">
        <f>VLOOKUP(B332,'[1]Base de datos'!$B:$E,3,FALSE)</f>
        <v>#N/A</v>
      </c>
      <c r="F332" t="e">
        <f>VLOOKUP(B332,'[1]Base de datos'!$B:$E,4,FALSE)</f>
        <v>#N/A</v>
      </c>
    </row>
    <row r="333" spans="2:6" x14ac:dyDescent="0.25">
      <c r="B333" s="28"/>
      <c r="C333" s="19"/>
      <c r="D333" s="5" t="e">
        <f>VLOOKUP(B333,'[1]Base de datos'!$B:$F,2,FALSE)</f>
        <v>#N/A</v>
      </c>
      <c r="E333" t="e">
        <f>VLOOKUP(B333,'[1]Base de datos'!$B:$E,3,FALSE)</f>
        <v>#N/A</v>
      </c>
      <c r="F333" t="e">
        <f>VLOOKUP(B333,'[1]Base de datos'!$B:$E,4,FALSE)</f>
        <v>#N/A</v>
      </c>
    </row>
    <row r="334" spans="2:6" x14ac:dyDescent="0.25">
      <c r="B334" s="28"/>
      <c r="C334" s="19"/>
      <c r="D334" s="5" t="e">
        <f>VLOOKUP(B334,'[1]Base de datos'!$B:$F,2,FALSE)</f>
        <v>#N/A</v>
      </c>
      <c r="E334" t="e">
        <f>VLOOKUP(B334,'[1]Base de datos'!$B:$E,3,FALSE)</f>
        <v>#N/A</v>
      </c>
      <c r="F334" t="e">
        <f>VLOOKUP(B334,'[1]Base de datos'!$B:$E,4,FALSE)</f>
        <v>#N/A</v>
      </c>
    </row>
    <row r="335" spans="2:6" x14ac:dyDescent="0.25">
      <c r="B335" s="28"/>
      <c r="C335" s="19"/>
      <c r="D335" s="5" t="e">
        <f>VLOOKUP(B335,'[1]Base de datos'!$B:$F,2,FALSE)</f>
        <v>#N/A</v>
      </c>
      <c r="E335" t="e">
        <f>VLOOKUP(B335,'[1]Base de datos'!$B:$E,3,FALSE)</f>
        <v>#N/A</v>
      </c>
      <c r="F335" t="e">
        <f>VLOOKUP(B335,'[1]Base de datos'!$B:$E,4,FALSE)</f>
        <v>#N/A</v>
      </c>
    </row>
    <row r="336" spans="2:6" x14ac:dyDescent="0.25">
      <c r="B336" s="28"/>
      <c r="C336" s="19"/>
      <c r="D336" s="5" t="e">
        <f>VLOOKUP(B336,'[1]Base de datos'!$B:$F,2,FALSE)</f>
        <v>#N/A</v>
      </c>
      <c r="E336" t="e">
        <f>VLOOKUP(B336,'[1]Base de datos'!$B:$E,3,FALSE)</f>
        <v>#N/A</v>
      </c>
      <c r="F336" t="e">
        <f>VLOOKUP(B336,'[1]Base de datos'!$B:$E,4,FALSE)</f>
        <v>#N/A</v>
      </c>
    </row>
    <row r="337" spans="2:6" x14ac:dyDescent="0.25">
      <c r="B337" s="28"/>
      <c r="C337" s="19"/>
      <c r="D337" s="5" t="e">
        <f>VLOOKUP(B337,'[1]Base de datos'!$B:$F,2,FALSE)</f>
        <v>#N/A</v>
      </c>
      <c r="E337" t="e">
        <f>VLOOKUP(B337,'[1]Base de datos'!$B:$E,3,FALSE)</f>
        <v>#N/A</v>
      </c>
      <c r="F337" t="e">
        <f>VLOOKUP(B337,'[1]Base de datos'!$B:$E,4,FALSE)</f>
        <v>#N/A</v>
      </c>
    </row>
    <row r="338" spans="2:6" x14ac:dyDescent="0.25">
      <c r="B338" s="28"/>
      <c r="C338" s="19"/>
      <c r="D338" s="5" t="e">
        <f>VLOOKUP(B338,'[1]Base de datos'!$B:$F,2,FALSE)</f>
        <v>#N/A</v>
      </c>
      <c r="E338" t="e">
        <f>VLOOKUP(B338,'[1]Base de datos'!$B:$E,3,FALSE)</f>
        <v>#N/A</v>
      </c>
      <c r="F338" t="e">
        <f>VLOOKUP(B338,'[1]Base de datos'!$B:$E,4,FALSE)</f>
        <v>#N/A</v>
      </c>
    </row>
    <row r="339" spans="2:6" x14ac:dyDescent="0.25">
      <c r="B339" s="28"/>
      <c r="C339" s="19"/>
      <c r="D339" s="5" t="e">
        <f>VLOOKUP(B339,'[1]Base de datos'!$B:$F,2,FALSE)</f>
        <v>#N/A</v>
      </c>
      <c r="E339" t="e">
        <f>VLOOKUP(B339,'[1]Base de datos'!$B:$E,3,FALSE)</f>
        <v>#N/A</v>
      </c>
      <c r="F339" t="e">
        <f>VLOOKUP(B339,'[1]Base de datos'!$B:$E,4,FALSE)</f>
        <v>#N/A</v>
      </c>
    </row>
    <row r="340" spans="2:6" x14ac:dyDescent="0.25">
      <c r="B340" s="28"/>
      <c r="C340" s="19"/>
      <c r="D340" s="5" t="e">
        <f>VLOOKUP(B340,'[1]Base de datos'!$B:$F,2,FALSE)</f>
        <v>#N/A</v>
      </c>
      <c r="E340" t="e">
        <f>VLOOKUP(B340,'[1]Base de datos'!$B:$E,3,FALSE)</f>
        <v>#N/A</v>
      </c>
      <c r="F340" t="e">
        <f>VLOOKUP(B340,'[1]Base de datos'!$B:$E,4,FALSE)</f>
        <v>#N/A</v>
      </c>
    </row>
    <row r="341" spans="2:6" x14ac:dyDescent="0.25">
      <c r="B341" s="28"/>
      <c r="C341" s="19"/>
      <c r="D341" s="5" t="e">
        <f>VLOOKUP(B341,'[1]Base de datos'!$B:$F,2,FALSE)</f>
        <v>#N/A</v>
      </c>
      <c r="E341" t="e">
        <f>VLOOKUP(B341,'[1]Base de datos'!$B:$E,3,FALSE)</f>
        <v>#N/A</v>
      </c>
      <c r="F341" t="e">
        <f>VLOOKUP(B341,'[1]Base de datos'!$B:$E,4,FALSE)</f>
        <v>#N/A</v>
      </c>
    </row>
    <row r="342" spans="2:6" x14ac:dyDescent="0.25">
      <c r="B342" s="28"/>
      <c r="C342" s="19"/>
      <c r="D342" s="5" t="e">
        <f>VLOOKUP(B342,'[1]Base de datos'!$B:$F,2,FALSE)</f>
        <v>#N/A</v>
      </c>
      <c r="E342" t="e">
        <f>VLOOKUP(B342,'[1]Base de datos'!$B:$E,3,FALSE)</f>
        <v>#N/A</v>
      </c>
      <c r="F342" t="e">
        <f>VLOOKUP(B342,'[1]Base de datos'!$B:$E,4,FALSE)</f>
        <v>#N/A</v>
      </c>
    </row>
    <row r="343" spans="2:6" x14ac:dyDescent="0.25">
      <c r="B343" s="28"/>
      <c r="C343" s="19"/>
      <c r="D343" s="5" t="e">
        <f>VLOOKUP(B343,'[1]Base de datos'!$B:$F,2,FALSE)</f>
        <v>#N/A</v>
      </c>
      <c r="E343" t="e">
        <f>VLOOKUP(B343,'[1]Base de datos'!$B:$E,3,FALSE)</f>
        <v>#N/A</v>
      </c>
      <c r="F343" t="e">
        <f>VLOOKUP(B343,'[1]Base de datos'!$B:$E,4,FALSE)</f>
        <v>#N/A</v>
      </c>
    </row>
    <row r="344" spans="2:6" x14ac:dyDescent="0.25">
      <c r="B344" s="28"/>
      <c r="C344" s="19"/>
      <c r="D344" s="5" t="e">
        <f>VLOOKUP(B344,'[1]Base de datos'!$B:$F,2,FALSE)</f>
        <v>#N/A</v>
      </c>
      <c r="E344" t="e">
        <f>VLOOKUP(B344,'[1]Base de datos'!$B:$E,3,FALSE)</f>
        <v>#N/A</v>
      </c>
      <c r="F344" t="e">
        <f>VLOOKUP(B344,'[1]Base de datos'!$B:$E,4,FALSE)</f>
        <v>#N/A</v>
      </c>
    </row>
    <row r="345" spans="2:6" x14ac:dyDescent="0.25">
      <c r="B345" s="28"/>
      <c r="C345" s="19"/>
      <c r="D345" s="5" t="e">
        <f>VLOOKUP(B345,'[1]Base de datos'!$B:$F,2,FALSE)</f>
        <v>#N/A</v>
      </c>
      <c r="E345" t="e">
        <f>VLOOKUP(B345,'[1]Base de datos'!$B:$E,3,FALSE)</f>
        <v>#N/A</v>
      </c>
      <c r="F345" t="e">
        <f>VLOOKUP(B345,'[1]Base de datos'!$B:$E,4,FALSE)</f>
        <v>#N/A</v>
      </c>
    </row>
    <row r="346" spans="2:6" x14ac:dyDescent="0.25">
      <c r="B346" s="28"/>
      <c r="C346" s="19"/>
      <c r="D346" s="5" t="e">
        <f>VLOOKUP(B346,'[1]Base de datos'!$B:$F,2,FALSE)</f>
        <v>#N/A</v>
      </c>
      <c r="E346" t="e">
        <f>VLOOKUP(B346,'[1]Base de datos'!$B:$E,3,FALSE)</f>
        <v>#N/A</v>
      </c>
      <c r="F346" t="e">
        <f>VLOOKUP(B346,'[1]Base de datos'!$B:$E,4,FALSE)</f>
        <v>#N/A</v>
      </c>
    </row>
    <row r="347" spans="2:6" x14ac:dyDescent="0.25">
      <c r="B347" s="28"/>
      <c r="C347" s="19"/>
      <c r="D347" s="5" t="e">
        <f>VLOOKUP(B347,'[1]Base de datos'!$B:$F,2,FALSE)</f>
        <v>#N/A</v>
      </c>
      <c r="E347" t="e">
        <f>VLOOKUP(B347,'[1]Base de datos'!$B:$E,3,FALSE)</f>
        <v>#N/A</v>
      </c>
      <c r="F347" t="e">
        <f>VLOOKUP(B347,'[1]Base de datos'!$B:$E,4,FALSE)</f>
        <v>#N/A</v>
      </c>
    </row>
    <row r="348" spans="2:6" x14ac:dyDescent="0.25">
      <c r="B348" s="28"/>
      <c r="C348" s="19"/>
      <c r="D348" s="5" t="e">
        <f>VLOOKUP(B348,'[1]Base de datos'!$B:$F,2,FALSE)</f>
        <v>#N/A</v>
      </c>
      <c r="E348" t="e">
        <f>VLOOKUP(B348,'[1]Base de datos'!$B:$E,3,FALSE)</f>
        <v>#N/A</v>
      </c>
      <c r="F348" t="e">
        <f>VLOOKUP(B348,'[1]Base de datos'!$B:$E,4,FALSE)</f>
        <v>#N/A</v>
      </c>
    </row>
    <row r="349" spans="2:6" x14ac:dyDescent="0.25">
      <c r="B349" s="28"/>
      <c r="C349" s="19"/>
      <c r="D349" s="5" t="e">
        <f>VLOOKUP(B349,'[1]Base de datos'!$B:$F,2,FALSE)</f>
        <v>#N/A</v>
      </c>
      <c r="E349" t="e">
        <f>VLOOKUP(B349,'[1]Base de datos'!$B:$E,3,FALSE)</f>
        <v>#N/A</v>
      </c>
      <c r="F349" t="e">
        <f>VLOOKUP(B349,'[1]Base de datos'!$B:$E,4,FALSE)</f>
        <v>#N/A</v>
      </c>
    </row>
    <row r="350" spans="2:6" x14ac:dyDescent="0.25">
      <c r="B350" s="28"/>
      <c r="C350" s="19"/>
      <c r="D350" s="5" t="e">
        <f>VLOOKUP(B350,'[1]Base de datos'!$B:$F,2,FALSE)</f>
        <v>#N/A</v>
      </c>
      <c r="E350" t="e">
        <f>VLOOKUP(B350,'[1]Base de datos'!$B:$E,3,FALSE)</f>
        <v>#N/A</v>
      </c>
      <c r="F350" t="e">
        <f>VLOOKUP(B350,'[1]Base de datos'!$B:$E,4,FALSE)</f>
        <v>#N/A</v>
      </c>
    </row>
    <row r="351" spans="2:6" x14ac:dyDescent="0.25">
      <c r="B351" s="28"/>
      <c r="C351" s="19"/>
      <c r="D351" s="5" t="e">
        <f>VLOOKUP(B351,'[1]Base de datos'!$B:$F,2,FALSE)</f>
        <v>#N/A</v>
      </c>
      <c r="E351" t="e">
        <f>VLOOKUP(B351,'[1]Base de datos'!$B:$E,3,FALSE)</f>
        <v>#N/A</v>
      </c>
      <c r="F351" t="e">
        <f>VLOOKUP(B351,'[1]Base de datos'!$B:$E,4,FALSE)</f>
        <v>#N/A</v>
      </c>
    </row>
    <row r="352" spans="2:6" x14ac:dyDescent="0.25">
      <c r="B352" s="28"/>
      <c r="C352" s="19"/>
      <c r="D352" s="5" t="e">
        <f>VLOOKUP(B352,'[1]Base de datos'!$B:$F,2,FALSE)</f>
        <v>#N/A</v>
      </c>
      <c r="E352" t="e">
        <f>VLOOKUP(B352,'[1]Base de datos'!$B:$E,3,FALSE)</f>
        <v>#N/A</v>
      </c>
      <c r="F352" t="e">
        <f>VLOOKUP(B352,'[1]Base de datos'!$B:$E,4,FALSE)</f>
        <v>#N/A</v>
      </c>
    </row>
    <row r="353" spans="2:6" x14ac:dyDescent="0.25">
      <c r="B353" s="28"/>
      <c r="C353" s="19"/>
      <c r="D353" s="5" t="e">
        <f>VLOOKUP(B353,'[1]Base de datos'!$B:$F,2,FALSE)</f>
        <v>#N/A</v>
      </c>
      <c r="E353" t="e">
        <f>VLOOKUP(B353,'[1]Base de datos'!$B:$E,3,FALSE)</f>
        <v>#N/A</v>
      </c>
      <c r="F353" t="e">
        <f>VLOOKUP(B353,'[1]Base de datos'!$B:$E,4,FALSE)</f>
        <v>#N/A</v>
      </c>
    </row>
    <row r="354" spans="2:6" x14ac:dyDescent="0.25">
      <c r="B354" s="28"/>
      <c r="C354" s="19"/>
      <c r="D354" s="5" t="e">
        <f>VLOOKUP(B354,'[1]Base de datos'!$B:$F,2,FALSE)</f>
        <v>#N/A</v>
      </c>
      <c r="E354" t="e">
        <f>VLOOKUP(B354,'[1]Base de datos'!$B:$E,3,FALSE)</f>
        <v>#N/A</v>
      </c>
      <c r="F354" t="e">
        <f>VLOOKUP(B354,'[1]Base de datos'!$B:$E,4,FALSE)</f>
        <v>#N/A</v>
      </c>
    </row>
    <row r="355" spans="2:6" x14ac:dyDescent="0.25">
      <c r="B355" s="28"/>
      <c r="C355" s="19"/>
      <c r="D355" s="5" t="e">
        <f>VLOOKUP(B355,'[1]Base de datos'!$B:$F,2,FALSE)</f>
        <v>#N/A</v>
      </c>
      <c r="E355" t="e">
        <f>VLOOKUP(B355,'[1]Base de datos'!$B:$E,3,FALSE)</f>
        <v>#N/A</v>
      </c>
      <c r="F355" t="e">
        <f>VLOOKUP(B355,'[1]Base de datos'!$B:$E,4,FALSE)</f>
        <v>#N/A</v>
      </c>
    </row>
    <row r="356" spans="2:6" x14ac:dyDescent="0.25">
      <c r="B356" s="28"/>
      <c r="C356" s="19"/>
      <c r="D356" s="5" t="e">
        <f>VLOOKUP(B356,'[1]Base de datos'!$B:$F,2,FALSE)</f>
        <v>#N/A</v>
      </c>
      <c r="E356" t="e">
        <f>VLOOKUP(B356,'[1]Base de datos'!$B:$E,3,FALSE)</f>
        <v>#N/A</v>
      </c>
      <c r="F356" t="e">
        <f>VLOOKUP(B356,'[1]Base de datos'!$B:$E,4,FALSE)</f>
        <v>#N/A</v>
      </c>
    </row>
    <row r="357" spans="2:6" x14ac:dyDescent="0.25">
      <c r="B357" s="28"/>
      <c r="C357" s="19"/>
      <c r="D357" s="5" t="e">
        <f>VLOOKUP(B357,'[1]Base de datos'!$B:$F,2,FALSE)</f>
        <v>#N/A</v>
      </c>
      <c r="E357" t="e">
        <f>VLOOKUP(B357,'[1]Base de datos'!$B:$E,3,FALSE)</f>
        <v>#N/A</v>
      </c>
      <c r="F357" t="e">
        <f>VLOOKUP(B357,'[1]Base de datos'!$B:$E,4,FALSE)</f>
        <v>#N/A</v>
      </c>
    </row>
    <row r="358" spans="2:6" x14ac:dyDescent="0.25">
      <c r="B358" s="28"/>
      <c r="C358" s="19"/>
      <c r="D358" s="5" t="e">
        <f>VLOOKUP(B358,'[1]Base de datos'!$B:$F,2,FALSE)</f>
        <v>#N/A</v>
      </c>
      <c r="E358" t="e">
        <f>VLOOKUP(B358,'[1]Base de datos'!$B:$E,3,FALSE)</f>
        <v>#N/A</v>
      </c>
      <c r="F358" t="e">
        <f>VLOOKUP(B358,'[1]Base de datos'!$B:$E,4,FALSE)</f>
        <v>#N/A</v>
      </c>
    </row>
    <row r="359" spans="2:6" x14ac:dyDescent="0.25">
      <c r="B359" s="28"/>
      <c r="C359" s="19"/>
      <c r="D359" s="5" t="e">
        <f>VLOOKUP(B359,'[1]Base de datos'!$B:$F,2,FALSE)</f>
        <v>#N/A</v>
      </c>
      <c r="E359" t="e">
        <f>VLOOKUP(B359,'[1]Base de datos'!$B:$E,3,FALSE)</f>
        <v>#N/A</v>
      </c>
      <c r="F359" t="e">
        <f>VLOOKUP(B359,'[1]Base de datos'!$B:$E,4,FALSE)</f>
        <v>#N/A</v>
      </c>
    </row>
    <row r="360" spans="2:6" x14ac:dyDescent="0.25">
      <c r="B360" s="28"/>
      <c r="C360" s="19"/>
      <c r="D360" s="5" t="e">
        <f>VLOOKUP(B360,'[1]Base de datos'!$B:$F,2,FALSE)</f>
        <v>#N/A</v>
      </c>
      <c r="E360" t="e">
        <f>VLOOKUP(B360,'[1]Base de datos'!$B:$E,3,FALSE)</f>
        <v>#N/A</v>
      </c>
      <c r="F360" t="e">
        <f>VLOOKUP(B360,'[1]Base de datos'!$B:$E,4,FALSE)</f>
        <v>#N/A</v>
      </c>
    </row>
    <row r="361" spans="2:6" x14ac:dyDescent="0.25">
      <c r="B361" s="28"/>
      <c r="C361" s="19"/>
      <c r="D361" s="5" t="e">
        <f>VLOOKUP(B361,'[1]Base de datos'!$B:$F,2,FALSE)</f>
        <v>#N/A</v>
      </c>
      <c r="E361" t="e">
        <f>VLOOKUP(B361,'[1]Base de datos'!$B:$E,3,FALSE)</f>
        <v>#N/A</v>
      </c>
      <c r="F361" t="e">
        <f>VLOOKUP(B361,'[1]Base de datos'!$B:$E,4,FALSE)</f>
        <v>#N/A</v>
      </c>
    </row>
    <row r="362" spans="2:6" x14ac:dyDescent="0.25">
      <c r="B362" s="28"/>
      <c r="C362" s="19"/>
      <c r="D362" s="5" t="e">
        <f>VLOOKUP(B362,'[1]Base de datos'!$B:$F,2,FALSE)</f>
        <v>#N/A</v>
      </c>
      <c r="E362" t="e">
        <f>VLOOKUP(B362,'[1]Base de datos'!$B:$E,3,FALSE)</f>
        <v>#N/A</v>
      </c>
      <c r="F362" t="e">
        <f>VLOOKUP(B362,'[1]Base de datos'!$B:$E,4,FALSE)</f>
        <v>#N/A</v>
      </c>
    </row>
    <row r="363" spans="2:6" x14ac:dyDescent="0.25">
      <c r="B363" s="28"/>
      <c r="C363" s="19"/>
      <c r="D363" s="5" t="e">
        <f>VLOOKUP(B363,'[1]Base de datos'!$B:$F,2,FALSE)</f>
        <v>#N/A</v>
      </c>
      <c r="E363" t="e">
        <f>VLOOKUP(B363,'[1]Base de datos'!$B:$E,3,FALSE)</f>
        <v>#N/A</v>
      </c>
      <c r="F363" t="e">
        <f>VLOOKUP(B363,'[1]Base de datos'!$B:$E,4,FALSE)</f>
        <v>#N/A</v>
      </c>
    </row>
    <row r="364" spans="2:6" x14ac:dyDescent="0.25">
      <c r="B364" s="28"/>
      <c r="C364" s="19"/>
      <c r="D364" s="5" t="e">
        <f>VLOOKUP(B364,'[1]Base de datos'!$B:$F,2,FALSE)</f>
        <v>#N/A</v>
      </c>
      <c r="E364" t="e">
        <f>VLOOKUP(B364,'[1]Base de datos'!$B:$E,3,FALSE)</f>
        <v>#N/A</v>
      </c>
      <c r="F364" t="e">
        <f>VLOOKUP(B364,'[1]Base de datos'!$B:$E,4,FALSE)</f>
        <v>#N/A</v>
      </c>
    </row>
    <row r="365" spans="2:6" x14ac:dyDescent="0.25">
      <c r="B365" s="28"/>
      <c r="C365" s="19"/>
      <c r="D365" s="5" t="e">
        <f>VLOOKUP(B365,'[1]Base de datos'!$B:$F,2,FALSE)</f>
        <v>#N/A</v>
      </c>
      <c r="E365" t="e">
        <f>VLOOKUP(B365,'[1]Base de datos'!$B:$E,3,FALSE)</f>
        <v>#N/A</v>
      </c>
      <c r="F365" t="e">
        <f>VLOOKUP(B365,'[1]Base de datos'!$B:$E,4,FALSE)</f>
        <v>#N/A</v>
      </c>
    </row>
    <row r="366" spans="2:6" x14ac:dyDescent="0.25">
      <c r="B366" s="28"/>
      <c r="C366" s="19"/>
      <c r="D366" s="5" t="e">
        <f>VLOOKUP(B366,'[1]Base de datos'!$B:$F,2,FALSE)</f>
        <v>#N/A</v>
      </c>
      <c r="E366" t="e">
        <f>VLOOKUP(B366,'[1]Base de datos'!$B:$E,3,FALSE)</f>
        <v>#N/A</v>
      </c>
      <c r="F366" t="e">
        <f>VLOOKUP(B366,'[1]Base de datos'!$B:$E,4,FALSE)</f>
        <v>#N/A</v>
      </c>
    </row>
    <row r="367" spans="2:6" x14ac:dyDescent="0.25">
      <c r="B367" s="28"/>
      <c r="C367" s="19"/>
      <c r="D367" s="5" t="e">
        <f>VLOOKUP(B367,'[1]Base de datos'!$B:$F,2,FALSE)</f>
        <v>#N/A</v>
      </c>
      <c r="E367" t="e">
        <f>VLOOKUP(B367,'[1]Base de datos'!$B:$E,3,FALSE)</f>
        <v>#N/A</v>
      </c>
      <c r="F367" t="e">
        <f>VLOOKUP(B367,'[1]Base de datos'!$B:$E,4,FALSE)</f>
        <v>#N/A</v>
      </c>
    </row>
    <row r="368" spans="2:6" x14ac:dyDescent="0.25">
      <c r="B368" s="28"/>
      <c r="C368" s="19"/>
      <c r="D368" s="5" t="e">
        <f>VLOOKUP(B368,'[1]Base de datos'!$B:$F,2,FALSE)</f>
        <v>#N/A</v>
      </c>
      <c r="E368" t="e">
        <f>VLOOKUP(B368,'[1]Base de datos'!$B:$E,3,FALSE)</f>
        <v>#N/A</v>
      </c>
      <c r="F368" t="e">
        <f>VLOOKUP(B368,'[1]Base de datos'!$B:$E,4,FALSE)</f>
        <v>#N/A</v>
      </c>
    </row>
    <row r="369" spans="2:6" x14ac:dyDescent="0.25">
      <c r="B369" s="28"/>
      <c r="C369" s="19"/>
      <c r="D369" s="5" t="e">
        <f>VLOOKUP(B369,'[1]Base de datos'!$B:$F,2,FALSE)</f>
        <v>#N/A</v>
      </c>
      <c r="E369" t="e">
        <f>VLOOKUP(B369,'[1]Base de datos'!$B:$E,3,FALSE)</f>
        <v>#N/A</v>
      </c>
      <c r="F369" t="e">
        <f>VLOOKUP(B369,'[1]Base de datos'!$B:$E,4,FALSE)</f>
        <v>#N/A</v>
      </c>
    </row>
    <row r="370" spans="2:6" x14ac:dyDescent="0.25">
      <c r="B370" s="28"/>
      <c r="C370" s="19"/>
      <c r="D370" s="5" t="e">
        <f>VLOOKUP(B370,'[1]Base de datos'!$B:$F,2,FALSE)</f>
        <v>#N/A</v>
      </c>
      <c r="E370" t="e">
        <f>VLOOKUP(B370,'[1]Base de datos'!$B:$E,3,FALSE)</f>
        <v>#N/A</v>
      </c>
      <c r="F370" t="e">
        <f>VLOOKUP(B370,'[1]Base de datos'!$B:$E,4,FALSE)</f>
        <v>#N/A</v>
      </c>
    </row>
    <row r="371" spans="2:6" x14ac:dyDescent="0.25">
      <c r="B371" s="28"/>
      <c r="C371" s="19"/>
      <c r="D371" s="5" t="e">
        <f>VLOOKUP(B371,'[1]Base de datos'!$B:$F,2,FALSE)</f>
        <v>#N/A</v>
      </c>
      <c r="E371" t="e">
        <f>VLOOKUP(B371,'[1]Base de datos'!$B:$E,3,FALSE)</f>
        <v>#N/A</v>
      </c>
      <c r="F371" t="e">
        <f>VLOOKUP(B371,'[1]Base de datos'!$B:$E,4,FALSE)</f>
        <v>#N/A</v>
      </c>
    </row>
    <row r="372" spans="2:6" x14ac:dyDescent="0.25">
      <c r="B372" s="28"/>
      <c r="C372" s="19"/>
      <c r="D372" s="5" t="e">
        <f>VLOOKUP(B372,'[1]Base de datos'!$B:$F,2,FALSE)</f>
        <v>#N/A</v>
      </c>
      <c r="E372" t="e">
        <f>VLOOKUP(B372,'[1]Base de datos'!$B:$E,3,FALSE)</f>
        <v>#N/A</v>
      </c>
      <c r="F372" t="e">
        <f>VLOOKUP(B372,'[1]Base de datos'!$B:$E,4,FALSE)</f>
        <v>#N/A</v>
      </c>
    </row>
    <row r="373" spans="2:6" x14ac:dyDescent="0.25">
      <c r="B373" s="28"/>
      <c r="C373" s="19"/>
      <c r="D373" s="5" t="e">
        <f>VLOOKUP(B373,'[1]Base de datos'!$B:$F,2,FALSE)</f>
        <v>#N/A</v>
      </c>
      <c r="E373" t="e">
        <f>VLOOKUP(B373,'[1]Base de datos'!$B:$E,3,FALSE)</f>
        <v>#N/A</v>
      </c>
      <c r="F373" t="e">
        <f>VLOOKUP(B373,'[1]Base de datos'!$B:$E,4,FALSE)</f>
        <v>#N/A</v>
      </c>
    </row>
    <row r="374" spans="2:6" x14ac:dyDescent="0.25">
      <c r="B374" s="28"/>
      <c r="C374" s="19"/>
      <c r="D374" s="5" t="e">
        <f>VLOOKUP(B374,'[1]Base de datos'!$B:$F,2,FALSE)</f>
        <v>#N/A</v>
      </c>
      <c r="E374" t="e">
        <f>VLOOKUP(B374,'[1]Base de datos'!$B:$E,3,FALSE)</f>
        <v>#N/A</v>
      </c>
      <c r="F374" t="e">
        <f>VLOOKUP(B374,'[1]Base de datos'!$B:$E,4,FALSE)</f>
        <v>#N/A</v>
      </c>
    </row>
    <row r="375" spans="2:6" x14ac:dyDescent="0.25">
      <c r="B375" s="28"/>
      <c r="C375" s="19"/>
      <c r="D375" s="5" t="e">
        <f>VLOOKUP(B375,'[1]Base de datos'!$B:$F,2,FALSE)</f>
        <v>#N/A</v>
      </c>
      <c r="E375" t="e">
        <f>VLOOKUP(B375,'[1]Base de datos'!$B:$E,3,FALSE)</f>
        <v>#N/A</v>
      </c>
      <c r="F375" t="e">
        <f>VLOOKUP(B375,'[1]Base de datos'!$B:$E,4,FALSE)</f>
        <v>#N/A</v>
      </c>
    </row>
    <row r="376" spans="2:6" x14ac:dyDescent="0.25">
      <c r="B376" s="28"/>
      <c r="C376" s="19"/>
      <c r="D376" s="5" t="e">
        <f>VLOOKUP(B376,'[1]Base de datos'!$B:$F,2,FALSE)</f>
        <v>#N/A</v>
      </c>
      <c r="E376" t="e">
        <f>VLOOKUP(B376,'[1]Base de datos'!$B:$E,3,FALSE)</f>
        <v>#N/A</v>
      </c>
      <c r="F376" t="e">
        <f>VLOOKUP(B376,'[1]Base de datos'!$B:$E,4,FALSE)</f>
        <v>#N/A</v>
      </c>
    </row>
    <row r="377" spans="2:6" x14ac:dyDescent="0.25">
      <c r="B377" s="28"/>
      <c r="C377" s="19"/>
      <c r="D377" s="5" t="e">
        <f>VLOOKUP(B377,'[1]Base de datos'!$B:$F,2,FALSE)</f>
        <v>#N/A</v>
      </c>
      <c r="E377" t="e">
        <f>VLOOKUP(B377,'[1]Base de datos'!$B:$E,3,FALSE)</f>
        <v>#N/A</v>
      </c>
      <c r="F377" t="e">
        <f>VLOOKUP(B377,'[1]Base de datos'!$B:$E,4,FALSE)</f>
        <v>#N/A</v>
      </c>
    </row>
    <row r="378" spans="2:6" x14ac:dyDescent="0.25">
      <c r="B378" s="28"/>
      <c r="C378" s="19"/>
      <c r="D378" s="5" t="e">
        <f>VLOOKUP(B378,'[1]Base de datos'!$B:$F,2,FALSE)</f>
        <v>#N/A</v>
      </c>
      <c r="E378" t="e">
        <f>VLOOKUP(B378,'[1]Base de datos'!$B:$E,3,FALSE)</f>
        <v>#N/A</v>
      </c>
      <c r="F378" t="e">
        <f>VLOOKUP(B378,'[1]Base de datos'!$B:$E,4,FALSE)</f>
        <v>#N/A</v>
      </c>
    </row>
    <row r="379" spans="2:6" x14ac:dyDescent="0.25">
      <c r="B379" s="28"/>
      <c r="C379" s="19"/>
      <c r="D379" s="5" t="e">
        <f>VLOOKUP(B379,'[1]Base de datos'!$B:$F,2,FALSE)</f>
        <v>#N/A</v>
      </c>
      <c r="E379" t="e">
        <f>VLOOKUP(B379,'[1]Base de datos'!$B:$E,3,FALSE)</f>
        <v>#N/A</v>
      </c>
      <c r="F379" t="e">
        <f>VLOOKUP(B379,'[1]Base de datos'!$B:$E,4,FALSE)</f>
        <v>#N/A</v>
      </c>
    </row>
    <row r="380" spans="2:6" x14ac:dyDescent="0.25">
      <c r="B380" s="28"/>
      <c r="C380" s="19"/>
      <c r="D380" s="5" t="e">
        <f>VLOOKUP(B380,'[1]Base de datos'!$B:$F,2,FALSE)</f>
        <v>#N/A</v>
      </c>
      <c r="E380" t="e">
        <f>VLOOKUP(B380,'[1]Base de datos'!$B:$E,3,FALSE)</f>
        <v>#N/A</v>
      </c>
      <c r="F380" t="e">
        <f>VLOOKUP(B380,'[1]Base de datos'!$B:$E,4,FALSE)</f>
        <v>#N/A</v>
      </c>
    </row>
    <row r="381" spans="2:6" x14ac:dyDescent="0.25">
      <c r="B381" s="28"/>
      <c r="C381" s="19"/>
      <c r="D381" s="5" t="e">
        <f>VLOOKUP(B381,'[1]Base de datos'!$B:$F,2,FALSE)</f>
        <v>#N/A</v>
      </c>
      <c r="E381" t="e">
        <f>VLOOKUP(B381,'[1]Base de datos'!$B:$E,3,FALSE)</f>
        <v>#N/A</v>
      </c>
      <c r="F381" t="e">
        <f>VLOOKUP(B381,'[1]Base de datos'!$B:$E,4,FALSE)</f>
        <v>#N/A</v>
      </c>
    </row>
    <row r="382" spans="2:6" x14ac:dyDescent="0.25">
      <c r="B382" s="28"/>
      <c r="C382" s="19"/>
      <c r="D382" s="5" t="e">
        <f>VLOOKUP(B382,'[1]Base de datos'!$B:$F,2,FALSE)</f>
        <v>#N/A</v>
      </c>
      <c r="E382" t="e">
        <f>VLOOKUP(B382,'[1]Base de datos'!$B:$E,3,FALSE)</f>
        <v>#N/A</v>
      </c>
      <c r="F382" t="e">
        <f>VLOOKUP(B382,'[1]Base de datos'!$B:$E,4,FALSE)</f>
        <v>#N/A</v>
      </c>
    </row>
    <row r="383" spans="2:6" x14ac:dyDescent="0.25">
      <c r="B383" s="28"/>
      <c r="C383" s="19"/>
      <c r="D383" s="5" t="e">
        <f>VLOOKUP(B383,'[1]Base de datos'!$B:$F,2,FALSE)</f>
        <v>#N/A</v>
      </c>
      <c r="E383" t="e">
        <f>VLOOKUP(B383,'[1]Base de datos'!$B:$E,3,FALSE)</f>
        <v>#N/A</v>
      </c>
      <c r="F383" t="e">
        <f>VLOOKUP(B383,'[1]Base de datos'!$B:$E,4,FALSE)</f>
        <v>#N/A</v>
      </c>
    </row>
    <row r="384" spans="2:6" x14ac:dyDescent="0.25">
      <c r="B384" s="28"/>
      <c r="C384" s="19"/>
      <c r="D384" s="5" t="e">
        <f>VLOOKUP(B384,'[1]Base de datos'!$B:$F,2,FALSE)</f>
        <v>#N/A</v>
      </c>
      <c r="E384" t="e">
        <f>VLOOKUP(B384,'[1]Base de datos'!$B:$E,3,FALSE)</f>
        <v>#N/A</v>
      </c>
      <c r="F384" t="e">
        <f>VLOOKUP(B384,'[1]Base de datos'!$B:$E,4,FALSE)</f>
        <v>#N/A</v>
      </c>
    </row>
    <row r="385" spans="2:6" x14ac:dyDescent="0.25">
      <c r="B385" s="28"/>
      <c r="C385" s="19"/>
      <c r="D385" s="5" t="e">
        <f>VLOOKUP(B385,'[1]Base de datos'!$B:$F,2,FALSE)</f>
        <v>#N/A</v>
      </c>
      <c r="E385" t="e">
        <f>VLOOKUP(B385,'[1]Base de datos'!$B:$E,3,FALSE)</f>
        <v>#N/A</v>
      </c>
      <c r="F385" t="e">
        <f>VLOOKUP(B385,'[1]Base de datos'!$B:$E,4,FALSE)</f>
        <v>#N/A</v>
      </c>
    </row>
    <row r="386" spans="2:6" x14ac:dyDescent="0.25">
      <c r="B386" s="28"/>
      <c r="C386" s="19"/>
      <c r="D386" s="5" t="e">
        <f>VLOOKUP(B386,'[1]Base de datos'!$B:$F,2,FALSE)</f>
        <v>#N/A</v>
      </c>
      <c r="E386" t="e">
        <f>VLOOKUP(B386,'[1]Base de datos'!$B:$E,3,FALSE)</f>
        <v>#N/A</v>
      </c>
      <c r="F386" t="e">
        <f>VLOOKUP(B386,'[1]Base de datos'!$B:$E,4,FALSE)</f>
        <v>#N/A</v>
      </c>
    </row>
    <row r="387" spans="2:6" x14ac:dyDescent="0.25">
      <c r="B387" s="28"/>
      <c r="C387" s="19"/>
      <c r="D387" s="5" t="e">
        <f>VLOOKUP(B387,'[1]Base de datos'!$B:$F,2,FALSE)</f>
        <v>#N/A</v>
      </c>
      <c r="E387" t="e">
        <f>VLOOKUP(B387,'[1]Base de datos'!$B:$E,3,FALSE)</f>
        <v>#N/A</v>
      </c>
      <c r="F387" t="e">
        <f>VLOOKUP(B387,'[1]Base de datos'!$B:$E,4,FALSE)</f>
        <v>#N/A</v>
      </c>
    </row>
    <row r="388" spans="2:6" x14ac:dyDescent="0.25">
      <c r="B388" s="28"/>
      <c r="C388" s="19"/>
      <c r="D388" s="5" t="e">
        <f>VLOOKUP(B388,'[1]Base de datos'!$B:$F,2,FALSE)</f>
        <v>#N/A</v>
      </c>
      <c r="E388" t="e">
        <f>VLOOKUP(B388,'[1]Base de datos'!$B:$E,3,FALSE)</f>
        <v>#N/A</v>
      </c>
      <c r="F388" t="e">
        <f>VLOOKUP(B388,'[1]Base de datos'!$B:$E,4,FALSE)</f>
        <v>#N/A</v>
      </c>
    </row>
    <row r="389" spans="2:6" x14ac:dyDescent="0.25">
      <c r="B389" s="28"/>
      <c r="C389" s="19"/>
      <c r="D389" s="5" t="e">
        <f>VLOOKUP(B389,'[1]Base de datos'!$B:$F,2,FALSE)</f>
        <v>#N/A</v>
      </c>
      <c r="E389" t="e">
        <f>VLOOKUP(B389,'[1]Base de datos'!$B:$E,3,FALSE)</f>
        <v>#N/A</v>
      </c>
      <c r="F389" t="e">
        <f>VLOOKUP(B389,'[1]Base de datos'!$B:$E,4,FALSE)</f>
        <v>#N/A</v>
      </c>
    </row>
    <row r="390" spans="2:6" x14ac:dyDescent="0.25">
      <c r="B390" s="28"/>
      <c r="C390" s="19"/>
      <c r="D390" s="5" t="e">
        <f>VLOOKUP(B390,'[1]Base de datos'!$B:$F,2,FALSE)</f>
        <v>#N/A</v>
      </c>
      <c r="E390" t="e">
        <f>VLOOKUP(B390,'[1]Base de datos'!$B:$E,3,FALSE)</f>
        <v>#N/A</v>
      </c>
      <c r="F390" t="e">
        <f>VLOOKUP(B390,'[1]Base de datos'!$B:$E,4,FALSE)</f>
        <v>#N/A</v>
      </c>
    </row>
    <row r="391" spans="2:6" x14ac:dyDescent="0.25">
      <c r="B391" s="28"/>
      <c r="C391" s="19"/>
      <c r="D391" s="5" t="e">
        <f>VLOOKUP(B391,'[1]Base de datos'!$B:$F,2,FALSE)</f>
        <v>#N/A</v>
      </c>
      <c r="E391" t="e">
        <f>VLOOKUP(B391,'[1]Base de datos'!$B:$E,3,FALSE)</f>
        <v>#N/A</v>
      </c>
      <c r="F391" t="e">
        <f>VLOOKUP(B391,'[1]Base de datos'!$B:$E,4,FALSE)</f>
        <v>#N/A</v>
      </c>
    </row>
    <row r="392" spans="2:6" x14ac:dyDescent="0.25">
      <c r="B392" s="28"/>
      <c r="C392" s="19"/>
      <c r="D392" s="5" t="e">
        <f>VLOOKUP(B392,'[1]Base de datos'!$B:$F,2,FALSE)</f>
        <v>#N/A</v>
      </c>
      <c r="E392" t="e">
        <f>VLOOKUP(B392,'[1]Base de datos'!$B:$E,3,FALSE)</f>
        <v>#N/A</v>
      </c>
      <c r="F392" t="e">
        <f>VLOOKUP(B392,'[1]Base de datos'!$B:$E,4,FALSE)</f>
        <v>#N/A</v>
      </c>
    </row>
    <row r="393" spans="2:6" x14ac:dyDescent="0.25">
      <c r="B393" s="28"/>
      <c r="C393" s="19"/>
      <c r="D393" s="5" t="e">
        <f>VLOOKUP(B393,'[1]Base de datos'!$B:$F,2,FALSE)</f>
        <v>#N/A</v>
      </c>
      <c r="E393" t="e">
        <f>VLOOKUP(B393,'[1]Base de datos'!$B:$E,3,FALSE)</f>
        <v>#N/A</v>
      </c>
      <c r="F393" t="e">
        <f>VLOOKUP(B393,'[1]Base de datos'!$B:$E,4,FALSE)</f>
        <v>#N/A</v>
      </c>
    </row>
    <row r="394" spans="2:6" x14ac:dyDescent="0.25">
      <c r="B394" s="28"/>
      <c r="C394" s="19"/>
      <c r="D394" s="5" t="e">
        <f>VLOOKUP(B394,'[1]Base de datos'!$B:$F,2,FALSE)</f>
        <v>#N/A</v>
      </c>
      <c r="E394" t="e">
        <f>VLOOKUP(B394,'[1]Base de datos'!$B:$E,3,FALSE)</f>
        <v>#N/A</v>
      </c>
      <c r="F394" t="e">
        <f>VLOOKUP(B394,'[1]Base de datos'!$B:$E,4,FALSE)</f>
        <v>#N/A</v>
      </c>
    </row>
    <row r="395" spans="2:6" x14ac:dyDescent="0.25">
      <c r="B395" s="28"/>
      <c r="C395" s="19"/>
      <c r="D395" s="5" t="e">
        <f>VLOOKUP(B395,'[1]Base de datos'!$B:$F,2,FALSE)</f>
        <v>#N/A</v>
      </c>
      <c r="E395" t="e">
        <f>VLOOKUP(B395,'[1]Base de datos'!$B:$E,3,FALSE)</f>
        <v>#N/A</v>
      </c>
      <c r="F395" t="e">
        <f>VLOOKUP(B395,'[1]Base de datos'!$B:$E,4,FALSE)</f>
        <v>#N/A</v>
      </c>
    </row>
    <row r="396" spans="2:6" x14ac:dyDescent="0.25">
      <c r="B396" s="28"/>
      <c r="C396" s="19"/>
      <c r="D396" s="5" t="e">
        <f>VLOOKUP(B396,'[1]Base de datos'!$B:$F,2,FALSE)</f>
        <v>#N/A</v>
      </c>
      <c r="E396" t="e">
        <f>VLOOKUP(B396,'[1]Base de datos'!$B:$E,3,FALSE)</f>
        <v>#N/A</v>
      </c>
      <c r="F396" t="e">
        <f>VLOOKUP(B396,'[1]Base de datos'!$B:$E,4,FALSE)</f>
        <v>#N/A</v>
      </c>
    </row>
    <row r="397" spans="2:6" x14ac:dyDescent="0.25">
      <c r="B397" s="28"/>
      <c r="C397" s="19"/>
      <c r="D397" s="5" t="e">
        <f>VLOOKUP(B397,'[1]Base de datos'!$B:$F,2,FALSE)</f>
        <v>#N/A</v>
      </c>
      <c r="E397" t="e">
        <f>VLOOKUP(B397,'[1]Base de datos'!$B:$E,3,FALSE)</f>
        <v>#N/A</v>
      </c>
      <c r="F397" t="e">
        <f>VLOOKUP(B397,'[1]Base de datos'!$B:$E,4,FALSE)</f>
        <v>#N/A</v>
      </c>
    </row>
    <row r="398" spans="2:6" x14ac:dyDescent="0.25">
      <c r="B398" s="28"/>
      <c r="C398" s="19"/>
      <c r="D398" s="5" t="e">
        <f>VLOOKUP(B398,'[1]Base de datos'!$B:$F,2,FALSE)</f>
        <v>#N/A</v>
      </c>
      <c r="E398" t="e">
        <f>VLOOKUP(B398,'[1]Base de datos'!$B:$E,3,FALSE)</f>
        <v>#N/A</v>
      </c>
      <c r="F398" t="e">
        <f>VLOOKUP(B398,'[1]Base de datos'!$B:$E,4,FALSE)</f>
        <v>#N/A</v>
      </c>
    </row>
    <row r="399" spans="2:6" x14ac:dyDescent="0.25">
      <c r="B399" s="28"/>
      <c r="C399" s="19"/>
      <c r="D399" s="5" t="e">
        <f>VLOOKUP(B399,'[1]Base de datos'!$B:$F,2,FALSE)</f>
        <v>#N/A</v>
      </c>
      <c r="E399" t="e">
        <f>VLOOKUP(B399,'[1]Base de datos'!$B:$E,3,FALSE)</f>
        <v>#N/A</v>
      </c>
      <c r="F399" t="e">
        <f>VLOOKUP(B399,'[1]Base de datos'!$B:$E,4,FALSE)</f>
        <v>#N/A</v>
      </c>
    </row>
    <row r="400" spans="2:6" x14ac:dyDescent="0.25">
      <c r="B400" s="28"/>
      <c r="C400" s="19"/>
      <c r="D400" s="5" t="e">
        <f>VLOOKUP(B400,'[1]Base de datos'!$B:$F,2,FALSE)</f>
        <v>#N/A</v>
      </c>
      <c r="E400" t="e">
        <f>VLOOKUP(B400,'[1]Base de datos'!$B:$E,3,FALSE)</f>
        <v>#N/A</v>
      </c>
      <c r="F400" t="e">
        <f>VLOOKUP(B400,'[1]Base de datos'!$B:$E,4,FALSE)</f>
        <v>#N/A</v>
      </c>
    </row>
    <row r="401" spans="2:6" x14ac:dyDescent="0.25">
      <c r="B401" s="28"/>
      <c r="C401" s="19"/>
      <c r="D401" s="5" t="e">
        <f>VLOOKUP(B401,'[1]Base de datos'!$B:$F,2,FALSE)</f>
        <v>#N/A</v>
      </c>
      <c r="E401" t="e">
        <f>VLOOKUP(B401,'[1]Base de datos'!$B:$E,3,FALSE)</f>
        <v>#N/A</v>
      </c>
      <c r="F401" t="e">
        <f>VLOOKUP(B401,'[1]Base de datos'!$B:$E,4,FALSE)</f>
        <v>#N/A</v>
      </c>
    </row>
    <row r="402" spans="2:6" x14ac:dyDescent="0.25">
      <c r="B402" s="28"/>
      <c r="C402" s="19"/>
      <c r="D402" s="5" t="e">
        <f>VLOOKUP(B402,'[1]Base de datos'!$B:$F,2,FALSE)</f>
        <v>#N/A</v>
      </c>
      <c r="E402" t="e">
        <f>VLOOKUP(B402,'[1]Base de datos'!$B:$E,3,FALSE)</f>
        <v>#N/A</v>
      </c>
      <c r="F402" t="e">
        <f>VLOOKUP(B402,'[1]Base de datos'!$B:$E,4,FALSE)</f>
        <v>#N/A</v>
      </c>
    </row>
    <row r="403" spans="2:6" x14ac:dyDescent="0.25">
      <c r="B403" s="28"/>
      <c r="C403" s="19"/>
      <c r="D403" s="5" t="e">
        <f>VLOOKUP(B403,'[1]Base de datos'!$B:$F,2,FALSE)</f>
        <v>#N/A</v>
      </c>
      <c r="E403" t="e">
        <f>VLOOKUP(B403,'[1]Base de datos'!$B:$E,3,FALSE)</f>
        <v>#N/A</v>
      </c>
      <c r="F403" t="e">
        <f>VLOOKUP(B403,'[1]Base de datos'!$B:$E,4,FALSE)</f>
        <v>#N/A</v>
      </c>
    </row>
    <row r="404" spans="2:6" x14ac:dyDescent="0.25">
      <c r="B404" s="28"/>
      <c r="C404" s="19"/>
      <c r="D404" s="5" t="e">
        <f>VLOOKUP(B404,'[1]Base de datos'!$B:$F,2,FALSE)</f>
        <v>#N/A</v>
      </c>
      <c r="E404" t="e">
        <f>VLOOKUP(B404,'[1]Base de datos'!$B:$E,3,FALSE)</f>
        <v>#N/A</v>
      </c>
      <c r="F404" t="e">
        <f>VLOOKUP(B404,'[1]Base de datos'!$B:$E,4,FALSE)</f>
        <v>#N/A</v>
      </c>
    </row>
    <row r="405" spans="2:6" x14ac:dyDescent="0.25">
      <c r="B405" s="28"/>
      <c r="C405" s="19"/>
      <c r="D405" s="5" t="e">
        <f>VLOOKUP(B405,'[1]Base de datos'!$B:$F,2,FALSE)</f>
        <v>#N/A</v>
      </c>
      <c r="E405" t="e">
        <f>VLOOKUP(B405,'[1]Base de datos'!$B:$E,3,FALSE)</f>
        <v>#N/A</v>
      </c>
      <c r="F405" t="e">
        <f>VLOOKUP(B405,'[1]Base de datos'!$B:$E,4,FALSE)</f>
        <v>#N/A</v>
      </c>
    </row>
    <row r="406" spans="2:6" x14ac:dyDescent="0.25">
      <c r="B406" s="28"/>
      <c r="C406" s="19"/>
      <c r="D406" s="5" t="e">
        <f>VLOOKUP(B406,'[1]Base de datos'!$B:$F,2,FALSE)</f>
        <v>#N/A</v>
      </c>
      <c r="E406" t="e">
        <f>VLOOKUP(B406,'[1]Base de datos'!$B:$E,3,FALSE)</f>
        <v>#N/A</v>
      </c>
      <c r="F406" t="e">
        <f>VLOOKUP(B406,'[1]Base de datos'!$B:$E,4,FALSE)</f>
        <v>#N/A</v>
      </c>
    </row>
    <row r="407" spans="2:6" x14ac:dyDescent="0.25">
      <c r="B407" s="28"/>
      <c r="C407" s="19"/>
      <c r="D407" s="5" t="e">
        <f>VLOOKUP(B407,'[1]Base de datos'!$B:$F,2,FALSE)</f>
        <v>#N/A</v>
      </c>
      <c r="E407" t="e">
        <f>VLOOKUP(B407,'[1]Base de datos'!$B:$E,3,FALSE)</f>
        <v>#N/A</v>
      </c>
      <c r="F407" t="e">
        <f>VLOOKUP(B407,'[1]Base de datos'!$B:$E,4,FALSE)</f>
        <v>#N/A</v>
      </c>
    </row>
    <row r="408" spans="2:6" x14ac:dyDescent="0.25">
      <c r="B408" s="28"/>
      <c r="C408" s="19"/>
      <c r="D408" s="5" t="e">
        <f>VLOOKUP(B408,'[1]Base de datos'!$B:$F,2,FALSE)</f>
        <v>#N/A</v>
      </c>
      <c r="E408" t="e">
        <f>VLOOKUP(B408,'[1]Base de datos'!$B:$E,3,FALSE)</f>
        <v>#N/A</v>
      </c>
      <c r="F408" t="e">
        <f>VLOOKUP(B408,'[1]Base de datos'!$B:$E,4,FALSE)</f>
        <v>#N/A</v>
      </c>
    </row>
    <row r="409" spans="2:6" x14ac:dyDescent="0.25">
      <c r="B409" s="28"/>
      <c r="C409" s="19"/>
      <c r="D409" s="5" t="e">
        <f>VLOOKUP(B409,'[1]Base de datos'!$B:$F,2,FALSE)</f>
        <v>#N/A</v>
      </c>
      <c r="E409" t="e">
        <f>VLOOKUP(B409,'[1]Base de datos'!$B:$E,3,FALSE)</f>
        <v>#N/A</v>
      </c>
      <c r="F409" t="e">
        <f>VLOOKUP(B409,'[1]Base de datos'!$B:$E,4,FALSE)</f>
        <v>#N/A</v>
      </c>
    </row>
    <row r="410" spans="2:6" x14ac:dyDescent="0.25">
      <c r="B410" s="28"/>
      <c r="C410" s="19"/>
      <c r="D410" s="5" t="e">
        <f>VLOOKUP(B410,'[1]Base de datos'!$B:$F,2,FALSE)</f>
        <v>#N/A</v>
      </c>
      <c r="E410" t="e">
        <f>VLOOKUP(B410,'[1]Base de datos'!$B:$E,3,FALSE)</f>
        <v>#N/A</v>
      </c>
      <c r="F410" t="e">
        <f>VLOOKUP(B410,'[1]Base de datos'!$B:$E,4,FALSE)</f>
        <v>#N/A</v>
      </c>
    </row>
    <row r="411" spans="2:6" x14ac:dyDescent="0.25">
      <c r="B411" s="28"/>
      <c r="C411" s="19"/>
      <c r="D411" s="5" t="e">
        <f>VLOOKUP(B411,'[1]Base de datos'!$B:$F,2,FALSE)</f>
        <v>#N/A</v>
      </c>
      <c r="E411" t="e">
        <f>VLOOKUP(B411,'[1]Base de datos'!$B:$E,3,FALSE)</f>
        <v>#N/A</v>
      </c>
      <c r="F411" t="e">
        <f>VLOOKUP(B411,'[1]Base de datos'!$B:$E,4,FALSE)</f>
        <v>#N/A</v>
      </c>
    </row>
    <row r="412" spans="2:6" x14ac:dyDescent="0.25">
      <c r="B412" s="28"/>
      <c r="C412" s="19"/>
      <c r="D412" s="5" t="e">
        <f>VLOOKUP(B412,'[1]Base de datos'!$B:$F,2,FALSE)</f>
        <v>#N/A</v>
      </c>
      <c r="E412" t="e">
        <f>VLOOKUP(B412,'[1]Base de datos'!$B:$E,3,FALSE)</f>
        <v>#N/A</v>
      </c>
      <c r="F412" t="e">
        <f>VLOOKUP(B412,'[1]Base de datos'!$B:$E,4,FALSE)</f>
        <v>#N/A</v>
      </c>
    </row>
    <row r="413" spans="2:6" x14ac:dyDescent="0.25">
      <c r="B413" s="28"/>
      <c r="C413" s="19"/>
      <c r="D413" s="5" t="e">
        <f>VLOOKUP(B413,'[1]Base de datos'!$B:$F,2,FALSE)</f>
        <v>#N/A</v>
      </c>
      <c r="E413" t="e">
        <f>VLOOKUP(B413,'[1]Base de datos'!$B:$E,3,FALSE)</f>
        <v>#N/A</v>
      </c>
      <c r="F413" t="e">
        <f>VLOOKUP(B413,'[1]Base de datos'!$B:$E,4,FALSE)</f>
        <v>#N/A</v>
      </c>
    </row>
    <row r="414" spans="2:6" x14ac:dyDescent="0.25">
      <c r="B414" s="28"/>
      <c r="C414" s="19"/>
      <c r="D414" s="5" t="e">
        <f>VLOOKUP(B414,'[1]Base de datos'!$B:$F,2,FALSE)</f>
        <v>#N/A</v>
      </c>
      <c r="E414" t="e">
        <f>VLOOKUP(B414,'[1]Base de datos'!$B:$E,3,FALSE)</f>
        <v>#N/A</v>
      </c>
      <c r="F414" t="e">
        <f>VLOOKUP(B414,'[1]Base de datos'!$B:$E,4,FALSE)</f>
        <v>#N/A</v>
      </c>
    </row>
    <row r="415" spans="2:6" x14ac:dyDescent="0.25">
      <c r="B415" s="28"/>
      <c r="C415" s="19"/>
      <c r="D415" s="5" t="e">
        <f>VLOOKUP(B415,'[1]Base de datos'!$B:$F,2,FALSE)</f>
        <v>#N/A</v>
      </c>
      <c r="E415" t="e">
        <f>VLOOKUP(B415,'[1]Base de datos'!$B:$E,3,FALSE)</f>
        <v>#N/A</v>
      </c>
      <c r="F415" t="e">
        <f>VLOOKUP(B415,'[1]Base de datos'!$B:$E,4,FALSE)</f>
        <v>#N/A</v>
      </c>
    </row>
    <row r="416" spans="2:6" x14ac:dyDescent="0.25">
      <c r="B416" s="28"/>
      <c r="C416" s="19"/>
      <c r="D416" s="5" t="e">
        <f>VLOOKUP(B416,'[1]Base de datos'!$B:$F,2,FALSE)</f>
        <v>#N/A</v>
      </c>
      <c r="E416" t="e">
        <f>VLOOKUP(B416,'[1]Base de datos'!$B:$E,3,FALSE)</f>
        <v>#N/A</v>
      </c>
      <c r="F416" t="e">
        <f>VLOOKUP(B416,'[1]Base de datos'!$B:$E,4,FALSE)</f>
        <v>#N/A</v>
      </c>
    </row>
    <row r="417" spans="2:6" x14ac:dyDescent="0.25">
      <c r="B417" s="28"/>
      <c r="C417" s="19"/>
      <c r="D417" s="5" t="e">
        <f>VLOOKUP(B417,'[1]Base de datos'!$B:$F,2,FALSE)</f>
        <v>#N/A</v>
      </c>
      <c r="E417" t="e">
        <f>VLOOKUP(B417,'[1]Base de datos'!$B:$E,3,FALSE)</f>
        <v>#N/A</v>
      </c>
      <c r="F417" t="e">
        <f>VLOOKUP(B417,'[1]Base de datos'!$B:$E,4,FALSE)</f>
        <v>#N/A</v>
      </c>
    </row>
    <row r="418" spans="2:6" x14ac:dyDescent="0.25">
      <c r="B418" s="28"/>
      <c r="C418" s="19"/>
      <c r="D418" s="5" t="e">
        <f>VLOOKUP(B418,'[1]Base de datos'!$B:$F,2,FALSE)</f>
        <v>#N/A</v>
      </c>
      <c r="E418" t="e">
        <f>VLOOKUP(B418,'[1]Base de datos'!$B:$E,3,FALSE)</f>
        <v>#N/A</v>
      </c>
      <c r="F418" t="e">
        <f>VLOOKUP(B418,'[1]Base de datos'!$B:$E,4,FALSE)</f>
        <v>#N/A</v>
      </c>
    </row>
    <row r="419" spans="2:6" x14ac:dyDescent="0.25">
      <c r="B419" s="28"/>
      <c r="C419" s="19"/>
      <c r="D419" s="5" t="e">
        <f>VLOOKUP(B419,'[1]Base de datos'!$B:$F,2,FALSE)</f>
        <v>#N/A</v>
      </c>
      <c r="E419" t="e">
        <f>VLOOKUP(B419,'[1]Base de datos'!$B:$E,3,FALSE)</f>
        <v>#N/A</v>
      </c>
      <c r="F419" t="e">
        <f>VLOOKUP(B419,'[1]Base de datos'!$B:$E,4,FALSE)</f>
        <v>#N/A</v>
      </c>
    </row>
    <row r="420" spans="2:6" x14ac:dyDescent="0.25">
      <c r="B420" s="28"/>
      <c r="C420" s="19"/>
      <c r="D420" s="5" t="e">
        <f>VLOOKUP(B420,'[1]Base de datos'!$B:$F,2,FALSE)</f>
        <v>#N/A</v>
      </c>
      <c r="E420" t="e">
        <f>VLOOKUP(B420,'[1]Base de datos'!$B:$E,3,FALSE)</f>
        <v>#N/A</v>
      </c>
      <c r="F420" t="e">
        <f>VLOOKUP(B420,'[1]Base de datos'!$B:$E,4,FALSE)</f>
        <v>#N/A</v>
      </c>
    </row>
    <row r="421" spans="2:6" x14ac:dyDescent="0.25">
      <c r="B421" s="28"/>
      <c r="C421" s="19"/>
      <c r="D421" s="5" t="e">
        <f>VLOOKUP(B421,'[1]Base de datos'!$B:$F,2,FALSE)</f>
        <v>#N/A</v>
      </c>
      <c r="E421" t="e">
        <f>VLOOKUP(B421,'[1]Base de datos'!$B:$E,3,FALSE)</f>
        <v>#N/A</v>
      </c>
      <c r="F421" t="e">
        <f>VLOOKUP(B421,'[1]Base de datos'!$B:$E,4,FALSE)</f>
        <v>#N/A</v>
      </c>
    </row>
    <row r="422" spans="2:6" x14ac:dyDescent="0.25">
      <c r="B422" s="28"/>
      <c r="C422" s="19"/>
      <c r="D422" s="5" t="e">
        <f>VLOOKUP(B422,'[1]Base de datos'!$B:$F,2,FALSE)</f>
        <v>#N/A</v>
      </c>
      <c r="E422" t="e">
        <f>VLOOKUP(B422,'[1]Base de datos'!$B:$E,3,FALSE)</f>
        <v>#N/A</v>
      </c>
      <c r="F422" t="e">
        <f>VLOOKUP(B422,'[1]Base de datos'!$B:$E,4,FALSE)</f>
        <v>#N/A</v>
      </c>
    </row>
    <row r="423" spans="2:6" x14ac:dyDescent="0.25">
      <c r="B423" s="28"/>
      <c r="C423" s="19"/>
      <c r="D423" s="5" t="e">
        <f>VLOOKUP(B423,'[1]Base de datos'!$B:$F,2,FALSE)</f>
        <v>#N/A</v>
      </c>
      <c r="E423" t="e">
        <f>VLOOKUP(B423,'[1]Base de datos'!$B:$E,3,FALSE)</f>
        <v>#N/A</v>
      </c>
      <c r="F423" t="e">
        <f>VLOOKUP(B423,'[1]Base de datos'!$B:$E,4,FALSE)</f>
        <v>#N/A</v>
      </c>
    </row>
    <row r="424" spans="2:6" x14ac:dyDescent="0.25">
      <c r="B424" s="28"/>
      <c r="C424" s="19"/>
      <c r="D424" s="5" t="e">
        <f>VLOOKUP(B424,'[1]Base de datos'!$B:$F,2,FALSE)</f>
        <v>#N/A</v>
      </c>
      <c r="E424" t="e">
        <f>VLOOKUP(B424,'[1]Base de datos'!$B:$E,3,FALSE)</f>
        <v>#N/A</v>
      </c>
      <c r="F424" t="e">
        <f>VLOOKUP(B424,'[1]Base de datos'!$B:$E,4,FALSE)</f>
        <v>#N/A</v>
      </c>
    </row>
    <row r="425" spans="2:6" x14ac:dyDescent="0.25">
      <c r="B425" s="28"/>
      <c r="C425" s="19"/>
      <c r="D425" s="5" t="e">
        <f>VLOOKUP(B425,'[1]Base de datos'!$B:$F,2,FALSE)</f>
        <v>#N/A</v>
      </c>
      <c r="E425" t="e">
        <f>VLOOKUP(B425,'[1]Base de datos'!$B:$E,3,FALSE)</f>
        <v>#N/A</v>
      </c>
      <c r="F425" t="e">
        <f>VLOOKUP(B425,'[1]Base de datos'!$B:$E,4,FALSE)</f>
        <v>#N/A</v>
      </c>
    </row>
    <row r="426" spans="2:6" x14ac:dyDescent="0.25">
      <c r="B426" s="28"/>
      <c r="C426" s="19"/>
      <c r="D426" s="5" t="e">
        <f>VLOOKUP(B426,'[1]Base de datos'!$B:$F,2,FALSE)</f>
        <v>#N/A</v>
      </c>
      <c r="E426" t="e">
        <f>VLOOKUP(B426,'[1]Base de datos'!$B:$E,3,FALSE)</f>
        <v>#N/A</v>
      </c>
      <c r="F426" t="e">
        <f>VLOOKUP(B426,'[1]Base de datos'!$B:$E,4,FALSE)</f>
        <v>#N/A</v>
      </c>
    </row>
    <row r="427" spans="2:6" x14ac:dyDescent="0.25">
      <c r="B427" s="28"/>
      <c r="C427" s="19"/>
      <c r="D427" s="5" t="e">
        <f>VLOOKUP(B427,'[1]Base de datos'!$B:$F,2,FALSE)</f>
        <v>#N/A</v>
      </c>
      <c r="E427" t="e">
        <f>VLOOKUP(B427,'[1]Base de datos'!$B:$E,3,FALSE)</f>
        <v>#N/A</v>
      </c>
      <c r="F427" t="e">
        <f>VLOOKUP(B427,'[1]Base de datos'!$B:$E,4,FALSE)</f>
        <v>#N/A</v>
      </c>
    </row>
    <row r="428" spans="2:6" x14ac:dyDescent="0.25">
      <c r="B428" s="28"/>
      <c r="C428" s="19"/>
      <c r="D428" s="5" t="e">
        <f>VLOOKUP(B428,'[1]Base de datos'!$B:$F,2,FALSE)</f>
        <v>#N/A</v>
      </c>
      <c r="E428" t="e">
        <f>VLOOKUP(B428,'[1]Base de datos'!$B:$E,3,FALSE)</f>
        <v>#N/A</v>
      </c>
      <c r="F428" t="e">
        <f>VLOOKUP(B428,'[1]Base de datos'!$B:$E,4,FALSE)</f>
        <v>#N/A</v>
      </c>
    </row>
    <row r="429" spans="2:6" x14ac:dyDescent="0.25">
      <c r="B429" s="28"/>
      <c r="C429" s="19"/>
      <c r="D429" s="5" t="e">
        <f>VLOOKUP(B429,'[1]Base de datos'!$B:$F,2,FALSE)</f>
        <v>#N/A</v>
      </c>
      <c r="E429" t="e">
        <f>VLOOKUP(B429,'[1]Base de datos'!$B:$E,3,FALSE)</f>
        <v>#N/A</v>
      </c>
      <c r="F429" t="e">
        <f>VLOOKUP(B429,'[1]Base de datos'!$B:$E,4,FALSE)</f>
        <v>#N/A</v>
      </c>
    </row>
    <row r="430" spans="2:6" x14ac:dyDescent="0.25">
      <c r="B430" s="28"/>
      <c r="C430" s="19"/>
      <c r="D430" s="5" t="e">
        <f>VLOOKUP(B430,'[1]Base de datos'!$B:$F,2,FALSE)</f>
        <v>#N/A</v>
      </c>
      <c r="E430" t="e">
        <f>VLOOKUP(B430,'[1]Base de datos'!$B:$E,3,FALSE)</f>
        <v>#N/A</v>
      </c>
      <c r="F430" t="e">
        <f>VLOOKUP(B430,'[1]Base de datos'!$B:$E,4,FALSE)</f>
        <v>#N/A</v>
      </c>
    </row>
    <row r="431" spans="2:6" x14ac:dyDescent="0.25">
      <c r="B431" s="28"/>
      <c r="C431" s="19"/>
      <c r="D431" s="5" t="e">
        <f>VLOOKUP(B431,'[1]Base de datos'!$B:$F,2,FALSE)</f>
        <v>#N/A</v>
      </c>
      <c r="E431" t="e">
        <f>VLOOKUP(B431,'[1]Base de datos'!$B:$E,3,FALSE)</f>
        <v>#N/A</v>
      </c>
      <c r="F431" t="e">
        <f>VLOOKUP(B431,'[1]Base de datos'!$B:$E,4,FALSE)</f>
        <v>#N/A</v>
      </c>
    </row>
    <row r="432" spans="2:6" x14ac:dyDescent="0.25">
      <c r="B432" s="28"/>
      <c r="C432" s="19"/>
      <c r="D432" s="5" t="e">
        <f>VLOOKUP(B432,'[1]Base de datos'!$B:$F,2,FALSE)</f>
        <v>#N/A</v>
      </c>
      <c r="E432" t="e">
        <f>VLOOKUP(B432,'[1]Base de datos'!$B:$E,3,FALSE)</f>
        <v>#N/A</v>
      </c>
      <c r="F432" t="e">
        <f>VLOOKUP(B432,'[1]Base de datos'!$B:$E,4,FALSE)</f>
        <v>#N/A</v>
      </c>
    </row>
    <row r="433" spans="2:6" x14ac:dyDescent="0.25">
      <c r="B433" s="28"/>
      <c r="C433" s="19"/>
      <c r="D433" s="5" t="e">
        <f>VLOOKUP(B433,'[1]Base de datos'!$B:$F,2,FALSE)</f>
        <v>#N/A</v>
      </c>
      <c r="E433" t="e">
        <f>VLOOKUP(B433,'[1]Base de datos'!$B:$E,3,FALSE)</f>
        <v>#N/A</v>
      </c>
      <c r="F433" t="e">
        <f>VLOOKUP(B433,'[1]Base de datos'!$B:$E,4,FALSE)</f>
        <v>#N/A</v>
      </c>
    </row>
    <row r="434" spans="2:6" x14ac:dyDescent="0.25">
      <c r="B434" s="28"/>
      <c r="C434" s="19"/>
      <c r="D434" s="5" t="e">
        <f>VLOOKUP(B434,'[1]Base de datos'!$B:$F,2,FALSE)</f>
        <v>#N/A</v>
      </c>
      <c r="E434" t="e">
        <f>VLOOKUP(B434,'[1]Base de datos'!$B:$E,3,FALSE)</f>
        <v>#N/A</v>
      </c>
      <c r="F434" t="e">
        <f>VLOOKUP(B434,'[1]Base de datos'!$B:$E,4,FALSE)</f>
        <v>#N/A</v>
      </c>
    </row>
    <row r="435" spans="2:6" x14ac:dyDescent="0.25">
      <c r="B435" s="28"/>
      <c r="C435" s="19"/>
      <c r="D435" s="5" t="e">
        <f>VLOOKUP(B435,'[1]Base de datos'!$B:$F,2,FALSE)</f>
        <v>#N/A</v>
      </c>
      <c r="E435" t="e">
        <f>VLOOKUP(B435,'[1]Base de datos'!$B:$E,3,FALSE)</f>
        <v>#N/A</v>
      </c>
      <c r="F435" t="e">
        <f>VLOOKUP(B435,'[1]Base de datos'!$B:$E,4,FALSE)</f>
        <v>#N/A</v>
      </c>
    </row>
    <row r="436" spans="2:6" x14ac:dyDescent="0.25">
      <c r="B436" s="28"/>
      <c r="C436" s="19"/>
      <c r="D436" s="5" t="e">
        <f>VLOOKUP(B436,'[1]Base de datos'!$B:$F,2,FALSE)</f>
        <v>#N/A</v>
      </c>
      <c r="E436" t="e">
        <f>VLOOKUP(B436,'[1]Base de datos'!$B:$E,3,FALSE)</f>
        <v>#N/A</v>
      </c>
      <c r="F436" t="e">
        <f>VLOOKUP(B436,'[1]Base de datos'!$B:$E,4,FALSE)</f>
        <v>#N/A</v>
      </c>
    </row>
    <row r="437" spans="2:6" x14ac:dyDescent="0.25">
      <c r="B437" s="28"/>
      <c r="C437" s="19"/>
      <c r="D437" s="5" t="e">
        <f>VLOOKUP(B437,'[1]Base de datos'!$B:$F,2,FALSE)</f>
        <v>#N/A</v>
      </c>
      <c r="E437" t="e">
        <f>VLOOKUP(B437,'[1]Base de datos'!$B:$E,3,FALSE)</f>
        <v>#N/A</v>
      </c>
      <c r="F437" t="e">
        <f>VLOOKUP(B437,'[1]Base de datos'!$B:$E,4,FALSE)</f>
        <v>#N/A</v>
      </c>
    </row>
    <row r="438" spans="2:6" x14ac:dyDescent="0.25">
      <c r="B438" s="28"/>
      <c r="C438" s="19"/>
      <c r="D438" s="5" t="e">
        <f>VLOOKUP(B438,'[1]Base de datos'!$B:$F,2,FALSE)</f>
        <v>#N/A</v>
      </c>
      <c r="E438" t="e">
        <f>VLOOKUP(B438,'[1]Base de datos'!$B:$E,3,FALSE)</f>
        <v>#N/A</v>
      </c>
      <c r="F438" t="e">
        <f>VLOOKUP(B438,'[1]Base de datos'!$B:$E,4,FALSE)</f>
        <v>#N/A</v>
      </c>
    </row>
    <row r="439" spans="2:6" x14ac:dyDescent="0.25">
      <c r="B439" s="28"/>
      <c r="C439" s="19"/>
      <c r="D439" s="5" t="e">
        <f>VLOOKUP(B439,'[1]Base de datos'!$B:$F,2,FALSE)</f>
        <v>#N/A</v>
      </c>
      <c r="E439" t="e">
        <f>VLOOKUP(B439,'[1]Base de datos'!$B:$E,3,FALSE)</f>
        <v>#N/A</v>
      </c>
      <c r="F439" t="e">
        <f>VLOOKUP(B439,'[1]Base de datos'!$B:$E,4,FALSE)</f>
        <v>#N/A</v>
      </c>
    </row>
    <row r="440" spans="2:6" x14ac:dyDescent="0.25">
      <c r="B440" s="28"/>
      <c r="C440" s="19"/>
      <c r="D440" s="5" t="e">
        <f>VLOOKUP(B440,'[1]Base de datos'!$B:$F,2,FALSE)</f>
        <v>#N/A</v>
      </c>
      <c r="E440" t="e">
        <f>VLOOKUP(B440,'[1]Base de datos'!$B:$E,3,FALSE)</f>
        <v>#N/A</v>
      </c>
      <c r="F440" t="e">
        <f>VLOOKUP(B440,'[1]Base de datos'!$B:$E,4,FALSE)</f>
        <v>#N/A</v>
      </c>
    </row>
    <row r="441" spans="2:6" x14ac:dyDescent="0.25">
      <c r="B441" s="28"/>
      <c r="C441" s="19"/>
      <c r="D441" s="5" t="e">
        <f>VLOOKUP(B441,'[1]Base de datos'!$B:$F,2,FALSE)</f>
        <v>#N/A</v>
      </c>
      <c r="E441" t="e">
        <f>VLOOKUP(B441,'[1]Base de datos'!$B:$E,3,FALSE)</f>
        <v>#N/A</v>
      </c>
      <c r="F441" t="e">
        <f>VLOOKUP(B441,'[1]Base de datos'!$B:$E,4,FALSE)</f>
        <v>#N/A</v>
      </c>
    </row>
    <row r="442" spans="2:6" x14ac:dyDescent="0.25">
      <c r="B442" s="28"/>
      <c r="C442" s="19"/>
      <c r="D442" s="5" t="e">
        <f>VLOOKUP(B442,'[1]Base de datos'!$B:$F,2,FALSE)</f>
        <v>#N/A</v>
      </c>
      <c r="E442" t="e">
        <f>VLOOKUP(B442,'[1]Base de datos'!$B:$E,3,FALSE)</f>
        <v>#N/A</v>
      </c>
      <c r="F442" t="e">
        <f>VLOOKUP(B442,'[1]Base de datos'!$B:$E,4,FALSE)</f>
        <v>#N/A</v>
      </c>
    </row>
    <row r="443" spans="2:6" x14ac:dyDescent="0.25">
      <c r="B443" s="28"/>
      <c r="C443" s="19"/>
      <c r="D443" s="5" t="e">
        <f>VLOOKUP(B443,'[1]Base de datos'!$B:$F,2,FALSE)</f>
        <v>#N/A</v>
      </c>
      <c r="E443" t="e">
        <f>VLOOKUP(B443,'[1]Base de datos'!$B:$E,3,FALSE)</f>
        <v>#N/A</v>
      </c>
      <c r="F443" t="e">
        <f>VLOOKUP(B443,'[1]Base de datos'!$B:$E,4,FALSE)</f>
        <v>#N/A</v>
      </c>
    </row>
    <row r="444" spans="2:6" x14ac:dyDescent="0.25">
      <c r="B444" s="28"/>
      <c r="C444" s="19"/>
      <c r="D444" s="5" t="e">
        <f>VLOOKUP(B444,'[1]Base de datos'!$B:$F,2,FALSE)</f>
        <v>#N/A</v>
      </c>
      <c r="E444" t="e">
        <f>VLOOKUP(B444,'[1]Base de datos'!$B:$E,3,FALSE)</f>
        <v>#N/A</v>
      </c>
      <c r="F444" t="e">
        <f>VLOOKUP(B444,'[1]Base de datos'!$B:$E,4,FALSE)</f>
        <v>#N/A</v>
      </c>
    </row>
    <row r="445" spans="2:6" x14ac:dyDescent="0.25">
      <c r="B445" s="28"/>
      <c r="C445" s="19"/>
      <c r="D445" s="5" t="e">
        <f>VLOOKUP(B445,'[1]Base de datos'!$B:$F,2,FALSE)</f>
        <v>#N/A</v>
      </c>
      <c r="E445" t="e">
        <f>VLOOKUP(B445,'[1]Base de datos'!$B:$E,3,FALSE)</f>
        <v>#N/A</v>
      </c>
      <c r="F445" t="e">
        <f>VLOOKUP(B445,'[1]Base de datos'!$B:$E,4,FALSE)</f>
        <v>#N/A</v>
      </c>
    </row>
    <row r="446" spans="2:6" x14ac:dyDescent="0.25">
      <c r="B446" s="28"/>
      <c r="C446" s="19"/>
      <c r="D446" s="5" t="e">
        <f>VLOOKUP(B446,'[1]Base de datos'!$B:$F,2,FALSE)</f>
        <v>#N/A</v>
      </c>
      <c r="E446" t="e">
        <f>VLOOKUP(B446,'[1]Base de datos'!$B:$E,3,FALSE)</f>
        <v>#N/A</v>
      </c>
      <c r="F446" t="e">
        <f>VLOOKUP(B446,'[1]Base de datos'!$B:$E,4,FALSE)</f>
        <v>#N/A</v>
      </c>
    </row>
    <row r="447" spans="2:6" x14ac:dyDescent="0.25">
      <c r="B447" s="28"/>
      <c r="C447" s="19"/>
      <c r="D447" s="5" t="e">
        <f>VLOOKUP(B447,'[1]Base de datos'!$B:$F,2,FALSE)</f>
        <v>#N/A</v>
      </c>
      <c r="E447" t="e">
        <f>VLOOKUP(B447,'[1]Base de datos'!$B:$E,3,FALSE)</f>
        <v>#N/A</v>
      </c>
      <c r="F447" t="e">
        <f>VLOOKUP(B447,'[1]Base de datos'!$B:$E,4,FALSE)</f>
        <v>#N/A</v>
      </c>
    </row>
    <row r="448" spans="2:6" x14ac:dyDescent="0.25">
      <c r="B448" s="28"/>
      <c r="C448" s="19"/>
      <c r="D448" s="5" t="e">
        <f>VLOOKUP(B448,'[1]Base de datos'!$B:$F,2,FALSE)</f>
        <v>#N/A</v>
      </c>
      <c r="E448" t="e">
        <f>VLOOKUP(B448,'[1]Base de datos'!$B:$E,3,FALSE)</f>
        <v>#N/A</v>
      </c>
      <c r="F448" t="e">
        <f>VLOOKUP(B448,'[1]Base de datos'!$B:$E,4,FALSE)</f>
        <v>#N/A</v>
      </c>
    </row>
    <row r="449" spans="2:6" x14ac:dyDescent="0.25">
      <c r="B449" s="28"/>
      <c r="C449" s="19"/>
      <c r="D449" s="5" t="e">
        <f>VLOOKUP(B449,'[1]Base de datos'!$B:$F,2,FALSE)</f>
        <v>#N/A</v>
      </c>
      <c r="E449" t="e">
        <f>VLOOKUP(B449,'[1]Base de datos'!$B:$E,3,FALSE)</f>
        <v>#N/A</v>
      </c>
      <c r="F449" t="e">
        <f>VLOOKUP(B449,'[1]Base de datos'!$B:$E,4,FALSE)</f>
        <v>#N/A</v>
      </c>
    </row>
    <row r="450" spans="2:6" x14ac:dyDescent="0.25">
      <c r="B450" s="28"/>
      <c r="C450" s="19"/>
      <c r="D450" s="5" t="e">
        <f>VLOOKUP(B450,'[1]Base de datos'!$B:$F,2,FALSE)</f>
        <v>#N/A</v>
      </c>
      <c r="E450" t="e">
        <f>VLOOKUP(B450,'[1]Base de datos'!$B:$E,3,FALSE)</f>
        <v>#N/A</v>
      </c>
      <c r="F450" t="e">
        <f>VLOOKUP(B450,'[1]Base de datos'!$B:$E,4,FALSE)</f>
        <v>#N/A</v>
      </c>
    </row>
    <row r="451" spans="2:6" x14ac:dyDescent="0.25">
      <c r="B451" s="28"/>
      <c r="C451" s="19"/>
      <c r="D451" s="5" t="e">
        <f>VLOOKUP(B451,'[1]Base de datos'!$B:$F,2,FALSE)</f>
        <v>#N/A</v>
      </c>
      <c r="E451" t="e">
        <f>VLOOKUP(B451,'[1]Base de datos'!$B:$E,3,FALSE)</f>
        <v>#N/A</v>
      </c>
      <c r="F451" t="e">
        <f>VLOOKUP(B451,'[1]Base de datos'!$B:$E,4,FALSE)</f>
        <v>#N/A</v>
      </c>
    </row>
    <row r="452" spans="2:6" x14ac:dyDescent="0.25">
      <c r="B452" s="28"/>
      <c r="C452" s="19"/>
      <c r="D452" s="5" t="e">
        <f>VLOOKUP(B452,'[1]Base de datos'!$B:$F,2,FALSE)</f>
        <v>#N/A</v>
      </c>
      <c r="E452" t="e">
        <f>VLOOKUP(B452,'[1]Base de datos'!$B:$E,3,FALSE)</f>
        <v>#N/A</v>
      </c>
      <c r="F452" t="e">
        <f>VLOOKUP(B452,'[1]Base de datos'!$B:$E,4,FALSE)</f>
        <v>#N/A</v>
      </c>
    </row>
    <row r="453" spans="2:6" x14ac:dyDescent="0.25">
      <c r="B453" s="28"/>
      <c r="C453" s="19"/>
      <c r="D453" s="5" t="e">
        <f>VLOOKUP(B453,'[1]Base de datos'!$B:$F,2,FALSE)</f>
        <v>#N/A</v>
      </c>
      <c r="E453" t="e">
        <f>VLOOKUP(B453,'[1]Base de datos'!$B:$E,3,FALSE)</f>
        <v>#N/A</v>
      </c>
      <c r="F453" t="e">
        <f>VLOOKUP(B453,'[1]Base de datos'!$B:$E,4,FALSE)</f>
        <v>#N/A</v>
      </c>
    </row>
    <row r="454" spans="2:6" x14ac:dyDescent="0.25">
      <c r="B454" s="28"/>
      <c r="C454" s="19"/>
      <c r="D454" s="5" t="e">
        <f>VLOOKUP(B454,'[1]Base de datos'!$B:$F,2,FALSE)</f>
        <v>#N/A</v>
      </c>
      <c r="E454" t="e">
        <f>VLOOKUP(B454,'[1]Base de datos'!$B:$E,3,FALSE)</f>
        <v>#N/A</v>
      </c>
      <c r="F454" t="e">
        <f>VLOOKUP(B454,'[1]Base de datos'!$B:$E,4,FALSE)</f>
        <v>#N/A</v>
      </c>
    </row>
    <row r="455" spans="2:6" x14ac:dyDescent="0.25">
      <c r="B455" s="28"/>
      <c r="C455" s="19"/>
      <c r="D455" s="5" t="e">
        <f>VLOOKUP(B455,'[1]Base de datos'!$B:$F,2,FALSE)</f>
        <v>#N/A</v>
      </c>
      <c r="E455" t="e">
        <f>VLOOKUP(B455,'[1]Base de datos'!$B:$E,3,FALSE)</f>
        <v>#N/A</v>
      </c>
      <c r="F455" t="e">
        <f>VLOOKUP(B455,'[1]Base de datos'!$B:$E,4,FALSE)</f>
        <v>#N/A</v>
      </c>
    </row>
    <row r="456" spans="2:6" x14ac:dyDescent="0.25">
      <c r="B456" s="28"/>
      <c r="C456" s="19"/>
      <c r="D456" s="5" t="e">
        <f>VLOOKUP(B456,'[1]Base de datos'!$B:$F,2,FALSE)</f>
        <v>#N/A</v>
      </c>
      <c r="E456" t="e">
        <f>VLOOKUP(B456,'[1]Base de datos'!$B:$E,3,FALSE)</f>
        <v>#N/A</v>
      </c>
      <c r="F456" t="e">
        <f>VLOOKUP(B456,'[1]Base de datos'!$B:$E,4,FALSE)</f>
        <v>#N/A</v>
      </c>
    </row>
    <row r="457" spans="2:6" x14ac:dyDescent="0.25">
      <c r="B457" s="28"/>
      <c r="C457" s="19"/>
      <c r="D457" s="5" t="e">
        <f>VLOOKUP(B457,'[1]Base de datos'!$B:$F,2,FALSE)</f>
        <v>#N/A</v>
      </c>
      <c r="E457" t="e">
        <f>VLOOKUP(B457,'[1]Base de datos'!$B:$E,3,FALSE)</f>
        <v>#N/A</v>
      </c>
      <c r="F457" t="e">
        <f>VLOOKUP(B457,'[1]Base de datos'!$B:$E,4,FALSE)</f>
        <v>#N/A</v>
      </c>
    </row>
    <row r="458" spans="2:6" x14ac:dyDescent="0.25">
      <c r="B458" s="28"/>
      <c r="C458" s="19"/>
      <c r="D458" s="5" t="e">
        <f>VLOOKUP(B458,'[1]Base de datos'!$B:$F,2,FALSE)</f>
        <v>#N/A</v>
      </c>
      <c r="E458" t="e">
        <f>VLOOKUP(B458,'[1]Base de datos'!$B:$E,3,FALSE)</f>
        <v>#N/A</v>
      </c>
      <c r="F458" t="e">
        <f>VLOOKUP(B458,'[1]Base de datos'!$B:$E,4,FALSE)</f>
        <v>#N/A</v>
      </c>
    </row>
    <row r="459" spans="2:6" x14ac:dyDescent="0.25">
      <c r="B459" s="28"/>
      <c r="C459" s="19"/>
      <c r="D459" s="5" t="e">
        <f>VLOOKUP(B459,'[1]Base de datos'!$B:$F,2,FALSE)</f>
        <v>#N/A</v>
      </c>
      <c r="E459" t="e">
        <f>VLOOKUP(B459,'[1]Base de datos'!$B:$E,3,FALSE)</f>
        <v>#N/A</v>
      </c>
      <c r="F459" t="e">
        <f>VLOOKUP(B459,'[1]Base de datos'!$B:$E,4,FALSE)</f>
        <v>#N/A</v>
      </c>
    </row>
    <row r="460" spans="2:6" x14ac:dyDescent="0.25">
      <c r="B460" s="28"/>
      <c r="C460" s="19"/>
      <c r="D460" s="5" t="e">
        <f>VLOOKUP(B460,'[1]Base de datos'!$B:$F,2,FALSE)</f>
        <v>#N/A</v>
      </c>
      <c r="E460" t="e">
        <f>VLOOKUP(B460,'[1]Base de datos'!$B:$E,3,FALSE)</f>
        <v>#N/A</v>
      </c>
      <c r="F460" t="e">
        <f>VLOOKUP(B460,'[1]Base de datos'!$B:$E,4,FALSE)</f>
        <v>#N/A</v>
      </c>
    </row>
    <row r="461" spans="2:6" x14ac:dyDescent="0.25">
      <c r="B461" s="28"/>
      <c r="C461" s="19"/>
      <c r="D461" s="5" t="e">
        <f>VLOOKUP(B461,'[1]Base de datos'!$B:$F,2,FALSE)</f>
        <v>#N/A</v>
      </c>
      <c r="E461" t="e">
        <f>VLOOKUP(B461,'[1]Base de datos'!$B:$E,3,FALSE)</f>
        <v>#N/A</v>
      </c>
      <c r="F461" t="e">
        <f>VLOOKUP(B461,'[1]Base de datos'!$B:$E,4,FALSE)</f>
        <v>#N/A</v>
      </c>
    </row>
    <row r="462" spans="2:6" x14ac:dyDescent="0.25">
      <c r="B462" s="28"/>
      <c r="C462" s="19"/>
      <c r="D462" s="5" t="e">
        <f>VLOOKUP(B462,'[1]Base de datos'!$B:$F,2,FALSE)</f>
        <v>#N/A</v>
      </c>
      <c r="E462" t="e">
        <f>VLOOKUP(B462,'[1]Base de datos'!$B:$E,3,FALSE)</f>
        <v>#N/A</v>
      </c>
      <c r="F462" t="e">
        <f>VLOOKUP(B462,'[1]Base de datos'!$B:$E,4,FALSE)</f>
        <v>#N/A</v>
      </c>
    </row>
    <row r="463" spans="2:6" x14ac:dyDescent="0.25">
      <c r="B463" s="28"/>
      <c r="C463" s="19"/>
      <c r="D463" s="5" t="e">
        <f>VLOOKUP(B463,'[1]Base de datos'!$B:$F,2,FALSE)</f>
        <v>#N/A</v>
      </c>
      <c r="E463" t="e">
        <f>VLOOKUP(B463,'[1]Base de datos'!$B:$E,3,FALSE)</f>
        <v>#N/A</v>
      </c>
      <c r="F463" t="e">
        <f>VLOOKUP(B463,'[1]Base de datos'!$B:$E,4,FALSE)</f>
        <v>#N/A</v>
      </c>
    </row>
    <row r="464" spans="2:6" x14ac:dyDescent="0.25">
      <c r="B464" s="28"/>
      <c r="C464" s="19"/>
      <c r="D464" s="5" t="e">
        <f>VLOOKUP(B464,'[1]Base de datos'!$B:$F,2,FALSE)</f>
        <v>#N/A</v>
      </c>
      <c r="E464" t="e">
        <f>VLOOKUP(B464,'[1]Base de datos'!$B:$E,3,FALSE)</f>
        <v>#N/A</v>
      </c>
      <c r="F464" t="e">
        <f>VLOOKUP(B464,'[1]Base de datos'!$B:$E,4,FALSE)</f>
        <v>#N/A</v>
      </c>
    </row>
    <row r="465" spans="2:6" x14ac:dyDescent="0.25">
      <c r="B465" s="28"/>
      <c r="C465" s="19"/>
      <c r="D465" s="5" t="e">
        <f>VLOOKUP(B465,'[1]Base de datos'!$B:$F,2,FALSE)</f>
        <v>#N/A</v>
      </c>
      <c r="E465" t="e">
        <f>VLOOKUP(B465,'[1]Base de datos'!$B:$E,3,FALSE)</f>
        <v>#N/A</v>
      </c>
      <c r="F465" t="e">
        <f>VLOOKUP(B465,'[1]Base de datos'!$B:$E,4,FALSE)</f>
        <v>#N/A</v>
      </c>
    </row>
    <row r="466" spans="2:6" x14ac:dyDescent="0.25">
      <c r="B466" s="28"/>
      <c r="C466" s="19"/>
      <c r="D466" s="5" t="e">
        <f>VLOOKUP(B466,'[1]Base de datos'!$B:$F,2,FALSE)</f>
        <v>#N/A</v>
      </c>
      <c r="E466" t="e">
        <f>VLOOKUP(B466,'[1]Base de datos'!$B:$E,3,FALSE)</f>
        <v>#N/A</v>
      </c>
      <c r="F466" t="e">
        <f>VLOOKUP(B466,'[1]Base de datos'!$B:$E,4,FALSE)</f>
        <v>#N/A</v>
      </c>
    </row>
    <row r="467" spans="2:6" x14ac:dyDescent="0.25">
      <c r="B467" s="28"/>
      <c r="C467" s="19"/>
      <c r="D467" s="5" t="e">
        <f>VLOOKUP(B467,'[1]Base de datos'!$B:$F,2,FALSE)</f>
        <v>#N/A</v>
      </c>
      <c r="E467" t="e">
        <f>VLOOKUP(B467,'[1]Base de datos'!$B:$E,3,FALSE)</f>
        <v>#N/A</v>
      </c>
      <c r="F467" t="e">
        <f>VLOOKUP(B467,'[1]Base de datos'!$B:$E,4,FALSE)</f>
        <v>#N/A</v>
      </c>
    </row>
    <row r="468" spans="2:6" x14ac:dyDescent="0.25">
      <c r="B468" s="28"/>
      <c r="C468" s="19"/>
      <c r="D468" s="5" t="e">
        <f>VLOOKUP(B468,'[1]Base de datos'!$B:$F,2,FALSE)</f>
        <v>#N/A</v>
      </c>
      <c r="E468" t="e">
        <f>VLOOKUP(B468,'[1]Base de datos'!$B:$E,3,FALSE)</f>
        <v>#N/A</v>
      </c>
      <c r="F468" t="e">
        <f>VLOOKUP(B468,'[1]Base de datos'!$B:$E,4,FALSE)</f>
        <v>#N/A</v>
      </c>
    </row>
    <row r="469" spans="2:6" x14ac:dyDescent="0.25">
      <c r="B469" s="28"/>
      <c r="C469" s="19"/>
      <c r="D469" s="5" t="e">
        <f>VLOOKUP(B469,'[1]Base de datos'!$B:$F,2,FALSE)</f>
        <v>#N/A</v>
      </c>
      <c r="E469" t="e">
        <f>VLOOKUP(B469,'[1]Base de datos'!$B:$E,3,FALSE)</f>
        <v>#N/A</v>
      </c>
      <c r="F469" t="e">
        <f>VLOOKUP(B469,'[1]Base de datos'!$B:$E,4,FALSE)</f>
        <v>#N/A</v>
      </c>
    </row>
    <row r="470" spans="2:6" x14ac:dyDescent="0.25">
      <c r="B470" s="28"/>
      <c r="C470" s="19"/>
      <c r="D470" s="5" t="e">
        <f>VLOOKUP(B470,'[1]Base de datos'!$B:$F,2,FALSE)</f>
        <v>#N/A</v>
      </c>
      <c r="E470" t="e">
        <f>VLOOKUP(B470,'[1]Base de datos'!$B:$E,3,FALSE)</f>
        <v>#N/A</v>
      </c>
      <c r="F470" t="e">
        <f>VLOOKUP(B470,'[1]Base de datos'!$B:$E,4,FALSE)</f>
        <v>#N/A</v>
      </c>
    </row>
    <row r="471" spans="2:6" x14ac:dyDescent="0.25">
      <c r="B471" s="28"/>
      <c r="C471" s="19"/>
      <c r="D471" s="5" t="e">
        <f>VLOOKUP(B471,'[1]Base de datos'!$B:$F,2,FALSE)</f>
        <v>#N/A</v>
      </c>
      <c r="E471" t="e">
        <f>VLOOKUP(B471,'[1]Base de datos'!$B:$E,3,FALSE)</f>
        <v>#N/A</v>
      </c>
      <c r="F471" t="e">
        <f>VLOOKUP(B471,'[1]Base de datos'!$B:$E,4,FALSE)</f>
        <v>#N/A</v>
      </c>
    </row>
    <row r="472" spans="2:6" x14ac:dyDescent="0.25">
      <c r="B472" s="28"/>
      <c r="C472" s="19"/>
      <c r="D472" s="5" t="e">
        <f>VLOOKUP(B472,'[1]Base de datos'!$B:$F,2,FALSE)</f>
        <v>#N/A</v>
      </c>
      <c r="E472" t="e">
        <f>VLOOKUP(B472,'[1]Base de datos'!$B:$E,3,FALSE)</f>
        <v>#N/A</v>
      </c>
      <c r="F472" t="e">
        <f>VLOOKUP(B472,'[1]Base de datos'!$B:$E,4,FALSE)</f>
        <v>#N/A</v>
      </c>
    </row>
    <row r="473" spans="2:6" x14ac:dyDescent="0.25">
      <c r="B473" s="28"/>
      <c r="C473" s="19"/>
      <c r="D473" s="5" t="e">
        <f>VLOOKUP(B473,'[1]Base de datos'!$B:$F,2,FALSE)</f>
        <v>#N/A</v>
      </c>
      <c r="E473" t="e">
        <f>VLOOKUP(B473,'[1]Base de datos'!$B:$E,3,FALSE)</f>
        <v>#N/A</v>
      </c>
      <c r="F473" t="e">
        <f>VLOOKUP(B473,'[1]Base de datos'!$B:$E,4,FALSE)</f>
        <v>#N/A</v>
      </c>
    </row>
    <row r="474" spans="2:6" x14ac:dyDescent="0.25">
      <c r="B474" s="28"/>
      <c r="C474" s="19"/>
      <c r="D474" s="5" t="e">
        <f>VLOOKUP(B474,'[1]Base de datos'!$B:$F,2,FALSE)</f>
        <v>#N/A</v>
      </c>
      <c r="E474" t="e">
        <f>VLOOKUP(B474,'[1]Base de datos'!$B:$E,3,FALSE)</f>
        <v>#N/A</v>
      </c>
      <c r="F474" t="e">
        <f>VLOOKUP(B474,'[1]Base de datos'!$B:$E,4,FALSE)</f>
        <v>#N/A</v>
      </c>
    </row>
    <row r="475" spans="2:6" x14ac:dyDescent="0.25">
      <c r="B475" s="28"/>
      <c r="C475" s="19"/>
      <c r="D475" s="5" t="e">
        <f>VLOOKUP(B475,'[1]Base de datos'!$B:$F,2,FALSE)</f>
        <v>#N/A</v>
      </c>
      <c r="E475" t="e">
        <f>VLOOKUP(B475,'[1]Base de datos'!$B:$E,3,FALSE)</f>
        <v>#N/A</v>
      </c>
      <c r="F475" t="e">
        <f>VLOOKUP(B475,'[1]Base de datos'!$B:$E,4,FALSE)</f>
        <v>#N/A</v>
      </c>
    </row>
    <row r="476" spans="2:6" x14ac:dyDescent="0.25">
      <c r="B476" s="28"/>
      <c r="C476" s="19"/>
      <c r="D476" s="5" t="e">
        <f>VLOOKUP(B476,'[1]Base de datos'!$B:$F,2,FALSE)</f>
        <v>#N/A</v>
      </c>
      <c r="E476" t="e">
        <f>VLOOKUP(B476,'[1]Base de datos'!$B:$E,3,FALSE)</f>
        <v>#N/A</v>
      </c>
      <c r="F476" t="e">
        <f>VLOOKUP(B476,'[1]Base de datos'!$B:$E,4,FALSE)</f>
        <v>#N/A</v>
      </c>
    </row>
    <row r="477" spans="2:6" x14ac:dyDescent="0.25">
      <c r="B477" s="28"/>
      <c r="C477" s="19"/>
      <c r="D477" s="5" t="e">
        <f>VLOOKUP(B477,'[1]Base de datos'!$B:$F,2,FALSE)</f>
        <v>#N/A</v>
      </c>
      <c r="E477" t="e">
        <f>VLOOKUP(B477,'[1]Base de datos'!$B:$E,3,FALSE)</f>
        <v>#N/A</v>
      </c>
      <c r="F477" t="e">
        <f>VLOOKUP(B477,'[1]Base de datos'!$B:$E,4,FALSE)</f>
        <v>#N/A</v>
      </c>
    </row>
    <row r="478" spans="2:6" x14ac:dyDescent="0.25">
      <c r="B478" s="28"/>
      <c r="C478" s="19"/>
      <c r="D478" s="5" t="e">
        <f>VLOOKUP(B478,'[1]Base de datos'!$B:$F,2,FALSE)</f>
        <v>#N/A</v>
      </c>
      <c r="E478" t="e">
        <f>VLOOKUP(B478,'[1]Base de datos'!$B:$E,3,FALSE)</f>
        <v>#N/A</v>
      </c>
      <c r="F478" t="e">
        <f>VLOOKUP(B478,'[1]Base de datos'!$B:$E,4,FALSE)</f>
        <v>#N/A</v>
      </c>
    </row>
    <row r="479" spans="2:6" x14ac:dyDescent="0.25">
      <c r="B479" s="28"/>
      <c r="C479" s="19"/>
      <c r="D479" s="5" t="e">
        <f>VLOOKUP(B479,'[1]Base de datos'!$B:$F,2,FALSE)</f>
        <v>#N/A</v>
      </c>
      <c r="E479" t="e">
        <f>VLOOKUP(B479,'[1]Base de datos'!$B:$E,3,FALSE)</f>
        <v>#N/A</v>
      </c>
      <c r="F479" t="e">
        <f>VLOOKUP(B479,'[1]Base de datos'!$B:$E,4,FALSE)</f>
        <v>#N/A</v>
      </c>
    </row>
    <row r="480" spans="2:6" x14ac:dyDescent="0.25">
      <c r="B480" s="28"/>
      <c r="C480" s="19"/>
      <c r="D480" s="5" t="e">
        <f>VLOOKUP(B480,'[1]Base de datos'!$B:$F,2,FALSE)</f>
        <v>#N/A</v>
      </c>
      <c r="E480" t="e">
        <f>VLOOKUP(B480,'[1]Base de datos'!$B:$E,3,FALSE)</f>
        <v>#N/A</v>
      </c>
      <c r="F480" t="e">
        <f>VLOOKUP(B480,'[1]Base de datos'!$B:$E,4,FALSE)</f>
        <v>#N/A</v>
      </c>
    </row>
    <row r="481" spans="2:6" x14ac:dyDescent="0.25">
      <c r="B481" s="28"/>
      <c r="C481" s="19"/>
      <c r="D481" s="5" t="e">
        <f>VLOOKUP(B481,'[1]Base de datos'!$B:$F,2,FALSE)</f>
        <v>#N/A</v>
      </c>
      <c r="E481" t="e">
        <f>VLOOKUP(B481,'[1]Base de datos'!$B:$E,3,FALSE)</f>
        <v>#N/A</v>
      </c>
      <c r="F481" t="e">
        <f>VLOOKUP(B481,'[1]Base de datos'!$B:$E,4,FALSE)</f>
        <v>#N/A</v>
      </c>
    </row>
    <row r="482" spans="2:6" x14ac:dyDescent="0.25">
      <c r="B482" s="28"/>
      <c r="C482" s="19"/>
      <c r="D482" s="5" t="e">
        <f>VLOOKUP(B482,'[1]Base de datos'!$B:$F,2,FALSE)</f>
        <v>#N/A</v>
      </c>
      <c r="E482" t="e">
        <f>VLOOKUP(B482,'[1]Base de datos'!$B:$E,3,FALSE)</f>
        <v>#N/A</v>
      </c>
      <c r="F482" t="e">
        <f>VLOOKUP(B482,'[1]Base de datos'!$B:$E,4,FALSE)</f>
        <v>#N/A</v>
      </c>
    </row>
    <row r="483" spans="2:6" x14ac:dyDescent="0.25">
      <c r="B483" s="28"/>
      <c r="C483" s="19"/>
      <c r="D483" s="5" t="e">
        <f>VLOOKUP(B483,'[1]Base de datos'!$B:$F,2,FALSE)</f>
        <v>#N/A</v>
      </c>
      <c r="E483" t="e">
        <f>VLOOKUP(B483,'[1]Base de datos'!$B:$E,3,FALSE)</f>
        <v>#N/A</v>
      </c>
      <c r="F483" t="e">
        <f>VLOOKUP(B483,'[1]Base de datos'!$B:$E,4,FALSE)</f>
        <v>#N/A</v>
      </c>
    </row>
    <row r="484" spans="2:6" x14ac:dyDescent="0.25">
      <c r="B484" s="28"/>
      <c r="C484" s="19"/>
      <c r="D484" s="5" t="e">
        <f>VLOOKUP(B484,'[1]Base de datos'!$B:$F,2,FALSE)</f>
        <v>#N/A</v>
      </c>
      <c r="E484" t="e">
        <f>VLOOKUP(B484,'[1]Base de datos'!$B:$E,3,FALSE)</f>
        <v>#N/A</v>
      </c>
      <c r="F484" t="e">
        <f>VLOOKUP(B484,'[1]Base de datos'!$B:$E,4,FALSE)</f>
        <v>#N/A</v>
      </c>
    </row>
    <row r="485" spans="2:6" x14ac:dyDescent="0.25">
      <c r="B485" s="28"/>
      <c r="C485" s="19"/>
      <c r="D485" s="5" t="e">
        <f>VLOOKUP(B485,'[1]Base de datos'!$B:$F,2,FALSE)</f>
        <v>#N/A</v>
      </c>
      <c r="E485" t="e">
        <f>VLOOKUP(B485,'[1]Base de datos'!$B:$E,3,FALSE)</f>
        <v>#N/A</v>
      </c>
      <c r="F485" t="e">
        <f>VLOOKUP(B485,'[1]Base de datos'!$B:$E,4,FALSE)</f>
        <v>#N/A</v>
      </c>
    </row>
    <row r="486" spans="2:6" x14ac:dyDescent="0.25">
      <c r="B486" s="28"/>
      <c r="C486" s="19"/>
      <c r="D486" s="5" t="e">
        <f>VLOOKUP(B486,'[1]Base de datos'!$B:$F,2,FALSE)</f>
        <v>#N/A</v>
      </c>
      <c r="E486" t="e">
        <f>VLOOKUP(B486,'[1]Base de datos'!$B:$E,3,FALSE)</f>
        <v>#N/A</v>
      </c>
      <c r="F486" t="e">
        <f>VLOOKUP(B486,'[1]Base de datos'!$B:$E,4,FALSE)</f>
        <v>#N/A</v>
      </c>
    </row>
    <row r="487" spans="2:6" x14ac:dyDescent="0.25">
      <c r="B487" s="28"/>
      <c r="C487" s="19"/>
      <c r="D487" s="5" t="e">
        <f>VLOOKUP(B487,'[1]Base de datos'!$B:$F,2,FALSE)</f>
        <v>#N/A</v>
      </c>
      <c r="E487" t="e">
        <f>VLOOKUP(B487,'[1]Base de datos'!$B:$E,3,FALSE)</f>
        <v>#N/A</v>
      </c>
      <c r="F487" t="e">
        <f>VLOOKUP(B487,'[1]Base de datos'!$B:$E,4,FALSE)</f>
        <v>#N/A</v>
      </c>
    </row>
    <row r="488" spans="2:6" x14ac:dyDescent="0.25">
      <c r="B488" s="28"/>
      <c r="C488" s="19"/>
      <c r="D488" s="5" t="e">
        <f>VLOOKUP(B488,'[1]Base de datos'!$B:$F,2,FALSE)</f>
        <v>#N/A</v>
      </c>
      <c r="E488" t="e">
        <f>VLOOKUP(B488,'[1]Base de datos'!$B:$E,3,FALSE)</f>
        <v>#N/A</v>
      </c>
      <c r="F488" t="e">
        <f>VLOOKUP(B488,'[1]Base de datos'!$B:$E,4,FALSE)</f>
        <v>#N/A</v>
      </c>
    </row>
    <row r="489" spans="2:6" x14ac:dyDescent="0.25">
      <c r="B489" s="28"/>
      <c r="C489" s="19"/>
      <c r="D489" s="5" t="e">
        <f>VLOOKUP(B489,'[1]Base de datos'!$B:$F,2,FALSE)</f>
        <v>#N/A</v>
      </c>
      <c r="E489" t="e">
        <f>VLOOKUP(B489,'[1]Base de datos'!$B:$E,3,FALSE)</f>
        <v>#N/A</v>
      </c>
      <c r="F489" t="e">
        <f>VLOOKUP(B489,'[1]Base de datos'!$B:$E,4,FALSE)</f>
        <v>#N/A</v>
      </c>
    </row>
    <row r="490" spans="2:6" x14ac:dyDescent="0.25">
      <c r="B490" s="28"/>
      <c r="C490" s="19"/>
      <c r="D490" s="5" t="e">
        <f>VLOOKUP(B490,'[1]Base de datos'!$B:$F,2,FALSE)</f>
        <v>#N/A</v>
      </c>
      <c r="E490" t="e">
        <f>VLOOKUP(B490,'[1]Base de datos'!$B:$E,3,FALSE)</f>
        <v>#N/A</v>
      </c>
      <c r="F490" t="e">
        <f>VLOOKUP(B490,'[1]Base de datos'!$B:$E,4,FALSE)</f>
        <v>#N/A</v>
      </c>
    </row>
    <row r="491" spans="2:6" x14ac:dyDescent="0.25">
      <c r="B491" s="28"/>
      <c r="C491" s="19"/>
      <c r="D491" s="5" t="e">
        <f>VLOOKUP(B491,'[1]Base de datos'!$B:$F,2,FALSE)</f>
        <v>#N/A</v>
      </c>
      <c r="E491" t="e">
        <f>VLOOKUP(B491,'[1]Base de datos'!$B:$E,3,FALSE)</f>
        <v>#N/A</v>
      </c>
      <c r="F491" t="e">
        <f>VLOOKUP(B491,'[1]Base de datos'!$B:$E,4,FALSE)</f>
        <v>#N/A</v>
      </c>
    </row>
    <row r="492" spans="2:6" x14ac:dyDescent="0.25">
      <c r="B492" s="28"/>
      <c r="C492" s="19"/>
      <c r="D492" s="5" t="e">
        <f>VLOOKUP(B492,'[1]Base de datos'!$B:$F,2,FALSE)</f>
        <v>#N/A</v>
      </c>
      <c r="E492" t="e">
        <f>VLOOKUP(B492,'[1]Base de datos'!$B:$E,3,FALSE)</f>
        <v>#N/A</v>
      </c>
      <c r="F492" t="e">
        <f>VLOOKUP(B492,'[1]Base de datos'!$B:$E,4,FALSE)</f>
        <v>#N/A</v>
      </c>
    </row>
    <row r="493" spans="2:6" x14ac:dyDescent="0.25">
      <c r="B493" s="28"/>
      <c r="C493" s="19"/>
      <c r="D493" s="5" t="e">
        <f>VLOOKUP(B493,'[1]Base de datos'!$B:$F,2,FALSE)</f>
        <v>#N/A</v>
      </c>
      <c r="E493" t="e">
        <f>VLOOKUP(B493,'[1]Base de datos'!$B:$E,3,FALSE)</f>
        <v>#N/A</v>
      </c>
      <c r="F493" t="e">
        <f>VLOOKUP(B493,'[1]Base de datos'!$B:$E,4,FALSE)</f>
        <v>#N/A</v>
      </c>
    </row>
    <row r="494" spans="2:6" x14ac:dyDescent="0.25">
      <c r="B494" s="28"/>
      <c r="C494" s="19"/>
      <c r="D494" s="5" t="e">
        <f>VLOOKUP(B494,'[1]Base de datos'!$B:$F,2,FALSE)</f>
        <v>#N/A</v>
      </c>
      <c r="E494" t="e">
        <f>VLOOKUP(B494,'[1]Base de datos'!$B:$E,3,FALSE)</f>
        <v>#N/A</v>
      </c>
      <c r="F494" t="e">
        <f>VLOOKUP(B494,'[1]Base de datos'!$B:$E,4,FALSE)</f>
        <v>#N/A</v>
      </c>
    </row>
    <row r="495" spans="2:6" x14ac:dyDescent="0.25">
      <c r="B495" s="28"/>
      <c r="C495" s="19"/>
      <c r="D495" s="5" t="e">
        <f>VLOOKUP(B495,'[1]Base de datos'!$B:$F,2,FALSE)</f>
        <v>#N/A</v>
      </c>
      <c r="E495" t="e">
        <f>VLOOKUP(B495,'[1]Base de datos'!$B:$E,3,FALSE)</f>
        <v>#N/A</v>
      </c>
      <c r="F495" t="e">
        <f>VLOOKUP(B495,'[1]Base de datos'!$B:$E,4,FALSE)</f>
        <v>#N/A</v>
      </c>
    </row>
    <row r="496" spans="2:6" x14ac:dyDescent="0.25">
      <c r="B496" s="28"/>
      <c r="C496" s="19"/>
      <c r="D496" s="5" t="e">
        <f>VLOOKUP(B496,'[1]Base de datos'!$B:$F,2,FALSE)</f>
        <v>#N/A</v>
      </c>
      <c r="E496" t="e">
        <f>VLOOKUP(B496,'[1]Base de datos'!$B:$E,3,FALSE)</f>
        <v>#N/A</v>
      </c>
      <c r="F496" t="e">
        <f>VLOOKUP(B496,'[1]Base de datos'!$B:$E,4,FALSE)</f>
        <v>#N/A</v>
      </c>
    </row>
    <row r="497" spans="2:6" x14ac:dyDescent="0.25">
      <c r="B497" s="28"/>
      <c r="C497" s="19"/>
      <c r="D497" s="5" t="e">
        <f>VLOOKUP(B497,'[1]Base de datos'!$B:$F,2,FALSE)</f>
        <v>#N/A</v>
      </c>
      <c r="E497" t="e">
        <f>VLOOKUP(B497,'[1]Base de datos'!$B:$E,3,FALSE)</f>
        <v>#N/A</v>
      </c>
      <c r="F497" t="e">
        <f>VLOOKUP(B497,'[1]Base de datos'!$B:$E,4,FALSE)</f>
        <v>#N/A</v>
      </c>
    </row>
    <row r="498" spans="2:6" x14ac:dyDescent="0.25">
      <c r="B498" s="28"/>
      <c r="C498" s="19"/>
      <c r="D498" s="5" t="e">
        <f>VLOOKUP(B498,'[1]Base de datos'!$B:$F,2,FALSE)</f>
        <v>#N/A</v>
      </c>
      <c r="E498" t="e">
        <f>VLOOKUP(B498,'[1]Base de datos'!$B:$E,3,FALSE)</f>
        <v>#N/A</v>
      </c>
      <c r="F498" t="e">
        <f>VLOOKUP(B498,'[1]Base de datos'!$B:$E,4,FALSE)</f>
        <v>#N/A</v>
      </c>
    </row>
    <row r="499" spans="2:6" x14ac:dyDescent="0.25">
      <c r="B499" s="28"/>
      <c r="C499" s="19"/>
      <c r="D499" s="5" t="e">
        <f>VLOOKUP(B499,'[1]Base de datos'!$B:$F,2,FALSE)</f>
        <v>#N/A</v>
      </c>
      <c r="E499" t="e">
        <f>VLOOKUP(B499,'[1]Base de datos'!$B:$E,3,FALSE)</f>
        <v>#N/A</v>
      </c>
      <c r="F499" t="e">
        <f>VLOOKUP(B499,'[1]Base de datos'!$B:$E,4,FALSE)</f>
        <v>#N/A</v>
      </c>
    </row>
    <row r="500" spans="2:6" x14ac:dyDescent="0.25">
      <c r="B500" s="28"/>
      <c r="C500" s="19"/>
      <c r="D500" s="5" t="e">
        <f>VLOOKUP(B500,'[1]Base de datos'!$B:$F,2,FALSE)</f>
        <v>#N/A</v>
      </c>
      <c r="E500" t="e">
        <f>VLOOKUP(B500,'[1]Base de datos'!$B:$E,3,FALSE)</f>
        <v>#N/A</v>
      </c>
      <c r="F500" t="e">
        <f>VLOOKUP(B500,'[1]Base de datos'!$B:$E,4,FALSE)</f>
        <v>#N/A</v>
      </c>
    </row>
    <row r="501" spans="2:6" x14ac:dyDescent="0.25">
      <c r="B501" s="28"/>
      <c r="C501" s="19"/>
      <c r="D501" s="5" t="e">
        <f>VLOOKUP(B501,'[1]Base de datos'!$B:$F,2,FALSE)</f>
        <v>#N/A</v>
      </c>
      <c r="E501" t="e">
        <f>VLOOKUP(B501,'[1]Base de datos'!$B:$E,3,FALSE)</f>
        <v>#N/A</v>
      </c>
      <c r="F501" t="e">
        <f>VLOOKUP(B501,'[1]Base de datos'!$B:$E,4,FALSE)</f>
        <v>#N/A</v>
      </c>
    </row>
    <row r="502" spans="2:6" x14ac:dyDescent="0.25">
      <c r="B502" s="28"/>
      <c r="C502" s="19"/>
      <c r="D502" s="5" t="e">
        <f>VLOOKUP(B502,'[1]Base de datos'!$B:$F,2,FALSE)</f>
        <v>#N/A</v>
      </c>
      <c r="E502" t="e">
        <f>VLOOKUP(B502,'[1]Base de datos'!$B:$E,3,FALSE)</f>
        <v>#N/A</v>
      </c>
      <c r="F502" t="e">
        <f>VLOOKUP(B502,'[1]Base de datos'!$B:$E,4,FALSE)</f>
        <v>#N/A</v>
      </c>
    </row>
    <row r="503" spans="2:6" x14ac:dyDescent="0.25">
      <c r="B503" s="28"/>
      <c r="C503" s="19"/>
      <c r="D503" s="5" t="e">
        <f>VLOOKUP(B503,'[1]Base de datos'!$B:$F,2,FALSE)</f>
        <v>#N/A</v>
      </c>
      <c r="E503" t="e">
        <f>VLOOKUP(B503,'[1]Base de datos'!$B:$E,3,FALSE)</f>
        <v>#N/A</v>
      </c>
      <c r="F503" t="e">
        <f>VLOOKUP(B503,'[1]Base de datos'!$B:$E,4,FALSE)</f>
        <v>#N/A</v>
      </c>
    </row>
    <row r="504" spans="2:6" x14ac:dyDescent="0.25">
      <c r="B504" s="28"/>
      <c r="C504" s="19"/>
      <c r="D504" s="5" t="e">
        <f>VLOOKUP(B504,'[1]Base de datos'!$B:$F,2,FALSE)</f>
        <v>#N/A</v>
      </c>
      <c r="E504" t="e">
        <f>VLOOKUP(B504,'[1]Base de datos'!$B:$E,3,FALSE)</f>
        <v>#N/A</v>
      </c>
      <c r="F504" t="e">
        <f>VLOOKUP(B504,'[1]Base de datos'!$B:$E,4,FALSE)</f>
        <v>#N/A</v>
      </c>
    </row>
    <row r="505" spans="2:6" x14ac:dyDescent="0.25">
      <c r="B505" s="28"/>
      <c r="C505" s="19"/>
      <c r="D505" s="5" t="e">
        <f>VLOOKUP(B505,'[1]Base de datos'!$B:$F,2,FALSE)</f>
        <v>#N/A</v>
      </c>
      <c r="E505" t="e">
        <f>VLOOKUP(B505,'[1]Base de datos'!$B:$E,3,FALSE)</f>
        <v>#N/A</v>
      </c>
      <c r="F505" t="e">
        <f>VLOOKUP(B505,'[1]Base de datos'!$B:$E,4,FALSE)</f>
        <v>#N/A</v>
      </c>
    </row>
    <row r="506" spans="2:6" x14ac:dyDescent="0.25">
      <c r="B506" s="28"/>
      <c r="C506" s="19"/>
      <c r="D506" s="5" t="e">
        <f>VLOOKUP(B506,'[1]Base de datos'!$B:$F,2,FALSE)</f>
        <v>#N/A</v>
      </c>
      <c r="E506" t="e">
        <f>VLOOKUP(B506,'[1]Base de datos'!$B:$E,3,FALSE)</f>
        <v>#N/A</v>
      </c>
      <c r="F506" t="e">
        <f>VLOOKUP(B506,'[1]Base de datos'!$B:$E,4,FALSE)</f>
        <v>#N/A</v>
      </c>
    </row>
    <row r="507" spans="2:6" x14ac:dyDescent="0.25">
      <c r="B507" s="28"/>
      <c r="C507" s="19"/>
      <c r="D507" s="5" t="e">
        <f>VLOOKUP(B507,'[1]Base de datos'!$B:$F,2,FALSE)</f>
        <v>#N/A</v>
      </c>
      <c r="E507" t="e">
        <f>VLOOKUP(B507,'[1]Base de datos'!$B:$E,3,FALSE)</f>
        <v>#N/A</v>
      </c>
      <c r="F507" t="e">
        <f>VLOOKUP(B507,'[1]Base de datos'!$B:$E,4,FALSE)</f>
        <v>#N/A</v>
      </c>
    </row>
    <row r="508" spans="2:6" x14ac:dyDescent="0.25">
      <c r="B508" s="28"/>
      <c r="C508" s="19"/>
      <c r="D508" s="5" t="e">
        <f>VLOOKUP(B508,'[1]Base de datos'!$B:$F,2,FALSE)</f>
        <v>#N/A</v>
      </c>
      <c r="E508" t="e">
        <f>VLOOKUP(B508,'[1]Base de datos'!$B:$E,3,FALSE)</f>
        <v>#N/A</v>
      </c>
      <c r="F508" t="e">
        <f>VLOOKUP(B508,'[1]Base de datos'!$B:$E,4,FALSE)</f>
        <v>#N/A</v>
      </c>
    </row>
    <row r="509" spans="2:6" x14ac:dyDescent="0.25">
      <c r="B509" s="28"/>
      <c r="C509" s="19"/>
      <c r="D509" s="5" t="e">
        <f>VLOOKUP(B509,'[1]Base de datos'!$B:$F,2,FALSE)</f>
        <v>#N/A</v>
      </c>
      <c r="E509" t="e">
        <f>VLOOKUP(B509,'[1]Base de datos'!$B:$E,3,FALSE)</f>
        <v>#N/A</v>
      </c>
      <c r="F509" t="e">
        <f>VLOOKUP(B509,'[1]Base de datos'!$B:$E,4,FALSE)</f>
        <v>#N/A</v>
      </c>
    </row>
    <row r="510" spans="2:6" x14ac:dyDescent="0.25">
      <c r="B510" s="28"/>
      <c r="C510" s="19"/>
      <c r="D510" s="5" t="e">
        <f>VLOOKUP(B510,'[1]Base de datos'!$B:$F,2,FALSE)</f>
        <v>#N/A</v>
      </c>
      <c r="E510" t="e">
        <f>VLOOKUP(B510,'[1]Base de datos'!$B:$E,3,FALSE)</f>
        <v>#N/A</v>
      </c>
      <c r="F510" t="e">
        <f>VLOOKUP(B510,'[1]Base de datos'!$B:$E,4,FALSE)</f>
        <v>#N/A</v>
      </c>
    </row>
    <row r="511" spans="2:6" x14ac:dyDescent="0.25">
      <c r="B511" s="28"/>
      <c r="C511" s="19"/>
      <c r="D511" s="5" t="e">
        <f>VLOOKUP(B511,'[1]Base de datos'!$B:$F,2,FALSE)</f>
        <v>#N/A</v>
      </c>
      <c r="E511" t="e">
        <f>VLOOKUP(B511,'[1]Base de datos'!$B:$E,3,FALSE)</f>
        <v>#N/A</v>
      </c>
      <c r="F511" t="e">
        <f>VLOOKUP(B511,'[1]Base de datos'!$B:$E,4,FALSE)</f>
        <v>#N/A</v>
      </c>
    </row>
    <row r="512" spans="2:6" x14ac:dyDescent="0.25">
      <c r="B512" s="28"/>
      <c r="C512" s="19"/>
      <c r="D512" s="5" t="e">
        <f>VLOOKUP(B512,'[1]Base de datos'!$B:$F,2,FALSE)</f>
        <v>#N/A</v>
      </c>
      <c r="E512" t="e">
        <f>VLOOKUP(B512,'[1]Base de datos'!$B:$E,3,FALSE)</f>
        <v>#N/A</v>
      </c>
      <c r="F512" t="e">
        <f>VLOOKUP(B512,'[1]Base de datos'!$B:$E,4,FALSE)</f>
        <v>#N/A</v>
      </c>
    </row>
    <row r="513" spans="2:6" x14ac:dyDescent="0.25">
      <c r="B513" s="28"/>
      <c r="C513" s="19"/>
      <c r="D513" s="5" t="e">
        <f>VLOOKUP(B513,'[1]Base de datos'!$B:$F,2,FALSE)</f>
        <v>#N/A</v>
      </c>
      <c r="E513" t="e">
        <f>VLOOKUP(B513,'[1]Base de datos'!$B:$E,3,FALSE)</f>
        <v>#N/A</v>
      </c>
      <c r="F513" t="e">
        <f>VLOOKUP(B513,'[1]Base de datos'!$B:$E,4,FALSE)</f>
        <v>#N/A</v>
      </c>
    </row>
    <row r="514" spans="2:6" x14ac:dyDescent="0.25">
      <c r="B514" s="28"/>
      <c r="C514" s="19"/>
      <c r="D514" s="5" t="e">
        <f>VLOOKUP(B514,'[1]Base de datos'!$B:$F,2,FALSE)</f>
        <v>#N/A</v>
      </c>
      <c r="E514" t="e">
        <f>VLOOKUP(B514,'[1]Base de datos'!$B:$E,3,FALSE)</f>
        <v>#N/A</v>
      </c>
      <c r="F514" t="e">
        <f>VLOOKUP(B514,'[1]Base de datos'!$B:$E,4,FALSE)</f>
        <v>#N/A</v>
      </c>
    </row>
    <row r="515" spans="2:6" x14ac:dyDescent="0.25">
      <c r="B515" s="28"/>
      <c r="C515" s="19"/>
      <c r="D515" s="5" t="e">
        <f>VLOOKUP(B515,'[1]Base de datos'!$B:$F,2,FALSE)</f>
        <v>#N/A</v>
      </c>
      <c r="E515" t="e">
        <f>VLOOKUP(B515,'[1]Base de datos'!$B:$E,3,FALSE)</f>
        <v>#N/A</v>
      </c>
      <c r="F515" t="e">
        <f>VLOOKUP(B515,'[1]Base de datos'!$B:$E,4,FALSE)</f>
        <v>#N/A</v>
      </c>
    </row>
    <row r="516" spans="2:6" x14ac:dyDescent="0.25">
      <c r="B516" s="28"/>
      <c r="C516" s="19"/>
      <c r="D516" s="5" t="e">
        <f>VLOOKUP(B516,'[1]Base de datos'!$B:$F,2,FALSE)</f>
        <v>#N/A</v>
      </c>
      <c r="E516" t="e">
        <f>VLOOKUP(B516,'[1]Base de datos'!$B:$E,3,FALSE)</f>
        <v>#N/A</v>
      </c>
      <c r="F516" t="e">
        <f>VLOOKUP(B516,'[1]Base de datos'!$B:$E,4,FALSE)</f>
        <v>#N/A</v>
      </c>
    </row>
    <row r="517" spans="2:6" x14ac:dyDescent="0.25">
      <c r="B517" s="28"/>
      <c r="C517" s="19"/>
      <c r="D517" s="5" t="e">
        <f>VLOOKUP(B517,'[1]Base de datos'!$B:$F,2,FALSE)</f>
        <v>#N/A</v>
      </c>
      <c r="E517" t="e">
        <f>VLOOKUP(B517,'[1]Base de datos'!$B:$E,3,FALSE)</f>
        <v>#N/A</v>
      </c>
      <c r="F517" t="e">
        <f>VLOOKUP(B517,'[1]Base de datos'!$B:$E,4,FALSE)</f>
        <v>#N/A</v>
      </c>
    </row>
    <row r="518" spans="2:6" x14ac:dyDescent="0.25">
      <c r="B518" s="28"/>
      <c r="C518" s="19"/>
      <c r="D518" s="5" t="e">
        <f>VLOOKUP(B518,'[1]Base de datos'!$B:$F,2,FALSE)</f>
        <v>#N/A</v>
      </c>
      <c r="E518" t="e">
        <f>VLOOKUP(B518,'[1]Base de datos'!$B:$E,3,FALSE)</f>
        <v>#N/A</v>
      </c>
      <c r="F518" t="e">
        <f>VLOOKUP(B518,'[1]Base de datos'!$B:$E,4,FALSE)</f>
        <v>#N/A</v>
      </c>
    </row>
    <row r="519" spans="2:6" x14ac:dyDescent="0.25">
      <c r="B519" s="28"/>
      <c r="C519" s="19"/>
      <c r="D519" s="5" t="e">
        <f>VLOOKUP(B519,'[1]Base de datos'!$B:$F,2,FALSE)</f>
        <v>#N/A</v>
      </c>
      <c r="E519" t="e">
        <f>VLOOKUP(B519,'[1]Base de datos'!$B:$E,3,FALSE)</f>
        <v>#N/A</v>
      </c>
      <c r="F519" t="e">
        <f>VLOOKUP(B519,'[1]Base de datos'!$B:$E,4,FALSE)</f>
        <v>#N/A</v>
      </c>
    </row>
    <row r="520" spans="2:6" x14ac:dyDescent="0.25">
      <c r="B520" s="28"/>
      <c r="C520" s="19"/>
      <c r="D520" s="5" t="e">
        <f>VLOOKUP(B520,'[1]Base de datos'!$B:$F,2,FALSE)</f>
        <v>#N/A</v>
      </c>
      <c r="E520" t="e">
        <f>VLOOKUP(B520,'[1]Base de datos'!$B:$E,3,FALSE)</f>
        <v>#N/A</v>
      </c>
      <c r="F520" t="e">
        <f>VLOOKUP(B520,'[1]Base de datos'!$B:$E,4,FALSE)</f>
        <v>#N/A</v>
      </c>
    </row>
    <row r="521" spans="2:6" x14ac:dyDescent="0.25">
      <c r="B521" s="28"/>
      <c r="C521" s="19"/>
      <c r="D521" s="5" t="e">
        <f>VLOOKUP(B521,'[1]Base de datos'!$B:$F,2,FALSE)</f>
        <v>#N/A</v>
      </c>
      <c r="E521" t="e">
        <f>VLOOKUP(B521,'[1]Base de datos'!$B:$E,3,FALSE)</f>
        <v>#N/A</v>
      </c>
      <c r="F521" t="e">
        <f>VLOOKUP(B521,'[1]Base de datos'!$B:$E,4,FALSE)</f>
        <v>#N/A</v>
      </c>
    </row>
    <row r="522" spans="2:6" x14ac:dyDescent="0.25">
      <c r="B522" s="28"/>
      <c r="C522" s="19"/>
      <c r="D522" s="5" t="e">
        <f>VLOOKUP(B522,'[1]Base de datos'!$B:$F,2,FALSE)</f>
        <v>#N/A</v>
      </c>
      <c r="E522" t="e">
        <f>VLOOKUP(B522,'[1]Base de datos'!$B:$E,3,FALSE)</f>
        <v>#N/A</v>
      </c>
      <c r="F522" t="e">
        <f>VLOOKUP(B522,'[1]Base de datos'!$B:$E,4,FALSE)</f>
        <v>#N/A</v>
      </c>
    </row>
    <row r="523" spans="2:6" x14ac:dyDescent="0.25">
      <c r="B523" s="28"/>
      <c r="C523" s="19"/>
      <c r="D523" s="5" t="e">
        <f>VLOOKUP(B523,'[1]Base de datos'!$B:$F,2,FALSE)</f>
        <v>#N/A</v>
      </c>
      <c r="E523" t="e">
        <f>VLOOKUP(B523,'[1]Base de datos'!$B:$E,3,FALSE)</f>
        <v>#N/A</v>
      </c>
      <c r="F523" t="e">
        <f>VLOOKUP(B523,'[1]Base de datos'!$B:$E,4,FALSE)</f>
        <v>#N/A</v>
      </c>
    </row>
    <row r="524" spans="2:6" x14ac:dyDescent="0.25">
      <c r="B524" s="28"/>
      <c r="C524" s="19"/>
      <c r="D524" s="5" t="e">
        <f>VLOOKUP(B524,'[1]Base de datos'!$B:$F,2,FALSE)</f>
        <v>#N/A</v>
      </c>
      <c r="E524" t="e">
        <f>VLOOKUP(B524,'[1]Base de datos'!$B:$E,3,FALSE)</f>
        <v>#N/A</v>
      </c>
      <c r="F524" t="e">
        <f>VLOOKUP(B524,'[1]Base de datos'!$B:$E,4,FALSE)</f>
        <v>#N/A</v>
      </c>
    </row>
    <row r="525" spans="2:6" x14ac:dyDescent="0.25">
      <c r="B525" s="28"/>
      <c r="C525" s="19"/>
      <c r="D525" s="5" t="e">
        <f>VLOOKUP(B525,'[1]Base de datos'!$B:$F,2,FALSE)</f>
        <v>#N/A</v>
      </c>
      <c r="E525" t="e">
        <f>VLOOKUP(B525,'[1]Base de datos'!$B:$E,3,FALSE)</f>
        <v>#N/A</v>
      </c>
      <c r="F525" t="e">
        <f>VLOOKUP(B525,'[1]Base de datos'!$B:$E,4,FALSE)</f>
        <v>#N/A</v>
      </c>
    </row>
    <row r="526" spans="2:6" x14ac:dyDescent="0.25">
      <c r="B526" s="28"/>
      <c r="C526" s="19"/>
      <c r="D526" s="5" t="e">
        <f>VLOOKUP(B526,'[1]Base de datos'!$B:$F,2,FALSE)</f>
        <v>#N/A</v>
      </c>
      <c r="E526" t="e">
        <f>VLOOKUP(B526,'[1]Base de datos'!$B:$E,3,FALSE)</f>
        <v>#N/A</v>
      </c>
      <c r="F526" t="e">
        <f>VLOOKUP(B526,'[1]Base de datos'!$B:$E,4,FALSE)</f>
        <v>#N/A</v>
      </c>
    </row>
    <row r="527" spans="2:6" x14ac:dyDescent="0.25">
      <c r="B527" s="28"/>
      <c r="C527" s="19"/>
      <c r="D527" s="5" t="e">
        <f>VLOOKUP(B527,'[1]Base de datos'!$B:$F,2,FALSE)</f>
        <v>#N/A</v>
      </c>
      <c r="E527" t="e">
        <f>VLOOKUP(B527,'[1]Base de datos'!$B:$E,3,FALSE)</f>
        <v>#N/A</v>
      </c>
      <c r="F527" t="e">
        <f>VLOOKUP(B527,'[1]Base de datos'!$B:$E,4,FALSE)</f>
        <v>#N/A</v>
      </c>
    </row>
    <row r="528" spans="2:6" x14ac:dyDescent="0.25">
      <c r="B528" s="28"/>
      <c r="C528" s="19"/>
      <c r="D528" s="5" t="e">
        <f>VLOOKUP(B528,'[1]Base de datos'!$B:$F,2,FALSE)</f>
        <v>#N/A</v>
      </c>
      <c r="E528" t="e">
        <f>VLOOKUP(B528,'[1]Base de datos'!$B:$E,3,FALSE)</f>
        <v>#N/A</v>
      </c>
      <c r="F528" t="e">
        <f>VLOOKUP(B528,'[1]Base de datos'!$B:$E,4,FALSE)</f>
        <v>#N/A</v>
      </c>
    </row>
    <row r="529" spans="2:6" x14ac:dyDescent="0.25">
      <c r="B529" s="28"/>
      <c r="C529" s="19"/>
      <c r="D529" s="5" t="e">
        <f>VLOOKUP(B529,'[1]Base de datos'!$B:$F,2,FALSE)</f>
        <v>#N/A</v>
      </c>
      <c r="E529" t="e">
        <f>VLOOKUP(B529,'[1]Base de datos'!$B:$E,3,FALSE)</f>
        <v>#N/A</v>
      </c>
      <c r="F529" t="e">
        <f>VLOOKUP(B529,'[1]Base de datos'!$B:$E,4,FALSE)</f>
        <v>#N/A</v>
      </c>
    </row>
    <row r="530" spans="2:6" x14ac:dyDescent="0.25">
      <c r="B530" s="28"/>
      <c r="C530" s="19"/>
      <c r="D530" s="5" t="e">
        <f>VLOOKUP(B530,'[1]Base de datos'!$B:$F,2,FALSE)</f>
        <v>#N/A</v>
      </c>
      <c r="E530" t="e">
        <f>VLOOKUP(B530,'[1]Base de datos'!$B:$E,3,FALSE)</f>
        <v>#N/A</v>
      </c>
      <c r="F530" t="e">
        <f>VLOOKUP(B530,'[1]Base de datos'!$B:$E,4,FALSE)</f>
        <v>#N/A</v>
      </c>
    </row>
    <row r="531" spans="2:6" x14ac:dyDescent="0.25">
      <c r="B531" s="28"/>
      <c r="C531" s="19"/>
      <c r="D531" s="5" t="e">
        <f>VLOOKUP(B531,'[1]Base de datos'!$B:$F,2,FALSE)</f>
        <v>#N/A</v>
      </c>
      <c r="E531" t="e">
        <f>VLOOKUP(B531,'[1]Base de datos'!$B:$E,3,FALSE)</f>
        <v>#N/A</v>
      </c>
      <c r="F531" t="e">
        <f>VLOOKUP(B531,'[1]Base de datos'!$B:$E,4,FALSE)</f>
        <v>#N/A</v>
      </c>
    </row>
    <row r="532" spans="2:6" x14ac:dyDescent="0.25">
      <c r="B532" s="28"/>
      <c r="C532" s="19"/>
      <c r="D532" s="5" t="e">
        <f>VLOOKUP(B532,'[1]Base de datos'!$B:$F,2,FALSE)</f>
        <v>#N/A</v>
      </c>
      <c r="E532" t="e">
        <f>VLOOKUP(B532,'[1]Base de datos'!$B:$E,3,FALSE)</f>
        <v>#N/A</v>
      </c>
      <c r="F532" t="e">
        <f>VLOOKUP(B532,'[1]Base de datos'!$B:$E,4,FALSE)</f>
        <v>#N/A</v>
      </c>
    </row>
    <row r="533" spans="2:6" x14ac:dyDescent="0.25">
      <c r="B533" s="28"/>
      <c r="C533" s="19"/>
      <c r="D533" s="5" t="e">
        <f>VLOOKUP(B533,'[1]Base de datos'!$B:$F,2,FALSE)</f>
        <v>#N/A</v>
      </c>
      <c r="E533" t="e">
        <f>VLOOKUP(B533,'[1]Base de datos'!$B:$E,3,FALSE)</f>
        <v>#N/A</v>
      </c>
      <c r="F533" t="e">
        <f>VLOOKUP(B533,'[1]Base de datos'!$B:$E,4,FALSE)</f>
        <v>#N/A</v>
      </c>
    </row>
    <row r="534" spans="2:6" x14ac:dyDescent="0.25">
      <c r="B534" s="28"/>
      <c r="C534" s="19"/>
      <c r="D534" s="5" t="e">
        <f>VLOOKUP(B534,'[1]Base de datos'!$B:$F,2,FALSE)</f>
        <v>#N/A</v>
      </c>
      <c r="E534" t="e">
        <f>VLOOKUP(B534,'[1]Base de datos'!$B:$E,3,FALSE)</f>
        <v>#N/A</v>
      </c>
      <c r="F534" t="e">
        <f>VLOOKUP(B534,'[1]Base de datos'!$B:$E,4,FALSE)</f>
        <v>#N/A</v>
      </c>
    </row>
    <row r="535" spans="2:6" x14ac:dyDescent="0.25">
      <c r="B535" s="28"/>
      <c r="C535" s="19"/>
      <c r="D535" s="5" t="e">
        <f>VLOOKUP(B535,'[1]Base de datos'!$B:$F,2,FALSE)</f>
        <v>#N/A</v>
      </c>
      <c r="E535" t="e">
        <f>VLOOKUP(B535,'[1]Base de datos'!$B:$E,3,FALSE)</f>
        <v>#N/A</v>
      </c>
      <c r="F535" t="e">
        <f>VLOOKUP(B535,'[1]Base de datos'!$B:$E,4,FALSE)</f>
        <v>#N/A</v>
      </c>
    </row>
    <row r="536" spans="2:6" x14ac:dyDescent="0.25">
      <c r="B536" s="28"/>
      <c r="C536" s="19"/>
      <c r="D536" s="5" t="e">
        <f>VLOOKUP(B536,'[1]Base de datos'!$B:$F,2,FALSE)</f>
        <v>#N/A</v>
      </c>
      <c r="E536" t="e">
        <f>VLOOKUP(B536,'[1]Base de datos'!$B:$E,3,FALSE)</f>
        <v>#N/A</v>
      </c>
      <c r="F536" t="e">
        <f>VLOOKUP(B536,'[1]Base de datos'!$B:$E,4,FALSE)</f>
        <v>#N/A</v>
      </c>
    </row>
    <row r="537" spans="2:6" x14ac:dyDescent="0.25">
      <c r="B537" s="28"/>
      <c r="C537" s="19"/>
      <c r="D537" s="5" t="e">
        <f>VLOOKUP(B537,'[1]Base de datos'!$B:$F,2,FALSE)</f>
        <v>#N/A</v>
      </c>
      <c r="E537" t="e">
        <f>VLOOKUP(B537,'[1]Base de datos'!$B:$E,3,FALSE)</f>
        <v>#N/A</v>
      </c>
      <c r="F537" t="e">
        <f>VLOOKUP(B537,'[1]Base de datos'!$B:$E,4,FALSE)</f>
        <v>#N/A</v>
      </c>
    </row>
    <row r="538" spans="2:6" x14ac:dyDescent="0.25">
      <c r="B538" s="28"/>
      <c r="C538" s="19"/>
      <c r="D538" s="5" t="e">
        <f>VLOOKUP(B538,'[1]Base de datos'!$B:$F,2,FALSE)</f>
        <v>#N/A</v>
      </c>
      <c r="E538" t="e">
        <f>VLOOKUP(B538,'[1]Base de datos'!$B:$E,3,FALSE)</f>
        <v>#N/A</v>
      </c>
      <c r="F538" t="e">
        <f>VLOOKUP(B538,'[1]Base de datos'!$B:$E,4,FALSE)</f>
        <v>#N/A</v>
      </c>
    </row>
    <row r="539" spans="2:6" x14ac:dyDescent="0.25">
      <c r="B539" s="28"/>
      <c r="C539" s="19"/>
      <c r="D539" s="5" t="e">
        <f>VLOOKUP(B539,'[1]Base de datos'!$B:$F,2,FALSE)</f>
        <v>#N/A</v>
      </c>
      <c r="E539" t="e">
        <f>VLOOKUP(B539,'[1]Base de datos'!$B:$E,3,FALSE)</f>
        <v>#N/A</v>
      </c>
      <c r="F539" t="e">
        <f>VLOOKUP(B539,'[1]Base de datos'!$B:$E,4,FALSE)</f>
        <v>#N/A</v>
      </c>
    </row>
    <row r="540" spans="2:6" x14ac:dyDescent="0.25">
      <c r="B540" s="28"/>
      <c r="C540" s="19"/>
      <c r="D540" s="5" t="e">
        <f>VLOOKUP(B540,'[1]Base de datos'!$B:$F,2,FALSE)</f>
        <v>#N/A</v>
      </c>
      <c r="E540" t="e">
        <f>VLOOKUP(B540,'[1]Base de datos'!$B:$E,3,FALSE)</f>
        <v>#N/A</v>
      </c>
      <c r="F540" t="e">
        <f>VLOOKUP(B540,'[1]Base de datos'!$B:$E,4,FALSE)</f>
        <v>#N/A</v>
      </c>
    </row>
    <row r="541" spans="2:6" x14ac:dyDescent="0.25">
      <c r="B541" s="28"/>
      <c r="C541" s="19"/>
      <c r="D541" s="5" t="e">
        <f>VLOOKUP(B541,'[1]Base de datos'!$B:$F,2,FALSE)</f>
        <v>#N/A</v>
      </c>
      <c r="E541" t="e">
        <f>VLOOKUP(B541,'[1]Base de datos'!$B:$E,3,FALSE)</f>
        <v>#N/A</v>
      </c>
      <c r="F541" t="e">
        <f>VLOOKUP(B541,'[1]Base de datos'!$B:$E,4,FALSE)</f>
        <v>#N/A</v>
      </c>
    </row>
    <row r="542" spans="2:6" x14ac:dyDescent="0.25">
      <c r="B542" s="28"/>
      <c r="C542" s="19"/>
      <c r="D542" s="5" t="e">
        <f>VLOOKUP(B542,'[1]Base de datos'!$B:$F,2,FALSE)</f>
        <v>#N/A</v>
      </c>
      <c r="E542" t="e">
        <f>VLOOKUP(B542,'[1]Base de datos'!$B:$E,3,FALSE)</f>
        <v>#N/A</v>
      </c>
      <c r="F542" t="e">
        <f>VLOOKUP(B542,'[1]Base de datos'!$B:$E,4,FALSE)</f>
        <v>#N/A</v>
      </c>
    </row>
    <row r="543" spans="2:6" x14ac:dyDescent="0.25">
      <c r="B543" s="28"/>
      <c r="C543" s="19"/>
      <c r="D543" s="5" t="e">
        <f>VLOOKUP(B543,'[1]Base de datos'!$B:$F,2,FALSE)</f>
        <v>#N/A</v>
      </c>
      <c r="E543" t="e">
        <f>VLOOKUP(B543,'[1]Base de datos'!$B:$E,3,FALSE)</f>
        <v>#N/A</v>
      </c>
      <c r="F543" t="e">
        <f>VLOOKUP(B543,'[1]Base de datos'!$B:$E,4,FALSE)</f>
        <v>#N/A</v>
      </c>
    </row>
    <row r="544" spans="2:6" x14ac:dyDescent="0.25">
      <c r="B544" s="28"/>
      <c r="C544" s="19"/>
      <c r="D544" s="5" t="e">
        <f>VLOOKUP(B544,'[1]Base de datos'!$B:$F,2,FALSE)</f>
        <v>#N/A</v>
      </c>
      <c r="E544" t="e">
        <f>VLOOKUP(B544,'[1]Base de datos'!$B:$E,3,FALSE)</f>
        <v>#N/A</v>
      </c>
      <c r="F544" t="e">
        <f>VLOOKUP(B544,'[1]Base de datos'!$B:$E,4,FALSE)</f>
        <v>#N/A</v>
      </c>
    </row>
    <row r="545" spans="2:6" x14ac:dyDescent="0.25">
      <c r="B545" s="28"/>
      <c r="C545" s="19"/>
      <c r="D545" s="5" t="e">
        <f>VLOOKUP(B545,'[1]Base de datos'!$B:$F,2,FALSE)</f>
        <v>#N/A</v>
      </c>
      <c r="E545" t="e">
        <f>VLOOKUP(B545,'[1]Base de datos'!$B:$E,3,FALSE)</f>
        <v>#N/A</v>
      </c>
      <c r="F545" t="e">
        <f>VLOOKUP(B545,'[1]Base de datos'!$B:$E,4,FALSE)</f>
        <v>#N/A</v>
      </c>
    </row>
    <row r="546" spans="2:6" x14ac:dyDescent="0.25">
      <c r="B546" s="28"/>
      <c r="C546" s="19"/>
      <c r="D546" s="5" t="e">
        <f>VLOOKUP(B546,'[1]Base de datos'!$B:$F,2,FALSE)</f>
        <v>#N/A</v>
      </c>
      <c r="E546" t="e">
        <f>VLOOKUP(B546,'[1]Base de datos'!$B:$E,3,FALSE)</f>
        <v>#N/A</v>
      </c>
      <c r="F546" t="e">
        <f>VLOOKUP(B546,'[1]Base de datos'!$B:$E,4,FALSE)</f>
        <v>#N/A</v>
      </c>
    </row>
    <row r="547" spans="2:6" x14ac:dyDescent="0.25">
      <c r="B547" s="28"/>
      <c r="C547" s="19"/>
      <c r="D547" s="5" t="e">
        <f>VLOOKUP(B547,'[1]Base de datos'!$B:$F,2,FALSE)</f>
        <v>#N/A</v>
      </c>
      <c r="E547" t="e">
        <f>VLOOKUP(B547,'[1]Base de datos'!$B:$E,3,FALSE)</f>
        <v>#N/A</v>
      </c>
      <c r="F547" t="e">
        <f>VLOOKUP(B547,'[1]Base de datos'!$B:$E,4,FALSE)</f>
        <v>#N/A</v>
      </c>
    </row>
    <row r="548" spans="2:6" x14ac:dyDescent="0.25">
      <c r="B548" s="28"/>
      <c r="C548" s="19"/>
      <c r="D548" s="5" t="e">
        <f>VLOOKUP(B548,'[1]Base de datos'!$B:$F,2,FALSE)</f>
        <v>#N/A</v>
      </c>
      <c r="E548" t="e">
        <f>VLOOKUP(B548,'[1]Base de datos'!$B:$E,3,FALSE)</f>
        <v>#N/A</v>
      </c>
      <c r="F548" t="e">
        <f>VLOOKUP(B548,'[1]Base de datos'!$B:$E,4,FALSE)</f>
        <v>#N/A</v>
      </c>
    </row>
    <row r="549" spans="2:6" x14ac:dyDescent="0.25">
      <c r="B549" s="28"/>
      <c r="C549" s="19"/>
      <c r="D549" s="5" t="e">
        <f>VLOOKUP(B549,'[1]Base de datos'!$B:$F,2,FALSE)</f>
        <v>#N/A</v>
      </c>
      <c r="E549" t="e">
        <f>VLOOKUP(B549,'[1]Base de datos'!$B:$E,3,FALSE)</f>
        <v>#N/A</v>
      </c>
      <c r="F549" t="e">
        <f>VLOOKUP(B549,'[1]Base de datos'!$B:$E,4,FALSE)</f>
        <v>#N/A</v>
      </c>
    </row>
    <row r="550" spans="2:6" x14ac:dyDescent="0.25">
      <c r="B550" s="28"/>
      <c r="C550" s="19"/>
      <c r="D550" s="5" t="e">
        <f>VLOOKUP(B550,'[1]Base de datos'!$B:$F,2,FALSE)</f>
        <v>#N/A</v>
      </c>
      <c r="E550" t="e">
        <f>VLOOKUP(B550,'[1]Base de datos'!$B:$E,3,FALSE)</f>
        <v>#N/A</v>
      </c>
      <c r="F550" t="e">
        <f>VLOOKUP(B550,'[1]Base de datos'!$B:$E,4,FALSE)</f>
        <v>#N/A</v>
      </c>
    </row>
    <row r="551" spans="2:6" x14ac:dyDescent="0.25">
      <c r="B551" s="28"/>
      <c r="C551" s="19"/>
      <c r="D551" s="5" t="e">
        <f>VLOOKUP(B551,'[1]Base de datos'!$B:$F,2,FALSE)</f>
        <v>#N/A</v>
      </c>
      <c r="E551" t="e">
        <f>VLOOKUP(B551,'[1]Base de datos'!$B:$E,3,FALSE)</f>
        <v>#N/A</v>
      </c>
      <c r="F551" t="e">
        <f>VLOOKUP(B551,'[1]Base de datos'!$B:$E,4,FALSE)</f>
        <v>#N/A</v>
      </c>
    </row>
    <row r="552" spans="2:6" x14ac:dyDescent="0.25">
      <c r="B552" s="28"/>
      <c r="C552" s="19"/>
      <c r="D552" s="5" t="e">
        <f>VLOOKUP(B552,'[1]Base de datos'!$B:$F,2,FALSE)</f>
        <v>#N/A</v>
      </c>
      <c r="E552" t="e">
        <f>VLOOKUP(B552,'[1]Base de datos'!$B:$E,3,FALSE)</f>
        <v>#N/A</v>
      </c>
      <c r="F552" t="e">
        <f>VLOOKUP(B552,'[1]Base de datos'!$B:$E,4,FALSE)</f>
        <v>#N/A</v>
      </c>
    </row>
    <row r="553" spans="2:6" x14ac:dyDescent="0.25">
      <c r="B553" s="28"/>
      <c r="C553" s="19"/>
      <c r="D553" s="5" t="e">
        <f>VLOOKUP(B553,'[1]Base de datos'!$B:$F,2,FALSE)</f>
        <v>#N/A</v>
      </c>
      <c r="E553" t="e">
        <f>VLOOKUP(B553,'[1]Base de datos'!$B:$E,3,FALSE)</f>
        <v>#N/A</v>
      </c>
      <c r="F553" t="e">
        <f>VLOOKUP(B553,'[1]Base de datos'!$B:$E,4,FALSE)</f>
        <v>#N/A</v>
      </c>
    </row>
    <row r="554" spans="2:6" x14ac:dyDescent="0.25">
      <c r="B554" s="28"/>
      <c r="C554" s="19"/>
      <c r="D554" s="5" t="e">
        <f>VLOOKUP(B554,'[1]Base de datos'!$B:$F,2,FALSE)</f>
        <v>#N/A</v>
      </c>
      <c r="E554" t="e">
        <f>VLOOKUP(B554,'[1]Base de datos'!$B:$E,3,FALSE)</f>
        <v>#N/A</v>
      </c>
      <c r="F554" t="e">
        <f>VLOOKUP(B554,'[1]Base de datos'!$B:$E,4,FALSE)</f>
        <v>#N/A</v>
      </c>
    </row>
    <row r="555" spans="2:6" x14ac:dyDescent="0.25">
      <c r="B555" s="28"/>
      <c r="C555" s="19"/>
      <c r="D555" s="5" t="e">
        <f>VLOOKUP(B555,'[1]Base de datos'!$B:$F,2,FALSE)</f>
        <v>#N/A</v>
      </c>
      <c r="E555" t="e">
        <f>VLOOKUP(B555,'[1]Base de datos'!$B:$E,3,FALSE)</f>
        <v>#N/A</v>
      </c>
      <c r="F555" t="e">
        <f>VLOOKUP(B555,'[1]Base de datos'!$B:$E,4,FALSE)</f>
        <v>#N/A</v>
      </c>
    </row>
    <row r="556" spans="2:6" x14ac:dyDescent="0.25">
      <c r="B556" s="28"/>
      <c r="C556" s="19"/>
      <c r="D556" s="5" t="e">
        <f>VLOOKUP(B556,'[1]Base de datos'!$B:$F,2,FALSE)</f>
        <v>#N/A</v>
      </c>
      <c r="E556" t="e">
        <f>VLOOKUP(B556,'[1]Base de datos'!$B:$E,3,FALSE)</f>
        <v>#N/A</v>
      </c>
      <c r="F556" t="e">
        <f>VLOOKUP(B556,'[1]Base de datos'!$B:$E,4,FALSE)</f>
        <v>#N/A</v>
      </c>
    </row>
    <row r="557" spans="2:6" x14ac:dyDescent="0.25">
      <c r="B557" s="28"/>
      <c r="C557" s="19"/>
      <c r="D557" s="5" t="e">
        <f>VLOOKUP(B557,'[1]Base de datos'!$B:$F,2,FALSE)</f>
        <v>#N/A</v>
      </c>
      <c r="E557" t="e">
        <f>VLOOKUP(B557,'[1]Base de datos'!$B:$E,3,FALSE)</f>
        <v>#N/A</v>
      </c>
      <c r="F557" t="e">
        <f>VLOOKUP(B557,'[1]Base de datos'!$B:$E,4,FALSE)</f>
        <v>#N/A</v>
      </c>
    </row>
    <row r="558" spans="2:6" x14ac:dyDescent="0.25">
      <c r="B558" s="28"/>
      <c r="C558" s="19"/>
      <c r="D558" s="5" t="e">
        <f>VLOOKUP(B558,'[1]Base de datos'!$B:$F,2,FALSE)</f>
        <v>#N/A</v>
      </c>
      <c r="E558" t="e">
        <f>VLOOKUP(B558,'[1]Base de datos'!$B:$E,3,FALSE)</f>
        <v>#N/A</v>
      </c>
      <c r="F558" t="e">
        <f>VLOOKUP(B558,'[1]Base de datos'!$B:$E,4,FALSE)</f>
        <v>#N/A</v>
      </c>
    </row>
    <row r="559" spans="2:6" x14ac:dyDescent="0.25">
      <c r="B559" s="28"/>
      <c r="C559" s="19"/>
      <c r="D559" s="5" t="e">
        <f>VLOOKUP(B559,'[1]Base de datos'!$B:$F,2,FALSE)</f>
        <v>#N/A</v>
      </c>
      <c r="E559" t="e">
        <f>VLOOKUP(B559,'[1]Base de datos'!$B:$E,3,FALSE)</f>
        <v>#N/A</v>
      </c>
      <c r="F559" t="e">
        <f>VLOOKUP(B559,'[1]Base de datos'!$B:$E,4,FALSE)</f>
        <v>#N/A</v>
      </c>
    </row>
    <row r="560" spans="2:6" x14ac:dyDescent="0.25">
      <c r="B560" s="28"/>
      <c r="C560" s="19"/>
      <c r="D560" s="5" t="e">
        <f>VLOOKUP(B560,'[1]Base de datos'!$B:$F,2,FALSE)</f>
        <v>#N/A</v>
      </c>
      <c r="E560" t="e">
        <f>VLOOKUP(B560,'[1]Base de datos'!$B:$E,3,FALSE)</f>
        <v>#N/A</v>
      </c>
      <c r="F560" t="e">
        <f>VLOOKUP(B560,'[1]Base de datos'!$B:$E,4,FALSE)</f>
        <v>#N/A</v>
      </c>
    </row>
    <row r="561" spans="2:6" x14ac:dyDescent="0.25">
      <c r="B561" s="28"/>
      <c r="C561" s="19"/>
      <c r="D561" s="5" t="e">
        <f>VLOOKUP(B561,'[1]Base de datos'!$B:$F,2,FALSE)</f>
        <v>#N/A</v>
      </c>
      <c r="E561" t="e">
        <f>VLOOKUP(B561,'[1]Base de datos'!$B:$E,3,FALSE)</f>
        <v>#N/A</v>
      </c>
      <c r="F561" t="e">
        <f>VLOOKUP(B561,'[1]Base de datos'!$B:$E,4,FALSE)</f>
        <v>#N/A</v>
      </c>
    </row>
    <row r="562" spans="2:6" x14ac:dyDescent="0.25">
      <c r="B562" s="28"/>
      <c r="C562" s="19"/>
      <c r="D562" s="5" t="e">
        <f>VLOOKUP(B562,'[1]Base de datos'!$B:$F,2,FALSE)</f>
        <v>#N/A</v>
      </c>
      <c r="E562" t="e">
        <f>VLOOKUP(B562,'[1]Base de datos'!$B:$E,3,FALSE)</f>
        <v>#N/A</v>
      </c>
      <c r="F562" t="e">
        <f>VLOOKUP(B562,'[1]Base de datos'!$B:$E,4,FALSE)</f>
        <v>#N/A</v>
      </c>
    </row>
    <row r="563" spans="2:6" x14ac:dyDescent="0.25">
      <c r="B563" s="28"/>
      <c r="C563" s="19"/>
      <c r="D563" s="5" t="e">
        <f>VLOOKUP(B563,'[1]Base de datos'!$B:$F,2,FALSE)</f>
        <v>#N/A</v>
      </c>
      <c r="E563" t="e">
        <f>VLOOKUP(B563,'[1]Base de datos'!$B:$E,3,FALSE)</f>
        <v>#N/A</v>
      </c>
      <c r="F563" t="e">
        <f>VLOOKUP(B563,'[1]Base de datos'!$B:$E,4,FALSE)</f>
        <v>#N/A</v>
      </c>
    </row>
    <row r="564" spans="2:6" x14ac:dyDescent="0.25">
      <c r="B564" s="28"/>
      <c r="C564" s="19"/>
      <c r="D564" s="5" t="e">
        <f>VLOOKUP(B564,'[1]Base de datos'!$B:$F,2,FALSE)</f>
        <v>#N/A</v>
      </c>
      <c r="E564" t="e">
        <f>VLOOKUP(B564,'[1]Base de datos'!$B:$E,3,FALSE)</f>
        <v>#N/A</v>
      </c>
      <c r="F564" t="e">
        <f>VLOOKUP(B564,'[1]Base de datos'!$B:$E,4,FALSE)</f>
        <v>#N/A</v>
      </c>
    </row>
    <row r="565" spans="2:6" x14ac:dyDescent="0.25">
      <c r="B565" s="28"/>
      <c r="C565" s="19"/>
      <c r="D565" s="5" t="e">
        <f>VLOOKUP(B565,'[1]Base de datos'!$B:$F,2,FALSE)</f>
        <v>#N/A</v>
      </c>
      <c r="E565" t="e">
        <f>VLOOKUP(B565,'[1]Base de datos'!$B:$E,3,FALSE)</f>
        <v>#N/A</v>
      </c>
      <c r="F565" t="e">
        <f>VLOOKUP(B565,'[1]Base de datos'!$B:$E,4,FALSE)</f>
        <v>#N/A</v>
      </c>
    </row>
    <row r="566" spans="2:6" x14ac:dyDescent="0.25">
      <c r="B566" s="28"/>
      <c r="C566" s="19"/>
      <c r="D566" s="5" t="e">
        <f>VLOOKUP(B566,'[1]Base de datos'!$B:$F,2,FALSE)</f>
        <v>#N/A</v>
      </c>
      <c r="E566" t="e">
        <f>VLOOKUP(B566,'[1]Base de datos'!$B:$E,3,FALSE)</f>
        <v>#N/A</v>
      </c>
      <c r="F566" t="e">
        <f>VLOOKUP(B566,'[1]Base de datos'!$B:$E,4,FALSE)</f>
        <v>#N/A</v>
      </c>
    </row>
    <row r="567" spans="2:6" x14ac:dyDescent="0.25">
      <c r="B567" s="28"/>
      <c r="C567" s="19"/>
      <c r="D567" s="5" t="e">
        <f>VLOOKUP(B567,'[1]Base de datos'!$B:$F,2,FALSE)</f>
        <v>#N/A</v>
      </c>
      <c r="E567" t="e">
        <f>VLOOKUP(B567,'[1]Base de datos'!$B:$E,3,FALSE)</f>
        <v>#N/A</v>
      </c>
      <c r="F567" t="e">
        <f>VLOOKUP(B567,'[1]Base de datos'!$B:$E,4,FALSE)</f>
        <v>#N/A</v>
      </c>
    </row>
    <row r="568" spans="2:6" x14ac:dyDescent="0.25">
      <c r="B568" s="28"/>
      <c r="C568" s="19"/>
      <c r="D568" s="5" t="e">
        <f>VLOOKUP(B568,'[1]Base de datos'!$B:$F,2,FALSE)</f>
        <v>#N/A</v>
      </c>
      <c r="E568" t="e">
        <f>VLOOKUP(B568,'[1]Base de datos'!$B:$E,3,FALSE)</f>
        <v>#N/A</v>
      </c>
      <c r="F568" t="e">
        <f>VLOOKUP(B568,'[1]Base de datos'!$B:$E,4,FALSE)</f>
        <v>#N/A</v>
      </c>
    </row>
    <row r="569" spans="2:6" x14ac:dyDescent="0.25">
      <c r="B569" s="28"/>
      <c r="C569" s="19"/>
      <c r="D569" s="5" t="e">
        <f>VLOOKUP(B569,'[1]Base de datos'!$B:$F,2,FALSE)</f>
        <v>#N/A</v>
      </c>
      <c r="E569" t="e">
        <f>VLOOKUP(B569,'[1]Base de datos'!$B:$E,3,FALSE)</f>
        <v>#N/A</v>
      </c>
      <c r="F569" t="e">
        <f>VLOOKUP(B569,'[1]Base de datos'!$B:$E,4,FALSE)</f>
        <v>#N/A</v>
      </c>
    </row>
    <row r="570" spans="2:6" x14ac:dyDescent="0.25">
      <c r="B570" s="28"/>
      <c r="C570" s="19"/>
      <c r="D570" s="5" t="e">
        <f>VLOOKUP(B570,'[1]Base de datos'!$B:$F,2,FALSE)</f>
        <v>#N/A</v>
      </c>
      <c r="E570" t="e">
        <f>VLOOKUP(B570,'[1]Base de datos'!$B:$E,3,FALSE)</f>
        <v>#N/A</v>
      </c>
      <c r="F570" t="e">
        <f>VLOOKUP(B570,'[1]Base de datos'!$B:$E,4,FALSE)</f>
        <v>#N/A</v>
      </c>
    </row>
    <row r="571" spans="2:6" x14ac:dyDescent="0.25">
      <c r="B571" s="28"/>
      <c r="C571" s="19"/>
      <c r="D571" s="5" t="e">
        <f>VLOOKUP(B571,'[1]Base de datos'!$B:$F,2,FALSE)</f>
        <v>#N/A</v>
      </c>
      <c r="E571" t="e">
        <f>VLOOKUP(B571,'[1]Base de datos'!$B:$E,3,FALSE)</f>
        <v>#N/A</v>
      </c>
      <c r="F571" t="e">
        <f>VLOOKUP(B571,'[1]Base de datos'!$B:$E,4,FALSE)</f>
        <v>#N/A</v>
      </c>
    </row>
    <row r="572" spans="2:6" x14ac:dyDescent="0.25">
      <c r="B572" s="28"/>
      <c r="C572" s="19"/>
      <c r="D572" s="5" t="e">
        <f>VLOOKUP(B572,'[1]Base de datos'!$B:$F,2,FALSE)</f>
        <v>#N/A</v>
      </c>
      <c r="E572" t="e">
        <f>VLOOKUP(B572,'[1]Base de datos'!$B:$E,3,FALSE)</f>
        <v>#N/A</v>
      </c>
      <c r="F572" t="e">
        <f>VLOOKUP(B572,'[1]Base de datos'!$B:$E,4,FALSE)</f>
        <v>#N/A</v>
      </c>
    </row>
    <row r="573" spans="2:6" x14ac:dyDescent="0.25">
      <c r="B573" s="28"/>
      <c r="C573" s="19"/>
      <c r="D573" s="5" t="e">
        <f>VLOOKUP(B573,'[1]Base de datos'!$B:$F,2,FALSE)</f>
        <v>#N/A</v>
      </c>
      <c r="E573" t="e">
        <f>VLOOKUP(B573,'[1]Base de datos'!$B:$E,3,FALSE)</f>
        <v>#N/A</v>
      </c>
      <c r="F573" t="e">
        <f>VLOOKUP(B573,'[1]Base de datos'!$B:$E,4,FALSE)</f>
        <v>#N/A</v>
      </c>
    </row>
    <row r="574" spans="2:6" x14ac:dyDescent="0.25">
      <c r="B574" s="28"/>
      <c r="C574" s="19"/>
      <c r="D574" s="5" t="e">
        <f>VLOOKUP(B574,'[1]Base de datos'!$B:$F,2,FALSE)</f>
        <v>#N/A</v>
      </c>
      <c r="E574" t="e">
        <f>VLOOKUP(B574,'[1]Base de datos'!$B:$E,3,FALSE)</f>
        <v>#N/A</v>
      </c>
      <c r="F574" t="e">
        <f>VLOOKUP(B574,'[1]Base de datos'!$B:$E,4,FALSE)</f>
        <v>#N/A</v>
      </c>
    </row>
    <row r="575" spans="2:6" x14ac:dyDescent="0.25">
      <c r="B575" s="28"/>
      <c r="C575" s="19"/>
      <c r="D575" s="5" t="e">
        <f>VLOOKUP(B575,'[1]Base de datos'!$B:$F,2,FALSE)</f>
        <v>#N/A</v>
      </c>
      <c r="E575" t="e">
        <f>VLOOKUP(B575,'[1]Base de datos'!$B:$E,3,FALSE)</f>
        <v>#N/A</v>
      </c>
      <c r="F575" t="e">
        <f>VLOOKUP(B575,'[1]Base de datos'!$B:$E,4,FALSE)</f>
        <v>#N/A</v>
      </c>
    </row>
    <row r="576" spans="2:6" x14ac:dyDescent="0.25">
      <c r="B576" s="28"/>
      <c r="C576" s="19"/>
      <c r="D576" s="5" t="e">
        <f>VLOOKUP(B576,'[1]Base de datos'!$B:$F,2,FALSE)</f>
        <v>#N/A</v>
      </c>
      <c r="E576" t="e">
        <f>VLOOKUP(B576,'[1]Base de datos'!$B:$E,3,FALSE)</f>
        <v>#N/A</v>
      </c>
      <c r="F576" t="e">
        <f>VLOOKUP(B576,'[1]Base de datos'!$B:$E,4,FALSE)</f>
        <v>#N/A</v>
      </c>
    </row>
    <row r="577" spans="2:6" x14ac:dyDescent="0.25">
      <c r="B577" s="28"/>
      <c r="C577" s="19"/>
      <c r="D577" s="5" t="e">
        <f>VLOOKUP(B577,'[1]Base de datos'!$B:$F,2,FALSE)</f>
        <v>#N/A</v>
      </c>
      <c r="E577" t="e">
        <f>VLOOKUP(B577,'[1]Base de datos'!$B:$E,3,FALSE)</f>
        <v>#N/A</v>
      </c>
      <c r="F577" t="e">
        <f>VLOOKUP(B577,'[1]Base de datos'!$B:$E,4,FALSE)</f>
        <v>#N/A</v>
      </c>
    </row>
    <row r="578" spans="2:6" x14ac:dyDescent="0.25">
      <c r="B578" s="28"/>
      <c r="C578" s="19"/>
      <c r="D578" s="5" t="e">
        <f>VLOOKUP(B578,'[1]Base de datos'!$B:$F,2,FALSE)</f>
        <v>#N/A</v>
      </c>
      <c r="E578" t="e">
        <f>VLOOKUP(B578,'[1]Base de datos'!$B:$E,3,FALSE)</f>
        <v>#N/A</v>
      </c>
      <c r="F578" t="e">
        <f>VLOOKUP(B578,'[1]Base de datos'!$B:$E,4,FALSE)</f>
        <v>#N/A</v>
      </c>
    </row>
    <row r="579" spans="2:6" x14ac:dyDescent="0.25">
      <c r="B579" s="28"/>
      <c r="C579" s="19"/>
      <c r="D579" s="5" t="e">
        <f>VLOOKUP(B579,'[1]Base de datos'!$B:$F,2,FALSE)</f>
        <v>#N/A</v>
      </c>
      <c r="E579" t="e">
        <f>VLOOKUP(B579,'[1]Base de datos'!$B:$E,3,FALSE)</f>
        <v>#N/A</v>
      </c>
      <c r="F579" t="e">
        <f>VLOOKUP(B579,'[1]Base de datos'!$B:$E,4,FALSE)</f>
        <v>#N/A</v>
      </c>
    </row>
    <row r="580" spans="2:6" x14ac:dyDescent="0.25">
      <c r="B580" s="28"/>
      <c r="C580" s="19"/>
      <c r="D580" s="5" t="e">
        <f>VLOOKUP(B580,'[1]Base de datos'!$B:$F,2,FALSE)</f>
        <v>#N/A</v>
      </c>
      <c r="E580" t="e">
        <f>VLOOKUP(B580,'[1]Base de datos'!$B:$E,3,FALSE)</f>
        <v>#N/A</v>
      </c>
      <c r="F580" t="e">
        <f>VLOOKUP(B580,'[1]Base de datos'!$B:$E,4,FALSE)</f>
        <v>#N/A</v>
      </c>
    </row>
    <row r="581" spans="2:6" x14ac:dyDescent="0.25">
      <c r="B581" s="28"/>
      <c r="C581" s="19"/>
      <c r="D581" s="5" t="e">
        <f>VLOOKUP(B581,'[1]Base de datos'!$B:$F,2,FALSE)</f>
        <v>#N/A</v>
      </c>
      <c r="E581" t="e">
        <f>VLOOKUP(B581,'[1]Base de datos'!$B:$E,3,FALSE)</f>
        <v>#N/A</v>
      </c>
      <c r="F581" t="e">
        <f>VLOOKUP(B581,'[1]Base de datos'!$B:$E,4,FALSE)</f>
        <v>#N/A</v>
      </c>
    </row>
    <row r="582" spans="2:6" x14ac:dyDescent="0.25">
      <c r="B582" s="28"/>
      <c r="C582" s="19"/>
      <c r="D582" s="5" t="e">
        <f>VLOOKUP(B582,'[1]Base de datos'!$B:$F,2,FALSE)</f>
        <v>#N/A</v>
      </c>
      <c r="E582" t="e">
        <f>VLOOKUP(B582,'[1]Base de datos'!$B:$E,3,FALSE)</f>
        <v>#N/A</v>
      </c>
      <c r="F582" t="e">
        <f>VLOOKUP(B582,'[1]Base de datos'!$B:$E,4,FALSE)</f>
        <v>#N/A</v>
      </c>
    </row>
    <row r="583" spans="2:6" x14ac:dyDescent="0.25">
      <c r="B583" s="28"/>
      <c r="C583" s="19"/>
      <c r="D583" s="5" t="e">
        <f>VLOOKUP(B583,'[1]Base de datos'!$B:$F,2,FALSE)</f>
        <v>#N/A</v>
      </c>
      <c r="E583" t="e">
        <f>VLOOKUP(B583,'[1]Base de datos'!$B:$E,3,FALSE)</f>
        <v>#N/A</v>
      </c>
      <c r="F583" t="e">
        <f>VLOOKUP(B583,'[1]Base de datos'!$B:$E,4,FALSE)</f>
        <v>#N/A</v>
      </c>
    </row>
    <row r="584" spans="2:6" x14ac:dyDescent="0.25">
      <c r="B584" s="28"/>
      <c r="C584" s="19"/>
      <c r="D584" s="5" t="e">
        <f>VLOOKUP(B584,'[1]Base de datos'!$B:$F,2,FALSE)</f>
        <v>#N/A</v>
      </c>
      <c r="E584" t="e">
        <f>VLOOKUP(B584,'[1]Base de datos'!$B:$E,3,FALSE)</f>
        <v>#N/A</v>
      </c>
      <c r="F584" t="e">
        <f>VLOOKUP(B584,'[1]Base de datos'!$B:$E,4,FALSE)</f>
        <v>#N/A</v>
      </c>
    </row>
    <row r="585" spans="2:6" x14ac:dyDescent="0.25">
      <c r="B585" s="28"/>
      <c r="C585" s="19"/>
      <c r="D585" s="5" t="e">
        <f>VLOOKUP(B585,'[1]Base de datos'!$B:$F,2,FALSE)</f>
        <v>#N/A</v>
      </c>
      <c r="E585" t="e">
        <f>VLOOKUP(B585,'[1]Base de datos'!$B:$E,3,FALSE)</f>
        <v>#N/A</v>
      </c>
      <c r="F585" t="e">
        <f>VLOOKUP(B585,'[1]Base de datos'!$B:$E,4,FALSE)</f>
        <v>#N/A</v>
      </c>
    </row>
    <row r="586" spans="2:6" x14ac:dyDescent="0.25">
      <c r="B586" s="28"/>
      <c r="C586" s="19"/>
      <c r="D586" s="5" t="e">
        <f>VLOOKUP(B586,'[1]Base de datos'!$B:$F,2,FALSE)</f>
        <v>#N/A</v>
      </c>
      <c r="E586" t="e">
        <f>VLOOKUP(B586,'[1]Base de datos'!$B:$E,3,FALSE)</f>
        <v>#N/A</v>
      </c>
      <c r="F586" t="e">
        <f>VLOOKUP(B586,'[1]Base de datos'!$B:$E,4,FALSE)</f>
        <v>#N/A</v>
      </c>
    </row>
    <row r="587" spans="2:6" x14ac:dyDescent="0.25">
      <c r="B587" s="28"/>
      <c r="C587" s="19"/>
      <c r="D587" s="5" t="e">
        <f>VLOOKUP(B587,'[1]Base de datos'!$B:$F,2,FALSE)</f>
        <v>#N/A</v>
      </c>
      <c r="E587" t="e">
        <f>VLOOKUP(B587,'[1]Base de datos'!$B:$E,3,FALSE)</f>
        <v>#N/A</v>
      </c>
      <c r="F587" t="e">
        <f>VLOOKUP(B587,'[1]Base de datos'!$B:$E,4,FALSE)</f>
        <v>#N/A</v>
      </c>
    </row>
    <row r="588" spans="2:6" x14ac:dyDescent="0.25">
      <c r="B588" s="28"/>
      <c r="C588" s="19"/>
      <c r="D588" s="5" t="e">
        <f>VLOOKUP(B588,'[1]Base de datos'!$B:$F,2,FALSE)</f>
        <v>#N/A</v>
      </c>
      <c r="E588" t="e">
        <f>VLOOKUP(B588,'[1]Base de datos'!$B:$E,3,FALSE)</f>
        <v>#N/A</v>
      </c>
      <c r="F588" t="e">
        <f>VLOOKUP(B588,'[1]Base de datos'!$B:$E,4,FALSE)</f>
        <v>#N/A</v>
      </c>
    </row>
    <row r="589" spans="2:6" x14ac:dyDescent="0.25">
      <c r="B589" s="28"/>
      <c r="C589" s="19"/>
      <c r="D589" s="5" t="e">
        <f>VLOOKUP(B589,'[1]Base de datos'!$B:$F,2,FALSE)</f>
        <v>#N/A</v>
      </c>
      <c r="E589" t="e">
        <f>VLOOKUP(B589,'[1]Base de datos'!$B:$E,3,FALSE)</f>
        <v>#N/A</v>
      </c>
      <c r="F589" t="e">
        <f>VLOOKUP(B589,'[1]Base de datos'!$B:$E,4,FALSE)</f>
        <v>#N/A</v>
      </c>
    </row>
    <row r="590" spans="2:6" x14ac:dyDescent="0.25">
      <c r="B590" s="28"/>
      <c r="C590" s="19"/>
      <c r="D590" s="5" t="e">
        <f>VLOOKUP(B590,'[1]Base de datos'!$B:$F,2,FALSE)</f>
        <v>#N/A</v>
      </c>
      <c r="E590" t="e">
        <f>VLOOKUP(B590,'[1]Base de datos'!$B:$E,3,FALSE)</f>
        <v>#N/A</v>
      </c>
      <c r="F590" t="e">
        <f>VLOOKUP(B590,'[1]Base de datos'!$B:$E,4,FALSE)</f>
        <v>#N/A</v>
      </c>
    </row>
    <row r="591" spans="2:6" x14ac:dyDescent="0.25">
      <c r="B591" s="28"/>
      <c r="C591" s="19"/>
      <c r="D591" s="5" t="e">
        <f>VLOOKUP(B591,'[1]Base de datos'!$B:$F,2,FALSE)</f>
        <v>#N/A</v>
      </c>
      <c r="E591" t="e">
        <f>VLOOKUP(B591,'[1]Base de datos'!$B:$E,3,FALSE)</f>
        <v>#N/A</v>
      </c>
      <c r="F591" t="e">
        <f>VLOOKUP(B591,'[1]Base de datos'!$B:$E,4,FALSE)</f>
        <v>#N/A</v>
      </c>
    </row>
    <row r="592" spans="2:6" x14ac:dyDescent="0.25">
      <c r="B592" s="28"/>
      <c r="C592" s="19"/>
      <c r="D592" s="5" t="e">
        <f>VLOOKUP(B592,'[1]Base de datos'!$B:$F,2,FALSE)</f>
        <v>#N/A</v>
      </c>
      <c r="E592" t="e">
        <f>VLOOKUP(B592,'[1]Base de datos'!$B:$E,3,FALSE)</f>
        <v>#N/A</v>
      </c>
      <c r="F592" t="e">
        <f>VLOOKUP(B592,'[1]Base de datos'!$B:$E,4,FALSE)</f>
        <v>#N/A</v>
      </c>
    </row>
    <row r="593" spans="2:6" x14ac:dyDescent="0.25">
      <c r="B593" s="28"/>
      <c r="C593" s="19"/>
      <c r="D593" s="5" t="e">
        <f>VLOOKUP(B593,'[1]Base de datos'!$B:$F,2,FALSE)</f>
        <v>#N/A</v>
      </c>
      <c r="E593" t="e">
        <f>VLOOKUP(B593,'[1]Base de datos'!$B:$E,3,FALSE)</f>
        <v>#N/A</v>
      </c>
      <c r="F593" t="e">
        <f>VLOOKUP(B593,'[1]Base de datos'!$B:$E,4,FALSE)</f>
        <v>#N/A</v>
      </c>
    </row>
    <row r="594" spans="2:6" x14ac:dyDescent="0.25">
      <c r="B594" s="28"/>
      <c r="C594" s="19"/>
      <c r="D594" s="5" t="e">
        <f>VLOOKUP(B594,'[1]Base de datos'!$B:$F,2,FALSE)</f>
        <v>#N/A</v>
      </c>
      <c r="E594" t="e">
        <f>VLOOKUP(B594,'[1]Base de datos'!$B:$E,3,FALSE)</f>
        <v>#N/A</v>
      </c>
      <c r="F594" t="e">
        <f>VLOOKUP(B594,'[1]Base de datos'!$B:$E,4,FALSE)</f>
        <v>#N/A</v>
      </c>
    </row>
    <row r="595" spans="2:6" x14ac:dyDescent="0.25">
      <c r="B595" s="28"/>
      <c r="C595" s="19"/>
      <c r="D595" s="5" t="e">
        <f>VLOOKUP(B595,'[1]Base de datos'!$B:$F,2,FALSE)</f>
        <v>#N/A</v>
      </c>
      <c r="E595" t="e">
        <f>VLOOKUP(B595,'[1]Base de datos'!$B:$E,3,FALSE)</f>
        <v>#N/A</v>
      </c>
      <c r="F595" t="e">
        <f>VLOOKUP(B595,'[1]Base de datos'!$B:$E,4,FALSE)</f>
        <v>#N/A</v>
      </c>
    </row>
    <row r="596" spans="2:6" x14ac:dyDescent="0.25">
      <c r="B596" s="28"/>
      <c r="C596" s="19"/>
      <c r="D596" s="5" t="e">
        <f>VLOOKUP(B596,'[1]Base de datos'!$B:$F,2,FALSE)</f>
        <v>#N/A</v>
      </c>
      <c r="E596" t="e">
        <f>VLOOKUP(B596,'[1]Base de datos'!$B:$E,3,FALSE)</f>
        <v>#N/A</v>
      </c>
      <c r="F596" t="e">
        <f>VLOOKUP(B596,'[1]Base de datos'!$B:$E,4,FALSE)</f>
        <v>#N/A</v>
      </c>
    </row>
    <row r="597" spans="2:6" x14ac:dyDescent="0.25">
      <c r="B597" s="28"/>
      <c r="C597" s="19"/>
      <c r="D597" s="5" t="e">
        <f>VLOOKUP(B597,'[1]Base de datos'!$B:$F,2,FALSE)</f>
        <v>#N/A</v>
      </c>
      <c r="E597" t="e">
        <f>VLOOKUP(B597,'[1]Base de datos'!$B:$E,3,FALSE)</f>
        <v>#N/A</v>
      </c>
      <c r="F597" t="e">
        <f>VLOOKUP(B597,'[1]Base de datos'!$B:$E,4,FALSE)</f>
        <v>#N/A</v>
      </c>
    </row>
    <row r="598" spans="2:6" x14ac:dyDescent="0.25">
      <c r="B598" s="28"/>
      <c r="C598" s="19"/>
      <c r="D598" s="5" t="e">
        <f>VLOOKUP(B598,'[1]Base de datos'!$B:$F,2,FALSE)</f>
        <v>#N/A</v>
      </c>
      <c r="E598" t="e">
        <f>VLOOKUP(B598,'[1]Base de datos'!$B:$E,3,FALSE)</f>
        <v>#N/A</v>
      </c>
      <c r="F598" t="e">
        <f>VLOOKUP(B598,'[1]Base de datos'!$B:$E,4,FALSE)</f>
        <v>#N/A</v>
      </c>
    </row>
    <row r="599" spans="2:6" x14ac:dyDescent="0.25">
      <c r="B599" s="28"/>
      <c r="C599" s="19"/>
      <c r="D599" s="5" t="e">
        <f>VLOOKUP(B599,'[1]Base de datos'!$B:$F,2,FALSE)</f>
        <v>#N/A</v>
      </c>
      <c r="E599" t="e">
        <f>VLOOKUP(B599,'[1]Base de datos'!$B:$E,3,FALSE)</f>
        <v>#N/A</v>
      </c>
      <c r="F599" t="e">
        <f>VLOOKUP(B599,'[1]Base de datos'!$B:$E,4,FALSE)</f>
        <v>#N/A</v>
      </c>
    </row>
    <row r="600" spans="2:6" x14ac:dyDescent="0.25">
      <c r="B600" s="28"/>
      <c r="C600" s="19"/>
      <c r="D600" s="5" t="e">
        <f>VLOOKUP(B600,'[1]Base de datos'!$B:$F,2,FALSE)</f>
        <v>#N/A</v>
      </c>
      <c r="E600" t="e">
        <f>VLOOKUP(B600,'[1]Base de datos'!$B:$E,3,FALSE)</f>
        <v>#N/A</v>
      </c>
      <c r="F600" t="e">
        <f>VLOOKUP(B600,'[1]Base de datos'!$B:$E,4,FALSE)</f>
        <v>#N/A</v>
      </c>
    </row>
    <row r="601" spans="2:6" x14ac:dyDescent="0.25">
      <c r="B601" s="28"/>
      <c r="C601" s="19"/>
      <c r="D601" s="5" t="e">
        <f>VLOOKUP(B601,'[1]Base de datos'!$B:$F,2,FALSE)</f>
        <v>#N/A</v>
      </c>
      <c r="E601" t="e">
        <f>VLOOKUP(B601,'[1]Base de datos'!$B:$E,3,FALSE)</f>
        <v>#N/A</v>
      </c>
      <c r="F601" t="e">
        <f>VLOOKUP(B601,'[1]Base de datos'!$B:$E,4,FALSE)</f>
        <v>#N/A</v>
      </c>
    </row>
    <row r="602" spans="2:6" x14ac:dyDescent="0.25">
      <c r="B602" s="28"/>
      <c r="C602" s="19"/>
      <c r="D602" s="5" t="e">
        <f>VLOOKUP(B602,'[1]Base de datos'!$B:$F,2,FALSE)</f>
        <v>#N/A</v>
      </c>
      <c r="E602" t="e">
        <f>VLOOKUP(B602,'[1]Base de datos'!$B:$E,3,FALSE)</f>
        <v>#N/A</v>
      </c>
      <c r="F602" t="e">
        <f>VLOOKUP(B602,'[1]Base de datos'!$B:$E,4,FALSE)</f>
        <v>#N/A</v>
      </c>
    </row>
    <row r="603" spans="2:6" x14ac:dyDescent="0.25">
      <c r="B603" s="28"/>
      <c r="C603" s="19"/>
      <c r="D603" s="5" t="e">
        <f>VLOOKUP(B603,'[1]Base de datos'!$B:$F,2,FALSE)</f>
        <v>#N/A</v>
      </c>
      <c r="E603" t="e">
        <f>VLOOKUP(B603,'[1]Base de datos'!$B:$E,3,FALSE)</f>
        <v>#N/A</v>
      </c>
      <c r="F603" t="e">
        <f>VLOOKUP(B603,'[1]Base de datos'!$B:$E,4,FALSE)</f>
        <v>#N/A</v>
      </c>
    </row>
    <row r="604" spans="2:6" x14ac:dyDescent="0.25">
      <c r="B604" s="28"/>
      <c r="C604" s="19"/>
      <c r="D604" s="5" t="e">
        <f>VLOOKUP(B604,'[1]Base de datos'!$B:$F,2,FALSE)</f>
        <v>#N/A</v>
      </c>
      <c r="E604" t="e">
        <f>VLOOKUP(B604,'[1]Base de datos'!$B:$E,3,FALSE)</f>
        <v>#N/A</v>
      </c>
      <c r="F604" t="e">
        <f>VLOOKUP(B604,'[1]Base de datos'!$B:$E,4,FALSE)</f>
        <v>#N/A</v>
      </c>
    </row>
    <row r="605" spans="2:6" x14ac:dyDescent="0.25">
      <c r="B605" s="28"/>
      <c r="C605" s="19"/>
      <c r="D605" s="5" t="e">
        <f>VLOOKUP(B605,'[1]Base de datos'!$B:$F,2,FALSE)</f>
        <v>#N/A</v>
      </c>
      <c r="E605" t="e">
        <f>VLOOKUP(B605,'[1]Base de datos'!$B:$E,3,FALSE)</f>
        <v>#N/A</v>
      </c>
      <c r="F605" t="e">
        <f>VLOOKUP(B605,'[1]Base de datos'!$B:$E,4,FALSE)</f>
        <v>#N/A</v>
      </c>
    </row>
    <row r="606" spans="2:6" x14ac:dyDescent="0.25">
      <c r="B606" s="28"/>
      <c r="C606" s="19"/>
      <c r="D606" s="5" t="e">
        <f>VLOOKUP(B606,'[1]Base de datos'!$B:$F,2,FALSE)</f>
        <v>#N/A</v>
      </c>
      <c r="E606" t="e">
        <f>VLOOKUP(B606,'[1]Base de datos'!$B:$E,3,FALSE)</f>
        <v>#N/A</v>
      </c>
      <c r="F606" t="e">
        <f>VLOOKUP(B606,'[1]Base de datos'!$B:$E,4,FALSE)</f>
        <v>#N/A</v>
      </c>
    </row>
    <row r="607" spans="2:6" x14ac:dyDescent="0.25">
      <c r="B607" s="28"/>
      <c r="C607" s="19"/>
      <c r="D607" s="5" t="e">
        <f>VLOOKUP(B607,'[1]Base de datos'!$B:$F,2,FALSE)</f>
        <v>#N/A</v>
      </c>
      <c r="E607" t="e">
        <f>VLOOKUP(B607,'[1]Base de datos'!$B:$E,3,FALSE)</f>
        <v>#N/A</v>
      </c>
      <c r="F607" t="e">
        <f>VLOOKUP(B607,'[1]Base de datos'!$B:$E,4,FALSE)</f>
        <v>#N/A</v>
      </c>
    </row>
    <row r="608" spans="2:6" x14ac:dyDescent="0.25">
      <c r="B608" s="28"/>
      <c r="C608" s="19"/>
      <c r="D608" s="5" t="e">
        <f>VLOOKUP(B608,'[1]Base de datos'!$B:$F,2,FALSE)</f>
        <v>#N/A</v>
      </c>
      <c r="E608" t="e">
        <f>VLOOKUP(B608,'[1]Base de datos'!$B:$E,3,FALSE)</f>
        <v>#N/A</v>
      </c>
      <c r="F608" t="e">
        <f>VLOOKUP(B608,'[1]Base de datos'!$B:$E,4,FALSE)</f>
        <v>#N/A</v>
      </c>
    </row>
    <row r="609" spans="2:6" x14ac:dyDescent="0.25">
      <c r="B609" s="28"/>
      <c r="C609" s="19"/>
      <c r="D609" s="5" t="e">
        <f>VLOOKUP(B609,'[1]Base de datos'!$B:$F,2,FALSE)</f>
        <v>#N/A</v>
      </c>
      <c r="E609" t="e">
        <f>VLOOKUP(B609,'[1]Base de datos'!$B:$E,3,FALSE)</f>
        <v>#N/A</v>
      </c>
      <c r="F609" t="e">
        <f>VLOOKUP(B609,'[1]Base de datos'!$B:$E,4,FALSE)</f>
        <v>#N/A</v>
      </c>
    </row>
    <row r="610" spans="2:6" x14ac:dyDescent="0.25">
      <c r="B610" s="28"/>
      <c r="C610" s="19"/>
      <c r="D610" s="5" t="e">
        <f>VLOOKUP(B610,'[1]Base de datos'!$B:$F,2,FALSE)</f>
        <v>#N/A</v>
      </c>
      <c r="E610" t="e">
        <f>VLOOKUP(B610,'[1]Base de datos'!$B:$E,3,FALSE)</f>
        <v>#N/A</v>
      </c>
      <c r="F610" t="e">
        <f>VLOOKUP(B610,'[1]Base de datos'!$B:$E,4,FALSE)</f>
        <v>#N/A</v>
      </c>
    </row>
    <row r="611" spans="2:6" x14ac:dyDescent="0.25">
      <c r="B611" s="28"/>
      <c r="C611" s="19"/>
      <c r="D611" s="5" t="e">
        <f>VLOOKUP(B611,'[1]Base de datos'!$B:$F,2,FALSE)</f>
        <v>#N/A</v>
      </c>
      <c r="E611" t="e">
        <f>VLOOKUP(B611,'[1]Base de datos'!$B:$E,3,FALSE)</f>
        <v>#N/A</v>
      </c>
      <c r="F611" t="e">
        <f>VLOOKUP(B611,'[1]Base de datos'!$B:$E,4,FALSE)</f>
        <v>#N/A</v>
      </c>
    </row>
    <row r="612" spans="2:6" x14ac:dyDescent="0.25">
      <c r="B612" s="28"/>
      <c r="C612" s="19"/>
      <c r="D612" s="5" t="e">
        <f>VLOOKUP(B612,'[1]Base de datos'!$B:$F,2,FALSE)</f>
        <v>#N/A</v>
      </c>
      <c r="E612" t="e">
        <f>VLOOKUP(B612,'[1]Base de datos'!$B:$E,3,FALSE)</f>
        <v>#N/A</v>
      </c>
      <c r="F612" t="e">
        <f>VLOOKUP(B612,'[1]Base de datos'!$B:$E,4,FALSE)</f>
        <v>#N/A</v>
      </c>
    </row>
    <row r="613" spans="2:6" x14ac:dyDescent="0.25">
      <c r="B613" s="28"/>
      <c r="C613" s="19"/>
      <c r="D613" s="5" t="e">
        <f>VLOOKUP(B613,'[1]Base de datos'!$B:$F,2,FALSE)</f>
        <v>#N/A</v>
      </c>
      <c r="E613" t="e">
        <f>VLOOKUP(B613,'[1]Base de datos'!$B:$E,3,FALSE)</f>
        <v>#N/A</v>
      </c>
      <c r="F613" t="e">
        <f>VLOOKUP(B613,'[1]Base de datos'!$B:$E,4,FALSE)</f>
        <v>#N/A</v>
      </c>
    </row>
    <row r="614" spans="2:6" x14ac:dyDescent="0.25">
      <c r="B614" s="28"/>
      <c r="C614" s="19"/>
      <c r="D614" s="5" t="e">
        <f>VLOOKUP(B614,'[1]Base de datos'!$B:$F,2,FALSE)</f>
        <v>#N/A</v>
      </c>
      <c r="E614" t="e">
        <f>VLOOKUP(B614,'[1]Base de datos'!$B:$E,3,FALSE)</f>
        <v>#N/A</v>
      </c>
      <c r="F614" t="e">
        <f>VLOOKUP(B614,'[1]Base de datos'!$B:$E,4,FALSE)</f>
        <v>#N/A</v>
      </c>
    </row>
    <row r="615" spans="2:6" x14ac:dyDescent="0.25">
      <c r="B615" s="28"/>
      <c r="C615" s="19"/>
      <c r="D615" s="5" t="e">
        <f>VLOOKUP(B615,'[1]Base de datos'!$B:$F,2,FALSE)</f>
        <v>#N/A</v>
      </c>
      <c r="E615" t="e">
        <f>VLOOKUP(B615,'[1]Base de datos'!$B:$E,3,FALSE)</f>
        <v>#N/A</v>
      </c>
      <c r="F615" t="e">
        <f>VLOOKUP(B615,'[1]Base de datos'!$B:$E,4,FALSE)</f>
        <v>#N/A</v>
      </c>
    </row>
    <row r="616" spans="2:6" x14ac:dyDescent="0.25">
      <c r="B616" s="28"/>
      <c r="C616" s="19"/>
      <c r="D616" s="5" t="e">
        <f>VLOOKUP(B616,'[1]Base de datos'!$B:$F,2,FALSE)</f>
        <v>#N/A</v>
      </c>
      <c r="E616" t="e">
        <f>VLOOKUP(B616,'[1]Base de datos'!$B:$E,3,FALSE)</f>
        <v>#N/A</v>
      </c>
      <c r="F616" t="e">
        <f>VLOOKUP(B616,'[1]Base de datos'!$B:$E,4,FALSE)</f>
        <v>#N/A</v>
      </c>
    </row>
    <row r="617" spans="2:6" x14ac:dyDescent="0.25">
      <c r="B617" s="28"/>
      <c r="C617" s="19"/>
      <c r="D617" s="5" t="e">
        <f>VLOOKUP(B617,'[1]Base de datos'!$B:$F,2,FALSE)</f>
        <v>#N/A</v>
      </c>
      <c r="E617" t="e">
        <f>VLOOKUP(B617,'[1]Base de datos'!$B:$E,3,FALSE)</f>
        <v>#N/A</v>
      </c>
      <c r="F617" t="e">
        <f>VLOOKUP(B617,'[1]Base de datos'!$B:$E,4,FALSE)</f>
        <v>#N/A</v>
      </c>
    </row>
    <row r="618" spans="2:6" x14ac:dyDescent="0.25">
      <c r="B618" s="28"/>
      <c r="C618" s="19"/>
      <c r="D618" s="5" t="e">
        <f>VLOOKUP(B618,'[1]Base de datos'!$B:$F,2,FALSE)</f>
        <v>#N/A</v>
      </c>
      <c r="E618" t="e">
        <f>VLOOKUP(B618,'[1]Base de datos'!$B:$E,3,FALSE)</f>
        <v>#N/A</v>
      </c>
      <c r="F618" t="e">
        <f>VLOOKUP(B618,'[1]Base de datos'!$B:$E,4,FALSE)</f>
        <v>#N/A</v>
      </c>
    </row>
    <row r="619" spans="2:6" x14ac:dyDescent="0.25">
      <c r="B619" s="28"/>
      <c r="C619" s="19"/>
      <c r="D619" s="5" t="e">
        <f>VLOOKUP(B619,'[1]Base de datos'!$B:$F,2,FALSE)</f>
        <v>#N/A</v>
      </c>
      <c r="E619" t="e">
        <f>VLOOKUP(B619,'[1]Base de datos'!$B:$E,3,FALSE)</f>
        <v>#N/A</v>
      </c>
      <c r="F619" t="e">
        <f>VLOOKUP(B619,'[1]Base de datos'!$B:$E,4,FALSE)</f>
        <v>#N/A</v>
      </c>
    </row>
    <row r="620" spans="2:6" x14ac:dyDescent="0.25">
      <c r="B620" s="28"/>
      <c r="C620" s="19"/>
      <c r="D620" s="5" t="e">
        <f>VLOOKUP(B620,'[1]Base de datos'!$B:$F,2,FALSE)</f>
        <v>#N/A</v>
      </c>
      <c r="E620" t="e">
        <f>VLOOKUP(B620,'[1]Base de datos'!$B:$E,3,FALSE)</f>
        <v>#N/A</v>
      </c>
      <c r="F620" t="e">
        <f>VLOOKUP(B620,'[1]Base de datos'!$B:$E,4,FALSE)</f>
        <v>#N/A</v>
      </c>
    </row>
    <row r="621" spans="2:6" x14ac:dyDescent="0.25">
      <c r="B621" s="28"/>
      <c r="C621" s="19"/>
      <c r="D621" s="5" t="e">
        <f>VLOOKUP(B621,'[1]Base de datos'!$B:$F,2,FALSE)</f>
        <v>#N/A</v>
      </c>
      <c r="E621" t="e">
        <f>VLOOKUP(B621,'[1]Base de datos'!$B:$E,3,FALSE)</f>
        <v>#N/A</v>
      </c>
      <c r="F621" t="e">
        <f>VLOOKUP(B621,'[1]Base de datos'!$B:$E,4,FALSE)</f>
        <v>#N/A</v>
      </c>
    </row>
    <row r="622" spans="2:6" x14ac:dyDescent="0.25">
      <c r="B622" s="28"/>
      <c r="C622" s="19"/>
      <c r="D622" s="5" t="e">
        <f>VLOOKUP(B622,'[1]Base de datos'!$B:$F,2,FALSE)</f>
        <v>#N/A</v>
      </c>
      <c r="E622" t="e">
        <f>VLOOKUP(B622,'[1]Base de datos'!$B:$E,3,FALSE)</f>
        <v>#N/A</v>
      </c>
      <c r="F622" t="e">
        <f>VLOOKUP(B622,'[1]Base de datos'!$B:$E,4,FALSE)</f>
        <v>#N/A</v>
      </c>
    </row>
    <row r="623" spans="2:6" x14ac:dyDescent="0.25">
      <c r="B623" s="28"/>
      <c r="C623" s="19"/>
      <c r="D623" s="5" t="e">
        <f>VLOOKUP(B623,'[1]Base de datos'!$B:$F,2,FALSE)</f>
        <v>#N/A</v>
      </c>
      <c r="E623" t="e">
        <f>VLOOKUP(B623,'[1]Base de datos'!$B:$E,3,FALSE)</f>
        <v>#N/A</v>
      </c>
      <c r="F623" t="e">
        <f>VLOOKUP(B623,'[1]Base de datos'!$B:$E,4,FALSE)</f>
        <v>#N/A</v>
      </c>
    </row>
    <row r="624" spans="2:6" x14ac:dyDescent="0.25">
      <c r="B624" s="28"/>
      <c r="C624" s="19"/>
      <c r="D624" s="5" t="e">
        <f>VLOOKUP(B624,'[1]Base de datos'!$B:$F,2,FALSE)</f>
        <v>#N/A</v>
      </c>
      <c r="E624" t="e">
        <f>VLOOKUP(B624,'[1]Base de datos'!$B:$E,3,FALSE)</f>
        <v>#N/A</v>
      </c>
      <c r="F624" t="e">
        <f>VLOOKUP(B624,'[1]Base de datos'!$B:$E,4,FALSE)</f>
        <v>#N/A</v>
      </c>
    </row>
    <row r="625" spans="2:6" x14ac:dyDescent="0.25">
      <c r="B625" s="28"/>
      <c r="C625" s="19"/>
      <c r="D625" s="5" t="e">
        <f>VLOOKUP(B625,'[1]Base de datos'!$B:$F,2,FALSE)</f>
        <v>#N/A</v>
      </c>
      <c r="E625" t="e">
        <f>VLOOKUP(B625,'[1]Base de datos'!$B:$E,3,FALSE)</f>
        <v>#N/A</v>
      </c>
      <c r="F625" t="e">
        <f>VLOOKUP(B625,'[1]Base de datos'!$B:$E,4,FALSE)</f>
        <v>#N/A</v>
      </c>
    </row>
    <row r="626" spans="2:6" x14ac:dyDescent="0.25">
      <c r="B626" s="28"/>
      <c r="C626" s="19"/>
      <c r="D626" s="5" t="e">
        <f>VLOOKUP(B626,'[1]Base de datos'!$B:$F,2,FALSE)</f>
        <v>#N/A</v>
      </c>
      <c r="E626" t="e">
        <f>VLOOKUP(B626,'[1]Base de datos'!$B:$E,3,FALSE)</f>
        <v>#N/A</v>
      </c>
      <c r="F626" t="e">
        <f>VLOOKUP(B626,'[1]Base de datos'!$B:$E,4,FALSE)</f>
        <v>#N/A</v>
      </c>
    </row>
    <row r="627" spans="2:6" x14ac:dyDescent="0.25">
      <c r="B627" s="28"/>
      <c r="C627" s="19"/>
      <c r="D627" s="5" t="e">
        <f>VLOOKUP(B627,'[1]Base de datos'!$B:$F,2,FALSE)</f>
        <v>#N/A</v>
      </c>
      <c r="E627" t="e">
        <f>VLOOKUP(B627,'[1]Base de datos'!$B:$E,3,FALSE)</f>
        <v>#N/A</v>
      </c>
      <c r="F627" t="e">
        <f>VLOOKUP(B627,'[1]Base de datos'!$B:$E,4,FALSE)</f>
        <v>#N/A</v>
      </c>
    </row>
    <row r="628" spans="2:6" x14ac:dyDescent="0.25">
      <c r="B628" s="28"/>
      <c r="C628" s="19"/>
      <c r="D628" s="5" t="e">
        <f>VLOOKUP(B628,'[1]Base de datos'!$B:$F,2,FALSE)</f>
        <v>#N/A</v>
      </c>
      <c r="E628" t="e">
        <f>VLOOKUP(B628,'[1]Base de datos'!$B:$E,3,FALSE)</f>
        <v>#N/A</v>
      </c>
      <c r="F628" t="e">
        <f>VLOOKUP(B628,'[1]Base de datos'!$B:$E,4,FALSE)</f>
        <v>#N/A</v>
      </c>
    </row>
    <row r="629" spans="2:6" x14ac:dyDescent="0.25">
      <c r="B629" s="28"/>
      <c r="C629" s="19"/>
      <c r="D629" s="5" t="e">
        <f>VLOOKUP(B629,'[1]Base de datos'!$B:$F,2,FALSE)</f>
        <v>#N/A</v>
      </c>
      <c r="E629" t="e">
        <f>VLOOKUP(B629,'[1]Base de datos'!$B:$E,3,FALSE)</f>
        <v>#N/A</v>
      </c>
      <c r="F629" t="e">
        <f>VLOOKUP(B629,'[1]Base de datos'!$B:$E,4,FALSE)</f>
        <v>#N/A</v>
      </c>
    </row>
    <row r="630" spans="2:6" x14ac:dyDescent="0.25">
      <c r="B630" s="28"/>
      <c r="C630" s="19"/>
      <c r="D630" s="5" t="e">
        <f>VLOOKUP(B630,'[1]Base de datos'!$B:$F,2,FALSE)</f>
        <v>#N/A</v>
      </c>
      <c r="E630" t="e">
        <f>VLOOKUP(B630,'[1]Base de datos'!$B:$E,3,FALSE)</f>
        <v>#N/A</v>
      </c>
      <c r="F630" t="e">
        <f>VLOOKUP(B630,'[1]Base de datos'!$B:$E,4,FALSE)</f>
        <v>#N/A</v>
      </c>
    </row>
    <row r="631" spans="2:6" x14ac:dyDescent="0.25">
      <c r="B631" s="28"/>
      <c r="C631" s="19"/>
      <c r="D631" s="5" t="e">
        <f>VLOOKUP(B631,'[1]Base de datos'!$B:$F,2,FALSE)</f>
        <v>#N/A</v>
      </c>
      <c r="E631" t="e">
        <f>VLOOKUP(B631,'[1]Base de datos'!$B:$E,3,FALSE)</f>
        <v>#N/A</v>
      </c>
      <c r="F631" t="e">
        <f>VLOOKUP(B631,'[1]Base de datos'!$B:$E,4,FALSE)</f>
        <v>#N/A</v>
      </c>
    </row>
    <row r="632" spans="2:6" x14ac:dyDescent="0.25">
      <c r="B632" s="28"/>
      <c r="C632" s="19"/>
      <c r="D632" s="5" t="e">
        <f>VLOOKUP(B632,'[1]Base de datos'!$B:$F,2,FALSE)</f>
        <v>#N/A</v>
      </c>
      <c r="E632" t="e">
        <f>VLOOKUP(B632,'[1]Base de datos'!$B:$E,3,FALSE)</f>
        <v>#N/A</v>
      </c>
      <c r="F632" t="e">
        <f>VLOOKUP(B632,'[1]Base de datos'!$B:$E,4,FALSE)</f>
        <v>#N/A</v>
      </c>
    </row>
    <row r="633" spans="2:6" x14ac:dyDescent="0.25">
      <c r="B633" s="28"/>
      <c r="C633" s="19"/>
      <c r="D633" s="5" t="e">
        <f>VLOOKUP(B633,'[1]Base de datos'!$B:$F,2,FALSE)</f>
        <v>#N/A</v>
      </c>
      <c r="E633" t="e">
        <f>VLOOKUP(B633,'[1]Base de datos'!$B:$E,3,FALSE)</f>
        <v>#N/A</v>
      </c>
      <c r="F633" t="e">
        <f>VLOOKUP(B633,'[1]Base de datos'!$B:$E,4,FALSE)</f>
        <v>#N/A</v>
      </c>
    </row>
    <row r="634" spans="2:6" x14ac:dyDescent="0.25">
      <c r="B634" s="28"/>
      <c r="C634" s="19"/>
      <c r="D634" s="5" t="e">
        <f>VLOOKUP(B634,'[1]Base de datos'!$B:$F,2,FALSE)</f>
        <v>#N/A</v>
      </c>
      <c r="E634" t="e">
        <f>VLOOKUP(B634,'[1]Base de datos'!$B:$E,3,FALSE)</f>
        <v>#N/A</v>
      </c>
      <c r="F634" t="e">
        <f>VLOOKUP(B634,'[1]Base de datos'!$B:$E,4,FALSE)</f>
        <v>#N/A</v>
      </c>
    </row>
    <row r="635" spans="2:6" x14ac:dyDescent="0.25">
      <c r="B635" s="28"/>
      <c r="C635" s="19"/>
      <c r="D635" s="5" t="e">
        <f>VLOOKUP(B635,'[1]Base de datos'!$B:$F,2,FALSE)</f>
        <v>#N/A</v>
      </c>
      <c r="E635" t="e">
        <f>VLOOKUP(B635,'[1]Base de datos'!$B:$E,3,FALSE)</f>
        <v>#N/A</v>
      </c>
      <c r="F635" t="e">
        <f>VLOOKUP(B635,'[1]Base de datos'!$B:$E,4,FALSE)</f>
        <v>#N/A</v>
      </c>
    </row>
    <row r="636" spans="2:6" x14ac:dyDescent="0.25">
      <c r="B636" s="28"/>
      <c r="C636" s="19"/>
      <c r="D636" s="5" t="e">
        <f>VLOOKUP(B636,'[1]Base de datos'!$B:$F,2,FALSE)</f>
        <v>#N/A</v>
      </c>
      <c r="E636" t="e">
        <f>VLOOKUP(B636,'[1]Base de datos'!$B:$E,3,FALSE)</f>
        <v>#N/A</v>
      </c>
      <c r="F636" t="e">
        <f>VLOOKUP(B636,'[1]Base de datos'!$B:$E,4,FALSE)</f>
        <v>#N/A</v>
      </c>
    </row>
    <row r="637" spans="2:6" x14ac:dyDescent="0.25">
      <c r="B637" s="28"/>
      <c r="C637" s="19"/>
      <c r="D637" s="5" t="e">
        <f>VLOOKUP(B637,'[1]Base de datos'!$B:$F,2,FALSE)</f>
        <v>#N/A</v>
      </c>
      <c r="E637" t="e">
        <f>VLOOKUP(B637,'[1]Base de datos'!$B:$E,3,FALSE)</f>
        <v>#N/A</v>
      </c>
      <c r="F637" t="e">
        <f>VLOOKUP(B637,'[1]Base de datos'!$B:$E,4,FALSE)</f>
        <v>#N/A</v>
      </c>
    </row>
    <row r="638" spans="2:6" x14ac:dyDescent="0.25">
      <c r="B638" s="28"/>
      <c r="C638" s="19"/>
      <c r="D638" s="5" t="e">
        <f>VLOOKUP(B638,'[1]Base de datos'!$B:$F,2,FALSE)</f>
        <v>#N/A</v>
      </c>
      <c r="E638" t="e">
        <f>VLOOKUP(B638,'[1]Base de datos'!$B:$E,3,FALSE)</f>
        <v>#N/A</v>
      </c>
      <c r="F638" t="e">
        <f>VLOOKUP(B638,'[1]Base de datos'!$B:$E,4,FALSE)</f>
        <v>#N/A</v>
      </c>
    </row>
    <row r="639" spans="2:6" x14ac:dyDescent="0.25">
      <c r="B639" s="28"/>
      <c r="C639" s="19"/>
      <c r="D639" s="5" t="e">
        <f>VLOOKUP(B639,'[1]Base de datos'!$B:$F,2,FALSE)</f>
        <v>#N/A</v>
      </c>
      <c r="E639" t="e">
        <f>VLOOKUP(B639,'[1]Base de datos'!$B:$E,3,FALSE)</f>
        <v>#N/A</v>
      </c>
      <c r="F639" t="e">
        <f>VLOOKUP(B639,'[1]Base de datos'!$B:$E,4,FALSE)</f>
        <v>#N/A</v>
      </c>
    </row>
    <row r="640" spans="2:6" x14ac:dyDescent="0.25">
      <c r="B640" s="28"/>
      <c r="C640" s="19"/>
      <c r="D640" s="5" t="e">
        <f>VLOOKUP(B640,'[1]Base de datos'!$B:$F,2,FALSE)</f>
        <v>#N/A</v>
      </c>
      <c r="E640" t="e">
        <f>VLOOKUP(B640,'[1]Base de datos'!$B:$E,3,FALSE)</f>
        <v>#N/A</v>
      </c>
      <c r="F640" t="e">
        <f>VLOOKUP(B640,'[1]Base de datos'!$B:$E,4,FALSE)</f>
        <v>#N/A</v>
      </c>
    </row>
    <row r="641" spans="2:6" x14ac:dyDescent="0.25">
      <c r="B641" s="28"/>
      <c r="C641" s="19"/>
      <c r="D641" s="5" t="e">
        <f>VLOOKUP(B641,'[1]Base de datos'!$B:$F,2,FALSE)</f>
        <v>#N/A</v>
      </c>
      <c r="E641" t="e">
        <f>VLOOKUP(B641,'[1]Base de datos'!$B:$E,3,FALSE)</f>
        <v>#N/A</v>
      </c>
      <c r="F641" t="e">
        <f>VLOOKUP(B641,'[1]Base de datos'!$B:$E,4,FALSE)</f>
        <v>#N/A</v>
      </c>
    </row>
    <row r="642" spans="2:6" x14ac:dyDescent="0.25">
      <c r="B642" s="28"/>
      <c r="C642" s="19"/>
      <c r="D642" s="5" t="e">
        <f>VLOOKUP(B642,'[1]Base de datos'!$B:$F,2,FALSE)</f>
        <v>#N/A</v>
      </c>
      <c r="E642" t="e">
        <f>VLOOKUP(B642,'[1]Base de datos'!$B:$E,3,FALSE)</f>
        <v>#N/A</v>
      </c>
      <c r="F642" t="e">
        <f>VLOOKUP(B642,'[1]Base de datos'!$B:$E,4,FALSE)</f>
        <v>#N/A</v>
      </c>
    </row>
    <row r="643" spans="2:6" x14ac:dyDescent="0.25">
      <c r="B643" s="28"/>
      <c r="C643" s="19"/>
      <c r="D643" s="5" t="e">
        <f>VLOOKUP(B643,'[1]Base de datos'!$B:$F,2,FALSE)</f>
        <v>#N/A</v>
      </c>
      <c r="E643" t="e">
        <f>VLOOKUP(B643,'[1]Base de datos'!$B:$E,3,FALSE)</f>
        <v>#N/A</v>
      </c>
      <c r="F643" t="e">
        <f>VLOOKUP(B643,'[1]Base de datos'!$B:$E,4,FALSE)</f>
        <v>#N/A</v>
      </c>
    </row>
    <row r="644" spans="2:6" x14ac:dyDescent="0.25">
      <c r="B644" s="28"/>
      <c r="C644" s="19"/>
      <c r="D644" s="5" t="e">
        <f>VLOOKUP(B644,'[1]Base de datos'!$B:$F,2,FALSE)</f>
        <v>#N/A</v>
      </c>
      <c r="E644" t="e">
        <f>VLOOKUP(B644,'[1]Base de datos'!$B:$E,3,FALSE)</f>
        <v>#N/A</v>
      </c>
      <c r="F644" t="e">
        <f>VLOOKUP(B644,'[1]Base de datos'!$B:$E,4,FALSE)</f>
        <v>#N/A</v>
      </c>
    </row>
    <row r="645" spans="2:6" x14ac:dyDescent="0.25">
      <c r="B645" s="28"/>
      <c r="C645" s="19"/>
      <c r="D645" s="5" t="e">
        <f>VLOOKUP(B645,'[1]Base de datos'!$B:$F,2,FALSE)</f>
        <v>#N/A</v>
      </c>
      <c r="E645" t="e">
        <f>VLOOKUP(B645,'[1]Base de datos'!$B:$E,3,FALSE)</f>
        <v>#N/A</v>
      </c>
      <c r="F645" t="e">
        <f>VLOOKUP(B645,'[1]Base de datos'!$B:$E,4,FALSE)</f>
        <v>#N/A</v>
      </c>
    </row>
    <row r="646" spans="2:6" x14ac:dyDescent="0.25">
      <c r="B646" s="28"/>
      <c r="C646" s="19"/>
      <c r="D646" s="5" t="e">
        <f>VLOOKUP(B646,'[1]Base de datos'!$B:$F,2,FALSE)</f>
        <v>#N/A</v>
      </c>
      <c r="E646" t="e">
        <f>VLOOKUP(B646,'[1]Base de datos'!$B:$E,3,FALSE)</f>
        <v>#N/A</v>
      </c>
      <c r="F646" t="e">
        <f>VLOOKUP(B646,'[1]Base de datos'!$B:$E,4,FALSE)</f>
        <v>#N/A</v>
      </c>
    </row>
    <row r="647" spans="2:6" x14ac:dyDescent="0.25">
      <c r="B647" s="28"/>
      <c r="C647" s="19"/>
      <c r="D647" s="5" t="e">
        <f>VLOOKUP(B647,'[1]Base de datos'!$B:$F,2,FALSE)</f>
        <v>#N/A</v>
      </c>
      <c r="E647" t="e">
        <f>VLOOKUP(B647,'[1]Base de datos'!$B:$E,3,FALSE)</f>
        <v>#N/A</v>
      </c>
      <c r="F647" t="e">
        <f>VLOOKUP(B647,'[1]Base de datos'!$B:$E,4,FALSE)</f>
        <v>#N/A</v>
      </c>
    </row>
    <row r="648" spans="2:6" x14ac:dyDescent="0.25">
      <c r="B648" s="28"/>
      <c r="C648" s="19"/>
      <c r="D648" s="5" t="e">
        <f>VLOOKUP(B648,'[1]Base de datos'!$B:$F,2,FALSE)</f>
        <v>#N/A</v>
      </c>
      <c r="E648" t="e">
        <f>VLOOKUP(B648,'[1]Base de datos'!$B:$E,3,FALSE)</f>
        <v>#N/A</v>
      </c>
      <c r="F648" t="e">
        <f>VLOOKUP(B648,'[1]Base de datos'!$B:$E,4,FALSE)</f>
        <v>#N/A</v>
      </c>
    </row>
    <row r="649" spans="2:6" x14ac:dyDescent="0.25">
      <c r="B649" s="28"/>
      <c r="C649" s="19"/>
      <c r="D649" s="5" t="e">
        <f>VLOOKUP(B649,'[1]Base de datos'!$B:$F,2,FALSE)</f>
        <v>#N/A</v>
      </c>
      <c r="E649" t="e">
        <f>VLOOKUP(B649,'[1]Base de datos'!$B:$E,3,FALSE)</f>
        <v>#N/A</v>
      </c>
      <c r="F649" t="e">
        <f>VLOOKUP(B649,'[1]Base de datos'!$B:$E,4,FALSE)</f>
        <v>#N/A</v>
      </c>
    </row>
    <row r="650" spans="2:6" x14ac:dyDescent="0.25">
      <c r="B650" s="28"/>
      <c r="C650" s="19"/>
      <c r="D650" s="5" t="e">
        <f>VLOOKUP(B650,'[1]Base de datos'!$B:$F,2,FALSE)</f>
        <v>#N/A</v>
      </c>
      <c r="E650" t="e">
        <f>VLOOKUP(B650,'[1]Base de datos'!$B:$E,3,FALSE)</f>
        <v>#N/A</v>
      </c>
      <c r="F650" t="e">
        <f>VLOOKUP(B650,'[1]Base de datos'!$B:$E,4,FALSE)</f>
        <v>#N/A</v>
      </c>
    </row>
    <row r="651" spans="2:6" x14ac:dyDescent="0.25">
      <c r="B651" s="28"/>
      <c r="C651" s="19"/>
      <c r="D651" s="5" t="e">
        <f>VLOOKUP(B651,'[1]Base de datos'!$B:$F,2,FALSE)</f>
        <v>#N/A</v>
      </c>
      <c r="E651" t="e">
        <f>VLOOKUP(B651,'[1]Base de datos'!$B:$E,3,FALSE)</f>
        <v>#N/A</v>
      </c>
      <c r="F651" t="e">
        <f>VLOOKUP(B651,'[1]Base de datos'!$B:$E,4,FALSE)</f>
        <v>#N/A</v>
      </c>
    </row>
    <row r="652" spans="2:6" x14ac:dyDescent="0.25">
      <c r="B652" s="28"/>
      <c r="C652" s="19"/>
      <c r="D652" s="5" t="e">
        <f>VLOOKUP(B652,'[1]Base de datos'!$B:$F,2,FALSE)</f>
        <v>#N/A</v>
      </c>
      <c r="E652" t="e">
        <f>VLOOKUP(B652,'[1]Base de datos'!$B:$E,3,FALSE)</f>
        <v>#N/A</v>
      </c>
      <c r="F652" t="e">
        <f>VLOOKUP(B652,'[1]Base de datos'!$B:$E,4,FALSE)</f>
        <v>#N/A</v>
      </c>
    </row>
    <row r="653" spans="2:6" x14ac:dyDescent="0.25">
      <c r="B653" s="28"/>
      <c r="C653" s="19"/>
      <c r="D653" s="5" t="e">
        <f>VLOOKUP(B653,'[1]Base de datos'!$B:$F,2,FALSE)</f>
        <v>#N/A</v>
      </c>
      <c r="E653" t="e">
        <f>VLOOKUP(B653,'[1]Base de datos'!$B:$E,3,FALSE)</f>
        <v>#N/A</v>
      </c>
      <c r="F653" t="e">
        <f>VLOOKUP(B653,'[1]Base de datos'!$B:$E,4,FALSE)</f>
        <v>#N/A</v>
      </c>
    </row>
    <row r="654" spans="2:6" x14ac:dyDescent="0.25">
      <c r="B654" s="28"/>
      <c r="C654" s="19"/>
      <c r="D654" s="5" t="e">
        <f>VLOOKUP(B654,'[1]Base de datos'!$B:$F,2,FALSE)</f>
        <v>#N/A</v>
      </c>
      <c r="E654" t="e">
        <f>VLOOKUP(B654,'[1]Base de datos'!$B:$E,3,FALSE)</f>
        <v>#N/A</v>
      </c>
      <c r="F654" t="e">
        <f>VLOOKUP(B654,'[1]Base de datos'!$B:$E,4,FALSE)</f>
        <v>#N/A</v>
      </c>
    </row>
    <row r="655" spans="2:6" x14ac:dyDescent="0.25">
      <c r="B655" s="28"/>
      <c r="C655" s="19"/>
      <c r="D655" s="5" t="e">
        <f>VLOOKUP(B655,'[1]Base de datos'!$B:$F,2,FALSE)</f>
        <v>#N/A</v>
      </c>
      <c r="E655" t="e">
        <f>VLOOKUP(B655,'[1]Base de datos'!$B:$E,3,FALSE)</f>
        <v>#N/A</v>
      </c>
      <c r="F655" t="e">
        <f>VLOOKUP(B655,'[1]Base de datos'!$B:$E,4,FALSE)</f>
        <v>#N/A</v>
      </c>
    </row>
    <row r="656" spans="2:6" x14ac:dyDescent="0.25">
      <c r="B656" s="28"/>
      <c r="C656" s="19"/>
      <c r="D656" s="5" t="e">
        <f>VLOOKUP(B656,'[1]Base de datos'!$B:$F,2,FALSE)</f>
        <v>#N/A</v>
      </c>
      <c r="E656" t="e">
        <f>VLOOKUP(B656,'[1]Base de datos'!$B:$E,3,FALSE)</f>
        <v>#N/A</v>
      </c>
      <c r="F656" t="e">
        <f>VLOOKUP(B656,'[1]Base de datos'!$B:$E,4,FALSE)</f>
        <v>#N/A</v>
      </c>
    </row>
    <row r="657" spans="2:6" x14ac:dyDescent="0.25">
      <c r="B657" s="28"/>
      <c r="C657" s="19"/>
      <c r="D657" s="5" t="e">
        <f>VLOOKUP(B657,'[1]Base de datos'!$B:$F,2,FALSE)</f>
        <v>#N/A</v>
      </c>
      <c r="E657" t="e">
        <f>VLOOKUP(B657,'[1]Base de datos'!$B:$E,3,FALSE)</f>
        <v>#N/A</v>
      </c>
      <c r="F657" t="e">
        <f>VLOOKUP(B657,'[1]Base de datos'!$B:$E,4,FALSE)</f>
        <v>#N/A</v>
      </c>
    </row>
    <row r="658" spans="2:6" x14ac:dyDescent="0.25">
      <c r="B658" s="28"/>
      <c r="C658" s="19"/>
      <c r="D658" s="5" t="e">
        <f>VLOOKUP(B658,'[1]Base de datos'!$B:$F,2,FALSE)</f>
        <v>#N/A</v>
      </c>
      <c r="E658" t="e">
        <f>VLOOKUP(B658,'[1]Base de datos'!$B:$E,3,FALSE)</f>
        <v>#N/A</v>
      </c>
      <c r="F658" t="e">
        <f>VLOOKUP(B658,'[1]Base de datos'!$B:$E,4,FALSE)</f>
        <v>#N/A</v>
      </c>
    </row>
    <row r="659" spans="2:6" x14ac:dyDescent="0.25">
      <c r="B659" s="28"/>
      <c r="C659" s="19"/>
      <c r="D659" s="5" t="e">
        <f>VLOOKUP(B659,'[1]Base de datos'!$B:$F,2,FALSE)</f>
        <v>#N/A</v>
      </c>
      <c r="E659" t="e">
        <f>VLOOKUP(B659,'[1]Base de datos'!$B:$E,3,FALSE)</f>
        <v>#N/A</v>
      </c>
      <c r="F659" t="e">
        <f>VLOOKUP(B659,'[1]Base de datos'!$B:$E,4,FALSE)</f>
        <v>#N/A</v>
      </c>
    </row>
    <row r="660" spans="2:6" x14ac:dyDescent="0.25">
      <c r="B660" s="28"/>
      <c r="C660" s="19"/>
      <c r="D660" s="5" t="e">
        <f>VLOOKUP(B660,'[1]Base de datos'!$B:$F,2,FALSE)</f>
        <v>#N/A</v>
      </c>
      <c r="E660" t="e">
        <f>VLOOKUP(B660,'[1]Base de datos'!$B:$E,3,FALSE)</f>
        <v>#N/A</v>
      </c>
      <c r="F660" t="e">
        <f>VLOOKUP(B660,'[1]Base de datos'!$B:$E,4,FALSE)</f>
        <v>#N/A</v>
      </c>
    </row>
    <row r="661" spans="2:6" x14ac:dyDescent="0.25">
      <c r="B661" s="28"/>
      <c r="C661" s="19"/>
      <c r="D661" s="5" t="e">
        <f>VLOOKUP(B661,'[1]Base de datos'!$B:$F,2,FALSE)</f>
        <v>#N/A</v>
      </c>
      <c r="E661" t="e">
        <f>VLOOKUP(B661,'[1]Base de datos'!$B:$E,3,FALSE)</f>
        <v>#N/A</v>
      </c>
      <c r="F661" t="e">
        <f>VLOOKUP(B661,'[1]Base de datos'!$B:$E,4,FALSE)</f>
        <v>#N/A</v>
      </c>
    </row>
    <row r="662" spans="2:6" x14ac:dyDescent="0.25">
      <c r="B662" s="28"/>
      <c r="C662" s="19"/>
      <c r="D662" s="5" t="e">
        <f>VLOOKUP(B662,'[1]Base de datos'!$B:$F,2,FALSE)</f>
        <v>#N/A</v>
      </c>
      <c r="E662" t="e">
        <f>VLOOKUP(B662,'[1]Base de datos'!$B:$E,3,FALSE)</f>
        <v>#N/A</v>
      </c>
      <c r="F662" t="e">
        <f>VLOOKUP(B662,'[1]Base de datos'!$B:$E,4,FALSE)</f>
        <v>#N/A</v>
      </c>
    </row>
    <row r="663" spans="2:6" x14ac:dyDescent="0.25">
      <c r="B663" s="28"/>
      <c r="C663" s="19"/>
      <c r="D663" s="5" t="e">
        <f>VLOOKUP(B663,'[1]Base de datos'!$B:$F,2,FALSE)</f>
        <v>#N/A</v>
      </c>
      <c r="E663" t="e">
        <f>VLOOKUP(B663,'[1]Base de datos'!$B:$E,3,FALSE)</f>
        <v>#N/A</v>
      </c>
      <c r="F663" t="e">
        <f>VLOOKUP(B663,'[1]Base de datos'!$B:$E,4,FALSE)</f>
        <v>#N/A</v>
      </c>
    </row>
    <row r="664" spans="2:6" x14ac:dyDescent="0.25">
      <c r="B664" s="28"/>
      <c r="C664" s="19"/>
      <c r="D664" s="5" t="e">
        <f>VLOOKUP(B664,'[1]Base de datos'!$B:$F,2,FALSE)</f>
        <v>#N/A</v>
      </c>
      <c r="E664" t="e">
        <f>VLOOKUP(B664,'[1]Base de datos'!$B:$E,3,FALSE)</f>
        <v>#N/A</v>
      </c>
      <c r="F664" t="e">
        <f>VLOOKUP(B664,'[1]Base de datos'!$B:$E,4,FALSE)</f>
        <v>#N/A</v>
      </c>
    </row>
    <row r="665" spans="2:6" x14ac:dyDescent="0.25">
      <c r="B665" s="28"/>
      <c r="C665" s="19"/>
      <c r="D665" s="5" t="e">
        <f>VLOOKUP(B665,'[1]Base de datos'!$B:$F,2,FALSE)</f>
        <v>#N/A</v>
      </c>
      <c r="E665" t="e">
        <f>VLOOKUP(B665,'[1]Base de datos'!$B:$E,3,FALSE)</f>
        <v>#N/A</v>
      </c>
      <c r="F665" t="e">
        <f>VLOOKUP(B665,'[1]Base de datos'!$B:$E,4,FALSE)</f>
        <v>#N/A</v>
      </c>
    </row>
    <row r="666" spans="2:6" x14ac:dyDescent="0.25">
      <c r="B666" s="28"/>
      <c r="C666" s="19"/>
      <c r="D666" s="5" t="e">
        <f>VLOOKUP(B666,'[1]Base de datos'!$B:$F,2,FALSE)</f>
        <v>#N/A</v>
      </c>
      <c r="E666" t="e">
        <f>VLOOKUP(B666,'[1]Base de datos'!$B:$E,3,FALSE)</f>
        <v>#N/A</v>
      </c>
      <c r="F666" t="e">
        <f>VLOOKUP(B666,'[1]Base de datos'!$B:$E,4,FALSE)</f>
        <v>#N/A</v>
      </c>
    </row>
    <row r="667" spans="2:6" x14ac:dyDescent="0.25">
      <c r="B667" s="28"/>
      <c r="C667" s="19"/>
      <c r="D667" s="5" t="e">
        <f>VLOOKUP(B667,'[1]Base de datos'!$B:$F,2,FALSE)</f>
        <v>#N/A</v>
      </c>
      <c r="E667" t="e">
        <f>VLOOKUP(B667,'[1]Base de datos'!$B:$E,3,FALSE)</f>
        <v>#N/A</v>
      </c>
      <c r="F667" t="e">
        <f>VLOOKUP(B667,'[1]Base de datos'!$B:$E,4,FALSE)</f>
        <v>#N/A</v>
      </c>
    </row>
    <row r="668" spans="2:6" x14ac:dyDescent="0.25">
      <c r="B668" s="28"/>
      <c r="C668" s="19"/>
      <c r="D668" s="5" t="e">
        <f>VLOOKUP(B668,'[1]Base de datos'!$B:$F,2,FALSE)</f>
        <v>#N/A</v>
      </c>
      <c r="E668" t="e">
        <f>VLOOKUP(B668,'[1]Base de datos'!$B:$E,3,FALSE)</f>
        <v>#N/A</v>
      </c>
      <c r="F668" t="e">
        <f>VLOOKUP(B668,'[1]Base de datos'!$B:$E,4,FALSE)</f>
        <v>#N/A</v>
      </c>
    </row>
    <row r="669" spans="2:6" x14ac:dyDescent="0.25">
      <c r="B669" s="28"/>
      <c r="C669" s="19"/>
      <c r="D669" s="5" t="e">
        <f>VLOOKUP(B669,'[1]Base de datos'!$B:$F,2,FALSE)</f>
        <v>#N/A</v>
      </c>
      <c r="E669" t="e">
        <f>VLOOKUP(B669,'[1]Base de datos'!$B:$E,3,FALSE)</f>
        <v>#N/A</v>
      </c>
      <c r="F669" t="e">
        <f>VLOOKUP(B669,'[1]Base de datos'!$B:$E,4,FALSE)</f>
        <v>#N/A</v>
      </c>
    </row>
    <row r="670" spans="2:6" x14ac:dyDescent="0.25">
      <c r="B670" s="28"/>
      <c r="C670" s="19"/>
      <c r="D670" s="5" t="e">
        <f>VLOOKUP(B670,'[1]Base de datos'!$B:$F,2,FALSE)</f>
        <v>#N/A</v>
      </c>
      <c r="E670" t="e">
        <f>VLOOKUP(B670,'[1]Base de datos'!$B:$E,3,FALSE)</f>
        <v>#N/A</v>
      </c>
      <c r="F670" t="e">
        <f>VLOOKUP(B670,'[1]Base de datos'!$B:$E,4,FALSE)</f>
        <v>#N/A</v>
      </c>
    </row>
    <row r="671" spans="2:6" x14ac:dyDescent="0.25">
      <c r="B671" s="28"/>
      <c r="C671" s="19"/>
      <c r="D671" s="5" t="e">
        <f>VLOOKUP(B671,'[1]Base de datos'!$B:$F,2,FALSE)</f>
        <v>#N/A</v>
      </c>
      <c r="E671" t="e">
        <f>VLOOKUP(B671,'[1]Base de datos'!$B:$E,3,FALSE)</f>
        <v>#N/A</v>
      </c>
      <c r="F671" t="e">
        <f>VLOOKUP(B671,'[1]Base de datos'!$B:$E,4,FALSE)</f>
        <v>#N/A</v>
      </c>
    </row>
    <row r="672" spans="2:6" x14ac:dyDescent="0.25">
      <c r="B672" s="28"/>
      <c r="C672" s="19"/>
      <c r="D672" s="5" t="e">
        <f>VLOOKUP(B672,'[1]Base de datos'!$B:$F,2,FALSE)</f>
        <v>#N/A</v>
      </c>
      <c r="E672" t="e">
        <f>VLOOKUP(B672,'[1]Base de datos'!$B:$E,3,FALSE)</f>
        <v>#N/A</v>
      </c>
      <c r="F672" t="e">
        <f>VLOOKUP(B672,'[1]Base de datos'!$B:$E,4,FALSE)</f>
        <v>#N/A</v>
      </c>
    </row>
    <row r="673" spans="2:6" x14ac:dyDescent="0.25">
      <c r="B673" s="28"/>
      <c r="C673" s="19"/>
      <c r="D673" s="5" t="e">
        <f>VLOOKUP(B673,'[1]Base de datos'!$B:$F,2,FALSE)</f>
        <v>#N/A</v>
      </c>
      <c r="E673" t="e">
        <f>VLOOKUP(B673,'[1]Base de datos'!$B:$E,3,FALSE)</f>
        <v>#N/A</v>
      </c>
      <c r="F673" t="e">
        <f>VLOOKUP(B673,'[1]Base de datos'!$B:$E,4,FALSE)</f>
        <v>#N/A</v>
      </c>
    </row>
    <row r="674" spans="2:6" x14ac:dyDescent="0.25">
      <c r="B674" s="28"/>
      <c r="C674" s="19"/>
      <c r="D674" s="5" t="e">
        <f>VLOOKUP(B674,'[1]Base de datos'!$B:$F,2,FALSE)</f>
        <v>#N/A</v>
      </c>
      <c r="E674" t="e">
        <f>VLOOKUP(B674,'[1]Base de datos'!$B:$E,3,FALSE)</f>
        <v>#N/A</v>
      </c>
      <c r="F674" t="e">
        <f>VLOOKUP(B674,'[1]Base de datos'!$B:$E,4,FALSE)</f>
        <v>#N/A</v>
      </c>
    </row>
    <row r="675" spans="2:6" x14ac:dyDescent="0.25">
      <c r="B675" s="28"/>
      <c r="C675" s="19"/>
      <c r="D675" s="5" t="e">
        <f>VLOOKUP(B675,'[1]Base de datos'!$B:$F,2,FALSE)</f>
        <v>#N/A</v>
      </c>
      <c r="E675" t="e">
        <f>VLOOKUP(B675,'[1]Base de datos'!$B:$E,3,FALSE)</f>
        <v>#N/A</v>
      </c>
      <c r="F675" t="e">
        <f>VLOOKUP(B675,'[1]Base de datos'!$B:$E,4,FALSE)</f>
        <v>#N/A</v>
      </c>
    </row>
    <row r="676" spans="2:6" x14ac:dyDescent="0.25">
      <c r="B676" s="28"/>
      <c r="C676" s="19"/>
      <c r="D676" s="5" t="e">
        <f>VLOOKUP(B676,'[1]Base de datos'!$B:$F,2,FALSE)</f>
        <v>#N/A</v>
      </c>
      <c r="E676" t="e">
        <f>VLOOKUP(B676,'[1]Base de datos'!$B:$E,3,FALSE)</f>
        <v>#N/A</v>
      </c>
      <c r="F676" t="e">
        <f>VLOOKUP(B676,'[1]Base de datos'!$B:$E,4,FALSE)</f>
        <v>#N/A</v>
      </c>
    </row>
    <row r="677" spans="2:6" x14ac:dyDescent="0.25">
      <c r="B677" s="28"/>
      <c r="C677" s="19"/>
      <c r="D677" s="5" t="e">
        <f>VLOOKUP(B677,'[1]Base de datos'!$B:$F,2,FALSE)</f>
        <v>#N/A</v>
      </c>
      <c r="E677" t="e">
        <f>VLOOKUP(B677,'[1]Base de datos'!$B:$E,3,FALSE)</f>
        <v>#N/A</v>
      </c>
      <c r="F677" t="e">
        <f>VLOOKUP(B677,'[1]Base de datos'!$B:$E,4,FALSE)</f>
        <v>#N/A</v>
      </c>
    </row>
    <row r="678" spans="2:6" x14ac:dyDescent="0.25">
      <c r="B678" s="28"/>
      <c r="C678" s="19"/>
      <c r="D678" s="5" t="e">
        <f>VLOOKUP(B678,'[1]Base de datos'!$B:$F,2,FALSE)</f>
        <v>#N/A</v>
      </c>
      <c r="E678" t="e">
        <f>VLOOKUP(B678,'[1]Base de datos'!$B:$E,3,FALSE)</f>
        <v>#N/A</v>
      </c>
      <c r="F678" t="e">
        <f>VLOOKUP(B678,'[1]Base de datos'!$B:$E,4,FALSE)</f>
        <v>#N/A</v>
      </c>
    </row>
    <row r="679" spans="2:6" x14ac:dyDescent="0.25">
      <c r="B679" s="28"/>
      <c r="C679" s="19"/>
      <c r="D679" s="5" t="e">
        <f>VLOOKUP(B679,'[1]Base de datos'!$B:$F,2,FALSE)</f>
        <v>#N/A</v>
      </c>
      <c r="E679" t="e">
        <f>VLOOKUP(B679,'[1]Base de datos'!$B:$E,3,FALSE)</f>
        <v>#N/A</v>
      </c>
      <c r="F679" t="e">
        <f>VLOOKUP(B679,'[1]Base de datos'!$B:$E,4,FALSE)</f>
        <v>#N/A</v>
      </c>
    </row>
    <row r="680" spans="2:6" x14ac:dyDescent="0.25">
      <c r="B680" s="28"/>
      <c r="C680" s="19"/>
      <c r="D680" s="5" t="e">
        <f>VLOOKUP(B680,'[1]Base de datos'!$B:$F,2,FALSE)</f>
        <v>#N/A</v>
      </c>
      <c r="E680" t="e">
        <f>VLOOKUP(B680,'[1]Base de datos'!$B:$E,3,FALSE)</f>
        <v>#N/A</v>
      </c>
      <c r="F680" t="e">
        <f>VLOOKUP(B680,'[1]Base de datos'!$B:$E,4,FALSE)</f>
        <v>#N/A</v>
      </c>
    </row>
    <row r="681" spans="2:6" x14ac:dyDescent="0.25">
      <c r="B681" s="28"/>
      <c r="C681" s="19"/>
      <c r="D681" s="5" t="e">
        <f>VLOOKUP(B681,'[1]Base de datos'!$B:$F,2,FALSE)</f>
        <v>#N/A</v>
      </c>
      <c r="E681" t="e">
        <f>VLOOKUP(B681,'[1]Base de datos'!$B:$E,3,FALSE)</f>
        <v>#N/A</v>
      </c>
      <c r="F681" t="e">
        <f>VLOOKUP(B681,'[1]Base de datos'!$B:$E,4,FALSE)</f>
        <v>#N/A</v>
      </c>
    </row>
    <row r="682" spans="2:6" x14ac:dyDescent="0.25">
      <c r="B682" s="28"/>
      <c r="C682" s="19"/>
      <c r="D682" s="5" t="e">
        <f>VLOOKUP(B682,'[1]Base de datos'!$B:$F,2,FALSE)</f>
        <v>#N/A</v>
      </c>
      <c r="E682" t="e">
        <f>VLOOKUP(B682,'[1]Base de datos'!$B:$E,3,FALSE)</f>
        <v>#N/A</v>
      </c>
      <c r="F682" t="e">
        <f>VLOOKUP(B682,'[1]Base de datos'!$B:$E,4,FALSE)</f>
        <v>#N/A</v>
      </c>
    </row>
    <row r="683" spans="2:6" x14ac:dyDescent="0.25">
      <c r="B683" s="28"/>
      <c r="C683" s="19"/>
      <c r="D683" s="5" t="e">
        <f>VLOOKUP(B683,'[1]Base de datos'!$B:$F,2,FALSE)</f>
        <v>#N/A</v>
      </c>
      <c r="E683" t="e">
        <f>VLOOKUP(B683,'[1]Base de datos'!$B:$E,3,FALSE)</f>
        <v>#N/A</v>
      </c>
      <c r="F683" t="e">
        <f>VLOOKUP(B683,'[1]Base de datos'!$B:$E,4,FALSE)</f>
        <v>#N/A</v>
      </c>
    </row>
    <row r="684" spans="2:6" x14ac:dyDescent="0.25">
      <c r="B684" s="28"/>
      <c r="C684" s="19"/>
      <c r="D684" s="5" t="e">
        <f>VLOOKUP(B684,'[1]Base de datos'!$B:$F,2,FALSE)</f>
        <v>#N/A</v>
      </c>
      <c r="E684" t="e">
        <f>VLOOKUP(B684,'[1]Base de datos'!$B:$E,3,FALSE)</f>
        <v>#N/A</v>
      </c>
      <c r="F684" t="e">
        <f>VLOOKUP(B684,'[1]Base de datos'!$B:$E,4,FALSE)</f>
        <v>#N/A</v>
      </c>
    </row>
    <row r="685" spans="2:6" x14ac:dyDescent="0.25">
      <c r="B685" s="28"/>
      <c r="C685" s="19"/>
      <c r="D685" s="5" t="e">
        <f>VLOOKUP(B685,'[1]Base de datos'!$B:$F,2,FALSE)</f>
        <v>#N/A</v>
      </c>
      <c r="E685" t="e">
        <f>VLOOKUP(B685,'[1]Base de datos'!$B:$E,3,FALSE)</f>
        <v>#N/A</v>
      </c>
      <c r="F685" t="e">
        <f>VLOOKUP(B685,'[1]Base de datos'!$B:$E,4,FALSE)</f>
        <v>#N/A</v>
      </c>
    </row>
    <row r="686" spans="2:6" x14ac:dyDescent="0.25">
      <c r="B686" s="28"/>
      <c r="C686" s="19"/>
      <c r="D686" s="5" t="e">
        <f>VLOOKUP(B686,'[1]Base de datos'!$B:$F,2,FALSE)</f>
        <v>#N/A</v>
      </c>
      <c r="E686" t="e">
        <f>VLOOKUP(B686,'[1]Base de datos'!$B:$E,3,FALSE)</f>
        <v>#N/A</v>
      </c>
      <c r="F686" t="e">
        <f>VLOOKUP(B686,'[1]Base de datos'!$B:$E,4,FALSE)</f>
        <v>#N/A</v>
      </c>
    </row>
    <row r="687" spans="2:6" x14ac:dyDescent="0.25">
      <c r="B687" s="28"/>
      <c r="C687" s="19"/>
      <c r="D687" s="5" t="e">
        <f>VLOOKUP(B687,'[1]Base de datos'!$B:$F,2,FALSE)</f>
        <v>#N/A</v>
      </c>
      <c r="E687" t="e">
        <f>VLOOKUP(B687,'[1]Base de datos'!$B:$E,3,FALSE)</f>
        <v>#N/A</v>
      </c>
      <c r="F687" t="e">
        <f>VLOOKUP(B687,'[1]Base de datos'!$B:$E,4,FALSE)</f>
        <v>#N/A</v>
      </c>
    </row>
    <row r="688" spans="2:6" x14ac:dyDescent="0.25">
      <c r="B688" s="28"/>
      <c r="C688" s="19"/>
      <c r="D688" s="5" t="e">
        <f>VLOOKUP(B688,'[1]Base de datos'!$B:$F,2,FALSE)</f>
        <v>#N/A</v>
      </c>
      <c r="E688" t="e">
        <f>VLOOKUP(B688,'[1]Base de datos'!$B:$E,3,FALSE)</f>
        <v>#N/A</v>
      </c>
      <c r="F688" t="e">
        <f>VLOOKUP(B688,'[1]Base de datos'!$B:$E,4,FALSE)</f>
        <v>#N/A</v>
      </c>
    </row>
    <row r="689" spans="2:6" x14ac:dyDescent="0.25">
      <c r="B689" s="28"/>
      <c r="C689" s="19"/>
      <c r="D689" s="5" t="e">
        <f>VLOOKUP(B689,'[1]Base de datos'!$B:$F,2,FALSE)</f>
        <v>#N/A</v>
      </c>
      <c r="E689" t="e">
        <f>VLOOKUP(B689,'[1]Base de datos'!$B:$E,3,FALSE)</f>
        <v>#N/A</v>
      </c>
      <c r="F689" t="e">
        <f>VLOOKUP(B689,'[1]Base de datos'!$B:$E,4,FALSE)</f>
        <v>#N/A</v>
      </c>
    </row>
    <row r="690" spans="2:6" x14ac:dyDescent="0.25">
      <c r="B690" s="28"/>
      <c r="C690" s="19"/>
      <c r="D690" s="5" t="e">
        <f>VLOOKUP(B690,'[1]Base de datos'!$B:$F,2,FALSE)</f>
        <v>#N/A</v>
      </c>
      <c r="E690" t="e">
        <f>VLOOKUP(B690,'[1]Base de datos'!$B:$E,3,FALSE)</f>
        <v>#N/A</v>
      </c>
      <c r="F690" t="e">
        <f>VLOOKUP(B690,'[1]Base de datos'!$B:$E,4,FALSE)</f>
        <v>#N/A</v>
      </c>
    </row>
    <row r="691" spans="2:6" x14ac:dyDescent="0.25">
      <c r="B691" s="28"/>
      <c r="C691" s="19"/>
      <c r="D691" s="5" t="e">
        <f>VLOOKUP(B691,'[1]Base de datos'!$B:$F,2,FALSE)</f>
        <v>#N/A</v>
      </c>
      <c r="E691" t="e">
        <f>VLOOKUP(B691,'[1]Base de datos'!$B:$E,3,FALSE)</f>
        <v>#N/A</v>
      </c>
      <c r="F691" t="e">
        <f>VLOOKUP(B691,'[1]Base de datos'!$B:$E,4,FALSE)</f>
        <v>#N/A</v>
      </c>
    </row>
    <row r="692" spans="2:6" x14ac:dyDescent="0.25">
      <c r="B692" s="28"/>
      <c r="C692" s="19"/>
      <c r="D692" s="5" t="e">
        <f>VLOOKUP(B692,'[1]Base de datos'!$B:$F,2,FALSE)</f>
        <v>#N/A</v>
      </c>
      <c r="E692" t="e">
        <f>VLOOKUP(B692,'[1]Base de datos'!$B:$E,3,FALSE)</f>
        <v>#N/A</v>
      </c>
      <c r="F692" t="e">
        <f>VLOOKUP(B692,'[1]Base de datos'!$B:$E,4,FALSE)</f>
        <v>#N/A</v>
      </c>
    </row>
    <row r="693" spans="2:6" x14ac:dyDescent="0.25">
      <c r="B693" s="28"/>
      <c r="C693" s="19"/>
      <c r="D693" s="5" t="e">
        <f>VLOOKUP(B693,'[1]Base de datos'!$B:$F,2,FALSE)</f>
        <v>#N/A</v>
      </c>
      <c r="E693" t="e">
        <f>VLOOKUP(B693,'[1]Base de datos'!$B:$E,3,FALSE)</f>
        <v>#N/A</v>
      </c>
      <c r="F693" t="e">
        <f>VLOOKUP(B693,'[1]Base de datos'!$B:$E,4,FALSE)</f>
        <v>#N/A</v>
      </c>
    </row>
    <row r="694" spans="2:6" x14ac:dyDescent="0.25">
      <c r="B694" s="28"/>
      <c r="C694" s="19"/>
      <c r="D694" s="5" t="e">
        <f>VLOOKUP(B694,'[1]Base de datos'!$B:$F,2,FALSE)</f>
        <v>#N/A</v>
      </c>
      <c r="E694" t="e">
        <f>VLOOKUP(B694,'[1]Base de datos'!$B:$E,3,FALSE)</f>
        <v>#N/A</v>
      </c>
      <c r="F694" t="e">
        <f>VLOOKUP(B694,'[1]Base de datos'!$B:$E,4,FALSE)</f>
        <v>#N/A</v>
      </c>
    </row>
    <row r="695" spans="2:6" x14ac:dyDescent="0.25">
      <c r="B695" s="28"/>
      <c r="C695" s="19"/>
      <c r="D695" s="5" t="e">
        <f>VLOOKUP(B695,'[1]Base de datos'!$B:$F,2,FALSE)</f>
        <v>#N/A</v>
      </c>
      <c r="E695" t="e">
        <f>VLOOKUP(B695,'[1]Base de datos'!$B:$E,3,FALSE)</f>
        <v>#N/A</v>
      </c>
      <c r="F695" t="e">
        <f>VLOOKUP(B695,'[1]Base de datos'!$B:$E,4,FALSE)</f>
        <v>#N/A</v>
      </c>
    </row>
    <row r="696" spans="2:6" x14ac:dyDescent="0.25">
      <c r="B696" s="28"/>
      <c r="C696" s="19"/>
      <c r="D696" s="5" t="e">
        <f>VLOOKUP(B696,'[1]Base de datos'!$B:$F,2,FALSE)</f>
        <v>#N/A</v>
      </c>
      <c r="E696" t="e">
        <f>VLOOKUP(B696,'[1]Base de datos'!$B:$E,3,FALSE)</f>
        <v>#N/A</v>
      </c>
      <c r="F696" t="e">
        <f>VLOOKUP(B696,'[1]Base de datos'!$B:$E,4,FALSE)</f>
        <v>#N/A</v>
      </c>
    </row>
    <row r="697" spans="2:6" x14ac:dyDescent="0.25">
      <c r="B697" s="28"/>
      <c r="C697" s="19"/>
      <c r="D697" s="5" t="e">
        <f>VLOOKUP(B697,'[1]Base de datos'!$B:$F,2,FALSE)</f>
        <v>#N/A</v>
      </c>
      <c r="E697" t="e">
        <f>VLOOKUP(B697,'[1]Base de datos'!$B:$E,3,FALSE)</f>
        <v>#N/A</v>
      </c>
      <c r="F697" t="e">
        <f>VLOOKUP(B697,'[1]Base de datos'!$B:$E,4,FALSE)</f>
        <v>#N/A</v>
      </c>
    </row>
    <row r="698" spans="2:6" x14ac:dyDescent="0.25">
      <c r="B698" s="28"/>
      <c r="C698" s="19"/>
      <c r="D698" s="5" t="e">
        <f>VLOOKUP(B698,'[1]Base de datos'!$B:$F,2,FALSE)</f>
        <v>#N/A</v>
      </c>
      <c r="E698" t="e">
        <f>VLOOKUP(B698,'[1]Base de datos'!$B:$E,3,FALSE)</f>
        <v>#N/A</v>
      </c>
      <c r="F698" t="e">
        <f>VLOOKUP(B698,'[1]Base de datos'!$B:$E,4,FALSE)</f>
        <v>#N/A</v>
      </c>
    </row>
    <row r="699" spans="2:6" x14ac:dyDescent="0.25">
      <c r="B699" s="28"/>
      <c r="C699" s="19"/>
      <c r="D699" s="5" t="e">
        <f>VLOOKUP(B699,'[1]Base de datos'!$B:$F,2,FALSE)</f>
        <v>#N/A</v>
      </c>
      <c r="E699" t="e">
        <f>VLOOKUP(B699,'[1]Base de datos'!$B:$E,3,FALSE)</f>
        <v>#N/A</v>
      </c>
      <c r="F699" t="e">
        <f>VLOOKUP(B699,'[1]Base de datos'!$B:$E,4,FALSE)</f>
        <v>#N/A</v>
      </c>
    </row>
    <row r="700" spans="2:6" x14ac:dyDescent="0.25">
      <c r="B700" s="28"/>
      <c r="C700" s="19"/>
      <c r="D700" s="5" t="e">
        <f>VLOOKUP(B700,'[1]Base de datos'!$B:$F,2,FALSE)</f>
        <v>#N/A</v>
      </c>
      <c r="E700" t="e">
        <f>VLOOKUP(B700,'[1]Base de datos'!$B:$E,3,FALSE)</f>
        <v>#N/A</v>
      </c>
      <c r="F700" t="e">
        <f>VLOOKUP(B700,'[1]Base de datos'!$B:$E,4,FALSE)</f>
        <v>#N/A</v>
      </c>
    </row>
    <row r="701" spans="2:6" x14ac:dyDescent="0.25">
      <c r="B701" s="28"/>
      <c r="C701" s="19"/>
      <c r="D701" s="5" t="e">
        <f>VLOOKUP(B701,'[1]Base de datos'!$B:$F,2,FALSE)</f>
        <v>#N/A</v>
      </c>
      <c r="E701" t="e">
        <f>VLOOKUP(B701,'[1]Base de datos'!$B:$E,3,FALSE)</f>
        <v>#N/A</v>
      </c>
      <c r="F701" t="e">
        <f>VLOOKUP(B701,'[1]Base de datos'!$B:$E,4,FALSE)</f>
        <v>#N/A</v>
      </c>
    </row>
    <row r="702" spans="2:6" x14ac:dyDescent="0.25">
      <c r="B702" s="28"/>
      <c r="C702" s="19"/>
      <c r="D702" s="5" t="e">
        <f>VLOOKUP(B702,'[1]Base de datos'!$B:$F,2,FALSE)</f>
        <v>#N/A</v>
      </c>
      <c r="E702" t="e">
        <f>VLOOKUP(B702,'[1]Base de datos'!$B:$E,3,FALSE)</f>
        <v>#N/A</v>
      </c>
      <c r="F702" t="e">
        <f>VLOOKUP(B702,'[1]Base de datos'!$B:$E,4,FALSE)</f>
        <v>#N/A</v>
      </c>
    </row>
    <row r="703" spans="2:6" x14ac:dyDescent="0.25">
      <c r="B703" s="28"/>
      <c r="C703" s="19"/>
      <c r="D703" s="5" t="e">
        <f>VLOOKUP(B703,'[1]Base de datos'!$B:$F,2,FALSE)</f>
        <v>#N/A</v>
      </c>
      <c r="E703" t="e">
        <f>VLOOKUP(B703,'[1]Base de datos'!$B:$E,3,FALSE)</f>
        <v>#N/A</v>
      </c>
      <c r="F703" t="e">
        <f>VLOOKUP(B703,'[1]Base de datos'!$B:$E,4,FALSE)</f>
        <v>#N/A</v>
      </c>
    </row>
    <row r="704" spans="2:6" x14ac:dyDescent="0.25">
      <c r="B704" s="28"/>
      <c r="C704" s="19"/>
      <c r="D704" s="5" t="e">
        <f>VLOOKUP(B704,'[1]Base de datos'!$B:$F,2,FALSE)</f>
        <v>#N/A</v>
      </c>
      <c r="E704" t="e">
        <f>VLOOKUP(B704,'[1]Base de datos'!$B:$E,3,FALSE)</f>
        <v>#N/A</v>
      </c>
      <c r="F704" t="e">
        <f>VLOOKUP(B704,'[1]Base de datos'!$B:$E,4,FALSE)</f>
        <v>#N/A</v>
      </c>
    </row>
    <row r="705" spans="2:6" x14ac:dyDescent="0.25">
      <c r="B705" s="28"/>
      <c r="C705" s="19"/>
      <c r="D705" s="5" t="e">
        <f>VLOOKUP(B705,'[1]Base de datos'!$B:$F,2,FALSE)</f>
        <v>#N/A</v>
      </c>
      <c r="E705" t="e">
        <f>VLOOKUP(B705,'[1]Base de datos'!$B:$E,3,FALSE)</f>
        <v>#N/A</v>
      </c>
      <c r="F705" t="e">
        <f>VLOOKUP(B705,'[1]Base de datos'!$B:$E,4,FALSE)</f>
        <v>#N/A</v>
      </c>
    </row>
    <row r="706" spans="2:6" x14ac:dyDescent="0.25">
      <c r="B706" s="28"/>
      <c r="C706" s="19"/>
      <c r="D706" s="5" t="e">
        <f>VLOOKUP(B706,'[1]Base de datos'!$B:$F,2,FALSE)</f>
        <v>#N/A</v>
      </c>
      <c r="E706" t="e">
        <f>VLOOKUP(B706,'[1]Base de datos'!$B:$E,3,FALSE)</f>
        <v>#N/A</v>
      </c>
      <c r="F706" t="e">
        <f>VLOOKUP(B706,'[1]Base de datos'!$B:$E,4,FALSE)</f>
        <v>#N/A</v>
      </c>
    </row>
    <row r="707" spans="2:6" x14ac:dyDescent="0.25">
      <c r="B707" s="28"/>
      <c r="C707" s="19"/>
      <c r="D707" s="5" t="e">
        <f>VLOOKUP(B707,'[1]Base de datos'!$B:$F,2,FALSE)</f>
        <v>#N/A</v>
      </c>
      <c r="E707" t="e">
        <f>VLOOKUP(B707,'[1]Base de datos'!$B:$E,3,FALSE)</f>
        <v>#N/A</v>
      </c>
      <c r="F707" t="e">
        <f>VLOOKUP(B707,'[1]Base de datos'!$B:$E,4,FALSE)</f>
        <v>#N/A</v>
      </c>
    </row>
    <row r="708" spans="2:6" x14ac:dyDescent="0.25">
      <c r="B708" s="28"/>
      <c r="C708" s="19"/>
      <c r="D708" s="5" t="e">
        <f>VLOOKUP(B708,'[1]Base de datos'!$B:$F,2,FALSE)</f>
        <v>#N/A</v>
      </c>
      <c r="E708" t="e">
        <f>VLOOKUP(B708,'[1]Base de datos'!$B:$E,3,FALSE)</f>
        <v>#N/A</v>
      </c>
      <c r="F708" t="e">
        <f>VLOOKUP(B708,'[1]Base de datos'!$B:$E,4,FALSE)</f>
        <v>#N/A</v>
      </c>
    </row>
    <row r="709" spans="2:6" x14ac:dyDescent="0.25">
      <c r="B709" s="28"/>
      <c r="C709" s="19"/>
      <c r="D709" s="5" t="e">
        <f>VLOOKUP(B709,'[1]Base de datos'!$B:$F,2,FALSE)</f>
        <v>#N/A</v>
      </c>
      <c r="E709" t="e">
        <f>VLOOKUP(B709,'[1]Base de datos'!$B:$E,3,FALSE)</f>
        <v>#N/A</v>
      </c>
      <c r="F709" t="e">
        <f>VLOOKUP(B709,'[1]Base de datos'!$B:$E,4,FALSE)</f>
        <v>#N/A</v>
      </c>
    </row>
    <row r="710" spans="2:6" x14ac:dyDescent="0.25">
      <c r="B710" s="28"/>
      <c r="C710" s="19"/>
      <c r="D710" s="5" t="e">
        <f>VLOOKUP(B710,'[1]Base de datos'!$B:$F,2,FALSE)</f>
        <v>#N/A</v>
      </c>
      <c r="E710" t="e">
        <f>VLOOKUP(B710,'[1]Base de datos'!$B:$E,3,FALSE)</f>
        <v>#N/A</v>
      </c>
      <c r="F710" t="e">
        <f>VLOOKUP(B710,'[1]Base de datos'!$B:$E,4,FALSE)</f>
        <v>#N/A</v>
      </c>
    </row>
    <row r="711" spans="2:6" x14ac:dyDescent="0.25">
      <c r="B711" s="28"/>
      <c r="C711" s="19"/>
      <c r="D711" s="5" t="e">
        <f>VLOOKUP(B711,'[1]Base de datos'!$B:$F,2,FALSE)</f>
        <v>#N/A</v>
      </c>
      <c r="E711" t="e">
        <f>VLOOKUP(B711,'[1]Base de datos'!$B:$E,3,FALSE)</f>
        <v>#N/A</v>
      </c>
      <c r="F711" t="e">
        <f>VLOOKUP(B711,'[1]Base de datos'!$B:$E,4,FALSE)</f>
        <v>#N/A</v>
      </c>
    </row>
    <row r="712" spans="2:6" x14ac:dyDescent="0.25">
      <c r="B712" s="28"/>
      <c r="C712" s="19"/>
      <c r="D712" s="5" t="e">
        <f>VLOOKUP(B712,'[1]Base de datos'!$B:$F,2,FALSE)</f>
        <v>#N/A</v>
      </c>
      <c r="E712" t="e">
        <f>VLOOKUP(B712,'[1]Base de datos'!$B:$E,3,FALSE)</f>
        <v>#N/A</v>
      </c>
      <c r="F712" t="e">
        <f>VLOOKUP(B712,'[1]Base de datos'!$B:$E,4,FALSE)</f>
        <v>#N/A</v>
      </c>
    </row>
    <row r="713" spans="2:6" x14ac:dyDescent="0.25">
      <c r="B713" s="28"/>
      <c r="C713" s="19"/>
      <c r="D713" s="5" t="e">
        <f>VLOOKUP(B713,'[1]Base de datos'!$B:$F,2,FALSE)</f>
        <v>#N/A</v>
      </c>
      <c r="E713" t="e">
        <f>VLOOKUP(B713,'[1]Base de datos'!$B:$E,3,FALSE)</f>
        <v>#N/A</v>
      </c>
      <c r="F713" t="e">
        <f>VLOOKUP(B713,'[1]Base de datos'!$B:$E,4,FALSE)</f>
        <v>#N/A</v>
      </c>
    </row>
    <row r="714" spans="2:6" x14ac:dyDescent="0.25">
      <c r="B714" s="28"/>
      <c r="C714" s="19"/>
      <c r="D714" s="5" t="e">
        <f>VLOOKUP(B714,'[1]Base de datos'!$B:$F,2,FALSE)</f>
        <v>#N/A</v>
      </c>
      <c r="E714" t="e">
        <f>VLOOKUP(B714,'[1]Base de datos'!$B:$E,3,FALSE)</f>
        <v>#N/A</v>
      </c>
      <c r="F714" t="e">
        <f>VLOOKUP(B714,'[1]Base de datos'!$B:$E,4,FALSE)</f>
        <v>#N/A</v>
      </c>
    </row>
    <row r="715" spans="2:6" x14ac:dyDescent="0.25">
      <c r="B715" s="28"/>
      <c r="C715" s="19"/>
      <c r="D715" s="5" t="e">
        <f>VLOOKUP(B715,'[1]Base de datos'!$B:$F,2,FALSE)</f>
        <v>#N/A</v>
      </c>
      <c r="E715" t="e">
        <f>VLOOKUP(B715,'[1]Base de datos'!$B:$E,3,FALSE)</f>
        <v>#N/A</v>
      </c>
      <c r="F715" t="e">
        <f>VLOOKUP(B715,'[1]Base de datos'!$B:$E,4,FALSE)</f>
        <v>#N/A</v>
      </c>
    </row>
    <row r="716" spans="2:6" x14ac:dyDescent="0.25">
      <c r="B716" s="28"/>
      <c r="C716" s="19"/>
      <c r="D716" s="5" t="e">
        <f>VLOOKUP(B716,'[1]Base de datos'!$B:$F,2,FALSE)</f>
        <v>#N/A</v>
      </c>
      <c r="E716" t="e">
        <f>VLOOKUP(B716,'[1]Base de datos'!$B:$E,3,FALSE)</f>
        <v>#N/A</v>
      </c>
      <c r="F716" t="e">
        <f>VLOOKUP(B716,'[1]Base de datos'!$B:$E,4,FALSE)</f>
        <v>#N/A</v>
      </c>
    </row>
    <row r="717" spans="2:6" x14ac:dyDescent="0.25">
      <c r="B717" s="28"/>
      <c r="C717" s="19"/>
      <c r="D717" s="5" t="e">
        <f>VLOOKUP(B717,'[1]Base de datos'!$B:$F,2,FALSE)</f>
        <v>#N/A</v>
      </c>
      <c r="E717" t="e">
        <f>VLOOKUP(B717,'[1]Base de datos'!$B:$E,3,FALSE)</f>
        <v>#N/A</v>
      </c>
      <c r="F717" t="e">
        <f>VLOOKUP(B717,'[1]Base de datos'!$B:$E,4,FALSE)</f>
        <v>#N/A</v>
      </c>
    </row>
    <row r="718" spans="2:6" x14ac:dyDescent="0.25">
      <c r="B718" s="28"/>
      <c r="C718" s="19"/>
      <c r="D718" s="5" t="e">
        <f>VLOOKUP(B718,'[1]Base de datos'!$B:$F,2,FALSE)</f>
        <v>#N/A</v>
      </c>
      <c r="E718" t="e">
        <f>VLOOKUP(B718,'[1]Base de datos'!$B:$E,3,FALSE)</f>
        <v>#N/A</v>
      </c>
      <c r="F718" t="e">
        <f>VLOOKUP(B718,'[1]Base de datos'!$B:$E,4,FALSE)</f>
        <v>#N/A</v>
      </c>
    </row>
    <row r="719" spans="2:6" x14ac:dyDescent="0.25">
      <c r="B719" s="28"/>
      <c r="C719" s="19"/>
      <c r="D719" s="5" t="e">
        <f>VLOOKUP(B719,'[1]Base de datos'!$B:$F,2,FALSE)</f>
        <v>#N/A</v>
      </c>
      <c r="E719" t="e">
        <f>VLOOKUP(B719,'[1]Base de datos'!$B:$E,3,FALSE)</f>
        <v>#N/A</v>
      </c>
      <c r="F719" t="e">
        <f>VLOOKUP(B719,'[1]Base de datos'!$B:$E,4,FALSE)</f>
        <v>#N/A</v>
      </c>
    </row>
    <row r="720" spans="2:6" x14ac:dyDescent="0.25">
      <c r="B720" s="28"/>
      <c r="C720" s="19"/>
      <c r="D720" s="5" t="e">
        <f>VLOOKUP(B720,'[1]Base de datos'!$B:$F,2,FALSE)</f>
        <v>#N/A</v>
      </c>
      <c r="E720" t="e">
        <f>VLOOKUP(B720,'[1]Base de datos'!$B:$E,3,FALSE)</f>
        <v>#N/A</v>
      </c>
      <c r="F720" t="e">
        <f>VLOOKUP(B720,'[1]Base de datos'!$B:$E,4,FALSE)</f>
        <v>#N/A</v>
      </c>
    </row>
    <row r="721" spans="2:6" x14ac:dyDescent="0.25">
      <c r="B721" s="28"/>
      <c r="C721" s="19"/>
      <c r="D721" s="5" t="e">
        <f>VLOOKUP(B721,'[1]Base de datos'!$B:$F,2,FALSE)</f>
        <v>#N/A</v>
      </c>
      <c r="E721" t="e">
        <f>VLOOKUP(B721,'[1]Base de datos'!$B:$E,3,FALSE)</f>
        <v>#N/A</v>
      </c>
      <c r="F721" t="e">
        <f>VLOOKUP(B721,'[1]Base de datos'!$B:$E,4,FALSE)</f>
        <v>#N/A</v>
      </c>
    </row>
    <row r="722" spans="2:6" x14ac:dyDescent="0.25">
      <c r="B722" s="28"/>
      <c r="C722" s="19"/>
      <c r="D722" s="5" t="e">
        <f>VLOOKUP(B722,'[1]Base de datos'!$B:$F,2,FALSE)</f>
        <v>#N/A</v>
      </c>
      <c r="E722" t="e">
        <f>VLOOKUP(B722,'[1]Base de datos'!$B:$E,3,FALSE)</f>
        <v>#N/A</v>
      </c>
      <c r="F722" t="e">
        <f>VLOOKUP(B722,'[1]Base de datos'!$B:$E,4,FALSE)</f>
        <v>#N/A</v>
      </c>
    </row>
    <row r="723" spans="2:6" x14ac:dyDescent="0.25">
      <c r="B723" s="28"/>
      <c r="C723" s="19"/>
      <c r="D723" s="5" t="e">
        <f>VLOOKUP(B723,'[1]Base de datos'!$B:$F,2,FALSE)</f>
        <v>#N/A</v>
      </c>
      <c r="E723" t="e">
        <f>VLOOKUP(B723,'[1]Base de datos'!$B:$E,3,FALSE)</f>
        <v>#N/A</v>
      </c>
      <c r="F723" t="e">
        <f>VLOOKUP(B723,'[1]Base de datos'!$B:$E,4,FALSE)</f>
        <v>#N/A</v>
      </c>
    </row>
    <row r="724" spans="2:6" x14ac:dyDescent="0.25">
      <c r="B724" s="28"/>
      <c r="C724" s="19"/>
      <c r="D724" s="5" t="e">
        <f>VLOOKUP(B724,'[1]Base de datos'!$B:$F,2,FALSE)</f>
        <v>#N/A</v>
      </c>
      <c r="E724" t="e">
        <f>VLOOKUP(B724,'[1]Base de datos'!$B:$E,3,FALSE)</f>
        <v>#N/A</v>
      </c>
      <c r="F724" t="e">
        <f>VLOOKUP(B724,'[1]Base de datos'!$B:$E,4,FALSE)</f>
        <v>#N/A</v>
      </c>
    </row>
    <row r="725" spans="2:6" x14ac:dyDescent="0.25">
      <c r="B725" s="28"/>
      <c r="C725" s="19"/>
      <c r="D725" s="5" t="e">
        <f>VLOOKUP(B725,'[1]Base de datos'!$B:$F,2,FALSE)</f>
        <v>#N/A</v>
      </c>
      <c r="E725" t="e">
        <f>VLOOKUP(B725,'[1]Base de datos'!$B:$E,3,FALSE)</f>
        <v>#N/A</v>
      </c>
      <c r="F725" t="e">
        <f>VLOOKUP(B725,'[1]Base de datos'!$B:$E,4,FALSE)</f>
        <v>#N/A</v>
      </c>
    </row>
    <row r="726" spans="2:6" x14ac:dyDescent="0.25">
      <c r="B726" s="28"/>
      <c r="C726" s="19"/>
      <c r="D726" s="5" t="e">
        <f>VLOOKUP(B726,'[1]Base de datos'!$B:$F,2,FALSE)</f>
        <v>#N/A</v>
      </c>
      <c r="E726" t="e">
        <f>VLOOKUP(B726,'[1]Base de datos'!$B:$E,3,FALSE)</f>
        <v>#N/A</v>
      </c>
      <c r="F726" t="e">
        <f>VLOOKUP(B726,'[1]Base de datos'!$B:$E,4,FALSE)</f>
        <v>#N/A</v>
      </c>
    </row>
    <row r="727" spans="2:6" x14ac:dyDescent="0.25">
      <c r="B727" s="28"/>
      <c r="C727" s="19"/>
      <c r="D727" s="5" t="e">
        <f>VLOOKUP(B727,'[1]Base de datos'!$B:$F,2,FALSE)</f>
        <v>#N/A</v>
      </c>
      <c r="E727" t="e">
        <f>VLOOKUP(B727,'[1]Base de datos'!$B:$E,3,FALSE)</f>
        <v>#N/A</v>
      </c>
      <c r="F727" t="e">
        <f>VLOOKUP(B727,'[1]Base de datos'!$B:$E,4,FALSE)</f>
        <v>#N/A</v>
      </c>
    </row>
    <row r="728" spans="2:6" x14ac:dyDescent="0.25">
      <c r="B728" s="28"/>
      <c r="C728" s="19"/>
      <c r="D728" s="5" t="e">
        <f>VLOOKUP(B728,'[1]Base de datos'!$B:$F,2,FALSE)</f>
        <v>#N/A</v>
      </c>
      <c r="E728" t="e">
        <f>VLOOKUP(B728,'[1]Base de datos'!$B:$E,3,FALSE)</f>
        <v>#N/A</v>
      </c>
      <c r="F728" t="e">
        <f>VLOOKUP(B728,'[1]Base de datos'!$B:$E,4,FALSE)</f>
        <v>#N/A</v>
      </c>
    </row>
    <row r="729" spans="2:6" x14ac:dyDescent="0.25">
      <c r="B729" s="28"/>
      <c r="C729" s="19"/>
      <c r="D729" s="5" t="e">
        <f>VLOOKUP(B729,'[1]Base de datos'!$B:$F,2,FALSE)</f>
        <v>#N/A</v>
      </c>
      <c r="E729" t="e">
        <f>VLOOKUP(B729,'[1]Base de datos'!$B:$E,3,FALSE)</f>
        <v>#N/A</v>
      </c>
      <c r="F729" t="e">
        <f>VLOOKUP(B729,'[1]Base de datos'!$B:$E,4,FALSE)</f>
        <v>#N/A</v>
      </c>
    </row>
    <row r="730" spans="2:6" x14ac:dyDescent="0.25">
      <c r="B730" s="28"/>
      <c r="C730" s="19"/>
      <c r="D730" s="5" t="e">
        <f>VLOOKUP(B730,'[1]Base de datos'!$B:$F,2,FALSE)</f>
        <v>#N/A</v>
      </c>
      <c r="E730" t="e">
        <f>VLOOKUP(B730,'[1]Base de datos'!$B:$E,3,FALSE)</f>
        <v>#N/A</v>
      </c>
      <c r="F730" t="e">
        <f>VLOOKUP(B730,'[1]Base de datos'!$B:$E,4,FALSE)</f>
        <v>#N/A</v>
      </c>
    </row>
    <row r="731" spans="2:6" x14ac:dyDescent="0.25">
      <c r="B731" s="28"/>
      <c r="C731" s="19"/>
      <c r="D731" s="5" t="e">
        <f>VLOOKUP(B731,'[1]Base de datos'!$B:$F,2,FALSE)</f>
        <v>#N/A</v>
      </c>
      <c r="E731" t="e">
        <f>VLOOKUP(B731,'[1]Base de datos'!$B:$E,3,FALSE)</f>
        <v>#N/A</v>
      </c>
      <c r="F731" t="e">
        <f>VLOOKUP(B731,'[1]Base de datos'!$B:$E,4,FALSE)</f>
        <v>#N/A</v>
      </c>
    </row>
    <row r="732" spans="2:6" x14ac:dyDescent="0.25">
      <c r="B732" s="28"/>
      <c r="C732" s="19"/>
      <c r="D732" s="5" t="e">
        <f>VLOOKUP(B732,'[1]Base de datos'!$B:$F,2,FALSE)</f>
        <v>#N/A</v>
      </c>
      <c r="E732" t="e">
        <f>VLOOKUP(B732,'[1]Base de datos'!$B:$E,3,FALSE)</f>
        <v>#N/A</v>
      </c>
      <c r="F732" t="e">
        <f>VLOOKUP(B732,'[1]Base de datos'!$B:$E,4,FALSE)</f>
        <v>#N/A</v>
      </c>
    </row>
    <row r="733" spans="2:6" x14ac:dyDescent="0.25">
      <c r="B733" s="28"/>
      <c r="C733" s="19"/>
      <c r="D733" s="5" t="e">
        <f>VLOOKUP(B733,'[1]Base de datos'!$B:$F,2,FALSE)</f>
        <v>#N/A</v>
      </c>
      <c r="E733" t="e">
        <f>VLOOKUP(B733,'[1]Base de datos'!$B:$E,3,FALSE)</f>
        <v>#N/A</v>
      </c>
      <c r="F733" t="e">
        <f>VLOOKUP(B733,'[1]Base de datos'!$B:$E,4,FALSE)</f>
        <v>#N/A</v>
      </c>
    </row>
    <row r="734" spans="2:6" x14ac:dyDescent="0.25">
      <c r="B734" s="28"/>
      <c r="C734" s="19"/>
      <c r="D734" s="5" t="e">
        <f>VLOOKUP(B734,'[1]Base de datos'!$B:$F,2,FALSE)</f>
        <v>#N/A</v>
      </c>
      <c r="E734" t="e">
        <f>VLOOKUP(B734,'[1]Base de datos'!$B:$E,3,FALSE)</f>
        <v>#N/A</v>
      </c>
      <c r="F734" t="e">
        <f>VLOOKUP(B734,'[1]Base de datos'!$B:$E,4,FALSE)</f>
        <v>#N/A</v>
      </c>
    </row>
    <row r="735" spans="2:6" x14ac:dyDescent="0.25">
      <c r="B735" s="28"/>
      <c r="C735" s="19"/>
      <c r="D735" s="5" t="e">
        <f>VLOOKUP(B735,'[1]Base de datos'!$B:$F,2,FALSE)</f>
        <v>#N/A</v>
      </c>
      <c r="E735" t="e">
        <f>VLOOKUP(B735,'[1]Base de datos'!$B:$E,3,FALSE)</f>
        <v>#N/A</v>
      </c>
      <c r="F735" t="e">
        <f>VLOOKUP(B735,'[1]Base de datos'!$B:$E,4,FALSE)</f>
        <v>#N/A</v>
      </c>
    </row>
    <row r="736" spans="2:6" x14ac:dyDescent="0.25">
      <c r="B736" s="28"/>
      <c r="C736" s="19"/>
      <c r="D736" s="5" t="e">
        <f>VLOOKUP(B736,'[1]Base de datos'!$B:$F,2,FALSE)</f>
        <v>#N/A</v>
      </c>
      <c r="E736" t="e">
        <f>VLOOKUP(B736,'[1]Base de datos'!$B:$E,3,FALSE)</f>
        <v>#N/A</v>
      </c>
      <c r="F736" t="e">
        <f>VLOOKUP(B736,'[1]Base de datos'!$B:$E,4,FALSE)</f>
        <v>#N/A</v>
      </c>
    </row>
    <row r="737" spans="2:6" x14ac:dyDescent="0.25">
      <c r="B737" s="28"/>
      <c r="C737" s="19"/>
      <c r="D737" s="5" t="e">
        <f>VLOOKUP(B737,'[1]Base de datos'!$B:$F,2,FALSE)</f>
        <v>#N/A</v>
      </c>
      <c r="E737" t="e">
        <f>VLOOKUP(B737,'[1]Base de datos'!$B:$E,3,FALSE)</f>
        <v>#N/A</v>
      </c>
      <c r="F737" t="e">
        <f>VLOOKUP(B737,'[1]Base de datos'!$B:$E,4,FALSE)</f>
        <v>#N/A</v>
      </c>
    </row>
    <row r="738" spans="2:6" x14ac:dyDescent="0.25">
      <c r="B738" s="28"/>
      <c r="C738" s="19"/>
      <c r="D738" s="5" t="e">
        <f>VLOOKUP(B738,'[1]Base de datos'!$B:$F,2,FALSE)</f>
        <v>#N/A</v>
      </c>
      <c r="E738" t="e">
        <f>VLOOKUP(B738,'[1]Base de datos'!$B:$E,3,FALSE)</f>
        <v>#N/A</v>
      </c>
      <c r="F738" t="e">
        <f>VLOOKUP(B738,'[1]Base de datos'!$B:$E,4,FALSE)</f>
        <v>#N/A</v>
      </c>
    </row>
    <row r="739" spans="2:6" x14ac:dyDescent="0.25">
      <c r="B739" s="28"/>
      <c r="C739" s="19"/>
      <c r="D739" s="5" t="e">
        <f>VLOOKUP(B739,'[1]Base de datos'!$B:$F,2,FALSE)</f>
        <v>#N/A</v>
      </c>
      <c r="E739" t="e">
        <f>VLOOKUP(B739,'[1]Base de datos'!$B:$E,3,FALSE)</f>
        <v>#N/A</v>
      </c>
      <c r="F739" t="e">
        <f>VLOOKUP(B739,'[1]Base de datos'!$B:$E,4,FALSE)</f>
        <v>#N/A</v>
      </c>
    </row>
    <row r="740" spans="2:6" x14ac:dyDescent="0.25">
      <c r="B740" s="28"/>
      <c r="C740" s="19"/>
      <c r="D740" s="5" t="e">
        <f>VLOOKUP(B740,'[1]Base de datos'!$B:$F,2,FALSE)</f>
        <v>#N/A</v>
      </c>
      <c r="E740" t="e">
        <f>VLOOKUP(B740,'[1]Base de datos'!$B:$E,3,FALSE)</f>
        <v>#N/A</v>
      </c>
      <c r="F740" t="e">
        <f>VLOOKUP(B740,'[1]Base de datos'!$B:$E,4,FALSE)</f>
        <v>#N/A</v>
      </c>
    </row>
    <row r="741" spans="2:6" x14ac:dyDescent="0.25">
      <c r="B741" s="28"/>
      <c r="C741" s="19"/>
      <c r="D741" s="5" t="e">
        <f>VLOOKUP(B741,'[1]Base de datos'!$B:$F,2,FALSE)</f>
        <v>#N/A</v>
      </c>
      <c r="E741" t="e">
        <f>VLOOKUP(B741,'[1]Base de datos'!$B:$E,3,FALSE)</f>
        <v>#N/A</v>
      </c>
      <c r="F741" t="e">
        <f>VLOOKUP(B741,'[1]Base de datos'!$B:$E,4,FALSE)</f>
        <v>#N/A</v>
      </c>
    </row>
    <row r="742" spans="2:6" x14ac:dyDescent="0.25">
      <c r="B742" s="28"/>
      <c r="C742" s="19"/>
      <c r="D742" s="5" t="e">
        <f>VLOOKUP(B742,'[1]Base de datos'!$B:$F,2,FALSE)</f>
        <v>#N/A</v>
      </c>
      <c r="E742" t="e">
        <f>VLOOKUP(B742,'[1]Base de datos'!$B:$E,3,FALSE)</f>
        <v>#N/A</v>
      </c>
      <c r="F742" t="e">
        <f>VLOOKUP(B742,'[1]Base de datos'!$B:$E,4,FALSE)</f>
        <v>#N/A</v>
      </c>
    </row>
    <row r="743" spans="2:6" x14ac:dyDescent="0.25">
      <c r="B743" s="28"/>
      <c r="C743" s="19"/>
      <c r="D743" s="5" t="e">
        <f>VLOOKUP(B743,'[1]Base de datos'!$B:$F,2,FALSE)</f>
        <v>#N/A</v>
      </c>
      <c r="E743" t="e">
        <f>VLOOKUP(B743,'[1]Base de datos'!$B:$E,3,FALSE)</f>
        <v>#N/A</v>
      </c>
      <c r="F743" t="e">
        <f>VLOOKUP(B743,'[1]Base de datos'!$B:$E,4,FALSE)</f>
        <v>#N/A</v>
      </c>
    </row>
    <row r="744" spans="2:6" x14ac:dyDescent="0.25">
      <c r="B744" s="28"/>
      <c r="C744" s="19"/>
      <c r="D744" s="5" t="e">
        <f>VLOOKUP(B744,'[1]Base de datos'!$B:$F,2,FALSE)</f>
        <v>#N/A</v>
      </c>
      <c r="E744" t="e">
        <f>VLOOKUP(B744,'[1]Base de datos'!$B:$E,3,FALSE)</f>
        <v>#N/A</v>
      </c>
      <c r="F744" t="e">
        <f>VLOOKUP(B744,'[1]Base de datos'!$B:$E,4,FALSE)</f>
        <v>#N/A</v>
      </c>
    </row>
    <row r="745" spans="2:6" x14ac:dyDescent="0.25">
      <c r="B745" s="28"/>
      <c r="C745" s="19"/>
      <c r="D745" s="5" t="e">
        <f>VLOOKUP(B745,'[1]Base de datos'!$B:$F,2,FALSE)</f>
        <v>#N/A</v>
      </c>
      <c r="E745" t="e">
        <f>VLOOKUP(B745,'[1]Base de datos'!$B:$E,3,FALSE)</f>
        <v>#N/A</v>
      </c>
      <c r="F745" t="e">
        <f>VLOOKUP(B745,'[1]Base de datos'!$B:$E,4,FALSE)</f>
        <v>#N/A</v>
      </c>
    </row>
    <row r="746" spans="2:6" x14ac:dyDescent="0.25">
      <c r="B746" s="28"/>
      <c r="C746" s="19"/>
      <c r="D746" s="5" t="e">
        <f>VLOOKUP(B746,'[1]Base de datos'!$B:$F,2,FALSE)</f>
        <v>#N/A</v>
      </c>
      <c r="E746" t="e">
        <f>VLOOKUP(B746,'[1]Base de datos'!$B:$E,3,FALSE)</f>
        <v>#N/A</v>
      </c>
      <c r="F746" t="e">
        <f>VLOOKUP(B746,'[1]Base de datos'!$B:$E,4,FALSE)</f>
        <v>#N/A</v>
      </c>
    </row>
    <row r="747" spans="2:6" x14ac:dyDescent="0.25">
      <c r="B747" s="28"/>
      <c r="C747" s="19"/>
      <c r="D747" s="5" t="e">
        <f>VLOOKUP(B747,'[1]Base de datos'!$B:$F,2,FALSE)</f>
        <v>#N/A</v>
      </c>
      <c r="E747" t="e">
        <f>VLOOKUP(B747,'[1]Base de datos'!$B:$E,3,FALSE)</f>
        <v>#N/A</v>
      </c>
      <c r="F747" t="e">
        <f>VLOOKUP(B747,'[1]Base de datos'!$B:$E,4,FALSE)</f>
        <v>#N/A</v>
      </c>
    </row>
    <row r="748" spans="2:6" x14ac:dyDescent="0.25">
      <c r="B748" s="28"/>
      <c r="C748" s="19"/>
      <c r="D748" s="5" t="e">
        <f>VLOOKUP(B748,'[1]Base de datos'!$B:$F,2,FALSE)</f>
        <v>#N/A</v>
      </c>
      <c r="E748" t="e">
        <f>VLOOKUP(B748,'[1]Base de datos'!$B:$E,3,FALSE)</f>
        <v>#N/A</v>
      </c>
      <c r="F748" t="e">
        <f>VLOOKUP(B748,'[1]Base de datos'!$B:$E,4,FALSE)</f>
        <v>#N/A</v>
      </c>
    </row>
    <row r="749" spans="2:6" x14ac:dyDescent="0.25">
      <c r="B749" s="28"/>
      <c r="C749" s="19"/>
      <c r="D749" s="5" t="e">
        <f>VLOOKUP(B749,'[1]Base de datos'!$B:$F,2,FALSE)</f>
        <v>#N/A</v>
      </c>
      <c r="E749" t="e">
        <f>VLOOKUP(B749,'[1]Base de datos'!$B:$E,3,FALSE)</f>
        <v>#N/A</v>
      </c>
      <c r="F749" t="e">
        <f>VLOOKUP(B749,'[1]Base de datos'!$B:$E,4,FALSE)</f>
        <v>#N/A</v>
      </c>
    </row>
    <row r="750" spans="2:6" x14ac:dyDescent="0.25">
      <c r="B750" s="28"/>
      <c r="C750" s="19"/>
      <c r="D750" s="5" t="e">
        <f>VLOOKUP(B750,'[1]Base de datos'!$B:$F,2,FALSE)</f>
        <v>#N/A</v>
      </c>
      <c r="E750" t="e">
        <f>VLOOKUP(B750,'[1]Base de datos'!$B:$E,3,FALSE)</f>
        <v>#N/A</v>
      </c>
      <c r="F750" t="e">
        <f>VLOOKUP(B750,'[1]Base de datos'!$B:$E,4,FALSE)</f>
        <v>#N/A</v>
      </c>
    </row>
    <row r="751" spans="2:6" x14ac:dyDescent="0.25">
      <c r="B751" s="28"/>
      <c r="C751" s="19"/>
      <c r="D751" s="5" t="e">
        <f>VLOOKUP(B751,'[1]Base de datos'!$B:$F,2,FALSE)</f>
        <v>#N/A</v>
      </c>
      <c r="E751" t="e">
        <f>VLOOKUP(B751,'[1]Base de datos'!$B:$E,3,FALSE)</f>
        <v>#N/A</v>
      </c>
      <c r="F751" t="e">
        <f>VLOOKUP(B751,'[1]Base de datos'!$B:$E,4,FALSE)</f>
        <v>#N/A</v>
      </c>
    </row>
    <row r="752" spans="2:6" x14ac:dyDescent="0.25">
      <c r="B752" s="28"/>
      <c r="C752" s="19"/>
      <c r="D752" s="5" t="e">
        <f>VLOOKUP(B752,'[1]Base de datos'!$B:$F,2,FALSE)</f>
        <v>#N/A</v>
      </c>
      <c r="E752" t="e">
        <f>VLOOKUP(B752,'[1]Base de datos'!$B:$E,3,FALSE)</f>
        <v>#N/A</v>
      </c>
      <c r="F752" t="e">
        <f>VLOOKUP(B752,'[1]Base de datos'!$B:$E,4,FALSE)</f>
        <v>#N/A</v>
      </c>
    </row>
    <row r="753" spans="2:6" x14ac:dyDescent="0.25">
      <c r="B753" s="28"/>
      <c r="C753" s="19"/>
      <c r="D753" s="5" t="e">
        <f>VLOOKUP(B753,'[1]Base de datos'!$B:$F,2,FALSE)</f>
        <v>#N/A</v>
      </c>
      <c r="E753" t="e">
        <f>VLOOKUP(B753,'[1]Base de datos'!$B:$E,3,FALSE)</f>
        <v>#N/A</v>
      </c>
      <c r="F753" t="e">
        <f>VLOOKUP(B753,'[1]Base de datos'!$B:$E,4,FALSE)</f>
        <v>#N/A</v>
      </c>
    </row>
    <row r="754" spans="2:6" x14ac:dyDescent="0.25">
      <c r="B754" s="28"/>
      <c r="C754" s="19"/>
      <c r="D754" s="5" t="e">
        <f>VLOOKUP(B754,'[1]Base de datos'!$B:$F,2,FALSE)</f>
        <v>#N/A</v>
      </c>
      <c r="E754" t="e">
        <f>VLOOKUP(B754,'[1]Base de datos'!$B:$E,3,FALSE)</f>
        <v>#N/A</v>
      </c>
      <c r="F754" t="e">
        <f>VLOOKUP(B754,'[1]Base de datos'!$B:$E,4,FALSE)</f>
        <v>#N/A</v>
      </c>
    </row>
    <row r="755" spans="2:6" x14ac:dyDescent="0.25">
      <c r="B755" s="28"/>
      <c r="C755" s="19"/>
      <c r="D755" s="5" t="e">
        <f>VLOOKUP(B755,'[1]Base de datos'!$B:$F,2,FALSE)</f>
        <v>#N/A</v>
      </c>
      <c r="E755" t="e">
        <f>VLOOKUP(B755,'[1]Base de datos'!$B:$E,3,FALSE)</f>
        <v>#N/A</v>
      </c>
      <c r="F755" t="e">
        <f>VLOOKUP(B755,'[1]Base de datos'!$B:$E,4,FALSE)</f>
        <v>#N/A</v>
      </c>
    </row>
    <row r="756" spans="2:6" x14ac:dyDescent="0.25">
      <c r="B756" s="28"/>
      <c r="C756" s="19"/>
      <c r="D756" s="5" t="e">
        <f>VLOOKUP(B756,'[1]Base de datos'!$B:$F,2,FALSE)</f>
        <v>#N/A</v>
      </c>
      <c r="E756" t="e">
        <f>VLOOKUP(B756,'[1]Base de datos'!$B:$E,3,FALSE)</f>
        <v>#N/A</v>
      </c>
      <c r="F756" t="e">
        <f>VLOOKUP(B756,'[1]Base de datos'!$B:$E,4,FALSE)</f>
        <v>#N/A</v>
      </c>
    </row>
    <row r="757" spans="2:6" x14ac:dyDescent="0.25">
      <c r="B757" s="28"/>
      <c r="C757" s="19"/>
      <c r="D757" s="5" t="e">
        <f>VLOOKUP(B757,'[1]Base de datos'!$B:$F,2,FALSE)</f>
        <v>#N/A</v>
      </c>
      <c r="E757" t="e">
        <f>VLOOKUP(B757,'[1]Base de datos'!$B:$E,3,FALSE)</f>
        <v>#N/A</v>
      </c>
      <c r="F757" t="e">
        <f>VLOOKUP(B757,'[1]Base de datos'!$B:$E,4,FALSE)</f>
        <v>#N/A</v>
      </c>
    </row>
    <row r="758" spans="2:6" x14ac:dyDescent="0.25">
      <c r="B758" s="28"/>
      <c r="C758" s="19"/>
      <c r="D758" s="5" t="e">
        <f>VLOOKUP(B758,'[1]Base de datos'!$B:$F,2,FALSE)</f>
        <v>#N/A</v>
      </c>
      <c r="E758" t="e">
        <f>VLOOKUP(B758,'[1]Base de datos'!$B:$E,3,FALSE)</f>
        <v>#N/A</v>
      </c>
      <c r="F758" t="e">
        <f>VLOOKUP(B758,'[1]Base de datos'!$B:$E,4,FALSE)</f>
        <v>#N/A</v>
      </c>
    </row>
    <row r="759" spans="2:6" x14ac:dyDescent="0.25">
      <c r="B759" s="28"/>
      <c r="C759" s="19"/>
      <c r="D759" s="5" t="e">
        <f>VLOOKUP(B759,'[1]Base de datos'!$B:$F,2,FALSE)</f>
        <v>#N/A</v>
      </c>
      <c r="E759" t="e">
        <f>VLOOKUP(B759,'[1]Base de datos'!$B:$E,3,FALSE)</f>
        <v>#N/A</v>
      </c>
      <c r="F759" t="e">
        <f>VLOOKUP(B759,'[1]Base de datos'!$B:$E,4,FALSE)</f>
        <v>#N/A</v>
      </c>
    </row>
    <row r="760" spans="2:6" x14ac:dyDescent="0.25">
      <c r="B760" s="28"/>
      <c r="C760" s="19"/>
      <c r="D760" s="5" t="e">
        <f>VLOOKUP(B760,'[1]Base de datos'!$B:$F,2,FALSE)</f>
        <v>#N/A</v>
      </c>
      <c r="E760" t="e">
        <f>VLOOKUP(B760,'[1]Base de datos'!$B:$E,3,FALSE)</f>
        <v>#N/A</v>
      </c>
      <c r="F760" t="e">
        <f>VLOOKUP(B760,'[1]Base de datos'!$B:$E,4,FALSE)</f>
        <v>#N/A</v>
      </c>
    </row>
    <row r="761" spans="2:6" x14ac:dyDescent="0.25">
      <c r="B761" s="28"/>
      <c r="C761" s="19"/>
      <c r="D761" s="5" t="e">
        <f>VLOOKUP(B761,'[1]Base de datos'!$B:$F,2,FALSE)</f>
        <v>#N/A</v>
      </c>
      <c r="E761" t="e">
        <f>VLOOKUP(B761,'[1]Base de datos'!$B:$E,3,FALSE)</f>
        <v>#N/A</v>
      </c>
      <c r="F761" t="e">
        <f>VLOOKUP(B761,'[1]Base de datos'!$B:$E,4,FALSE)</f>
        <v>#N/A</v>
      </c>
    </row>
    <row r="762" spans="2:6" x14ac:dyDescent="0.25">
      <c r="B762" s="28"/>
      <c r="C762" s="19"/>
      <c r="D762" s="5" t="e">
        <f>VLOOKUP(B762,'[1]Base de datos'!$B:$F,2,FALSE)</f>
        <v>#N/A</v>
      </c>
      <c r="E762" t="e">
        <f>VLOOKUP(B762,'[1]Base de datos'!$B:$E,3,FALSE)</f>
        <v>#N/A</v>
      </c>
      <c r="F762" t="e">
        <f>VLOOKUP(B762,'[1]Base de datos'!$B:$E,4,FALSE)</f>
        <v>#N/A</v>
      </c>
    </row>
    <row r="763" spans="2:6" x14ac:dyDescent="0.25">
      <c r="B763" s="28"/>
      <c r="C763" s="19"/>
      <c r="D763" s="5" t="e">
        <f>VLOOKUP(B763,'[1]Base de datos'!$B:$F,2,FALSE)</f>
        <v>#N/A</v>
      </c>
      <c r="E763" t="e">
        <f>VLOOKUP(B763,'[1]Base de datos'!$B:$E,3,FALSE)</f>
        <v>#N/A</v>
      </c>
      <c r="F763" t="e">
        <f>VLOOKUP(B763,'[1]Base de datos'!$B:$E,4,FALSE)</f>
        <v>#N/A</v>
      </c>
    </row>
    <row r="764" spans="2:6" x14ac:dyDescent="0.25">
      <c r="B764" s="28"/>
      <c r="C764" s="19"/>
      <c r="D764" s="5" t="e">
        <f>VLOOKUP(B764,'[1]Base de datos'!$B:$F,2,FALSE)</f>
        <v>#N/A</v>
      </c>
      <c r="E764" t="e">
        <f>VLOOKUP(B764,'[1]Base de datos'!$B:$E,3,FALSE)</f>
        <v>#N/A</v>
      </c>
      <c r="F764" t="e">
        <f>VLOOKUP(B764,'[1]Base de datos'!$B:$E,4,FALSE)</f>
        <v>#N/A</v>
      </c>
    </row>
    <row r="765" spans="2:6" x14ac:dyDescent="0.25">
      <c r="B765" s="28"/>
      <c r="C765" s="19"/>
      <c r="D765" s="5" t="e">
        <f>VLOOKUP(B765,'[1]Base de datos'!$B:$F,2,FALSE)</f>
        <v>#N/A</v>
      </c>
      <c r="E765" t="e">
        <f>VLOOKUP(B765,'[1]Base de datos'!$B:$E,3,FALSE)</f>
        <v>#N/A</v>
      </c>
      <c r="F765" t="e">
        <f>VLOOKUP(B765,'[1]Base de datos'!$B:$E,4,FALSE)</f>
        <v>#N/A</v>
      </c>
    </row>
    <row r="766" spans="2:6" x14ac:dyDescent="0.25">
      <c r="B766" s="28"/>
      <c r="C766" s="19"/>
      <c r="D766" s="5" t="e">
        <f>VLOOKUP(B766,'[1]Base de datos'!$B:$F,2,FALSE)</f>
        <v>#N/A</v>
      </c>
      <c r="E766" t="e">
        <f>VLOOKUP(B766,'[1]Base de datos'!$B:$E,3,FALSE)</f>
        <v>#N/A</v>
      </c>
      <c r="F766" t="e">
        <f>VLOOKUP(B766,'[1]Base de datos'!$B:$E,4,FALSE)</f>
        <v>#N/A</v>
      </c>
    </row>
    <row r="767" spans="2:6" x14ac:dyDescent="0.25">
      <c r="B767" s="28"/>
      <c r="C767" s="19"/>
      <c r="D767" s="5" t="e">
        <f>VLOOKUP(B767,'[1]Base de datos'!$B:$F,2,FALSE)</f>
        <v>#N/A</v>
      </c>
      <c r="E767" t="e">
        <f>VLOOKUP(B767,'[1]Base de datos'!$B:$E,3,FALSE)</f>
        <v>#N/A</v>
      </c>
      <c r="F767" t="e">
        <f>VLOOKUP(B767,'[1]Base de datos'!$B:$E,4,FALSE)</f>
        <v>#N/A</v>
      </c>
    </row>
    <row r="768" spans="2:6" x14ac:dyDescent="0.25">
      <c r="B768" s="28"/>
      <c r="C768" s="19"/>
      <c r="D768" s="5" t="e">
        <f>VLOOKUP(B768,'[1]Base de datos'!$B:$F,2,FALSE)</f>
        <v>#N/A</v>
      </c>
      <c r="E768" t="e">
        <f>VLOOKUP(B768,'[1]Base de datos'!$B:$E,3,FALSE)</f>
        <v>#N/A</v>
      </c>
      <c r="F768" t="e">
        <f>VLOOKUP(B768,'[1]Base de datos'!$B:$E,4,FALSE)</f>
        <v>#N/A</v>
      </c>
    </row>
    <row r="769" spans="2:6" x14ac:dyDescent="0.25">
      <c r="B769" s="28"/>
      <c r="C769" s="19"/>
      <c r="D769" s="5" t="e">
        <f>VLOOKUP(B769,'[1]Base de datos'!$B:$F,2,FALSE)</f>
        <v>#N/A</v>
      </c>
      <c r="E769" t="e">
        <f>VLOOKUP(B769,'[1]Base de datos'!$B:$E,3,FALSE)</f>
        <v>#N/A</v>
      </c>
      <c r="F769" t="e">
        <f>VLOOKUP(B769,'[1]Base de datos'!$B:$E,4,FALSE)</f>
        <v>#N/A</v>
      </c>
    </row>
    <row r="770" spans="2:6" x14ac:dyDescent="0.25">
      <c r="B770" s="28"/>
      <c r="C770" s="19"/>
      <c r="D770" s="5" t="e">
        <f>VLOOKUP(B770,'[1]Base de datos'!$B:$F,2,FALSE)</f>
        <v>#N/A</v>
      </c>
      <c r="E770" t="e">
        <f>VLOOKUP(B770,'[1]Base de datos'!$B:$E,3,FALSE)</f>
        <v>#N/A</v>
      </c>
      <c r="F770" t="e">
        <f>VLOOKUP(B770,'[1]Base de datos'!$B:$E,4,FALSE)</f>
        <v>#N/A</v>
      </c>
    </row>
    <row r="771" spans="2:6" x14ac:dyDescent="0.25">
      <c r="B771" s="28"/>
      <c r="C771" s="19"/>
      <c r="D771" s="5" t="e">
        <f>VLOOKUP(B771,'[1]Base de datos'!$B:$F,2,FALSE)</f>
        <v>#N/A</v>
      </c>
      <c r="E771" t="e">
        <f>VLOOKUP(B771,'[1]Base de datos'!$B:$E,3,FALSE)</f>
        <v>#N/A</v>
      </c>
      <c r="F771" t="e">
        <f>VLOOKUP(B771,'[1]Base de datos'!$B:$E,4,FALSE)</f>
        <v>#N/A</v>
      </c>
    </row>
    <row r="772" spans="2:6" x14ac:dyDescent="0.25">
      <c r="B772" s="28"/>
      <c r="C772" s="19"/>
      <c r="D772" s="5" t="e">
        <f>VLOOKUP(B772,'[1]Base de datos'!$B:$F,2,FALSE)</f>
        <v>#N/A</v>
      </c>
      <c r="E772" t="e">
        <f>VLOOKUP(B772,'[1]Base de datos'!$B:$E,3,FALSE)</f>
        <v>#N/A</v>
      </c>
      <c r="F772" t="e">
        <f>VLOOKUP(B772,'[1]Base de datos'!$B:$E,4,FALSE)</f>
        <v>#N/A</v>
      </c>
    </row>
    <row r="773" spans="2:6" x14ac:dyDescent="0.25">
      <c r="B773" s="28"/>
      <c r="C773" s="19"/>
      <c r="D773" s="5" t="e">
        <f>VLOOKUP(B773,'[1]Base de datos'!$B:$F,2,FALSE)</f>
        <v>#N/A</v>
      </c>
      <c r="E773" t="e">
        <f>VLOOKUP(B773,'[1]Base de datos'!$B:$E,3,FALSE)</f>
        <v>#N/A</v>
      </c>
      <c r="F773" t="e">
        <f>VLOOKUP(B773,'[1]Base de datos'!$B:$E,4,FALSE)</f>
        <v>#N/A</v>
      </c>
    </row>
    <row r="774" spans="2:6" x14ac:dyDescent="0.25">
      <c r="B774" s="28"/>
      <c r="C774" s="19"/>
      <c r="D774" s="5" t="e">
        <f>VLOOKUP(B774,'[1]Base de datos'!$B:$F,2,FALSE)</f>
        <v>#N/A</v>
      </c>
      <c r="E774" t="e">
        <f>VLOOKUP(B774,'[1]Base de datos'!$B:$E,3,FALSE)</f>
        <v>#N/A</v>
      </c>
      <c r="F774" t="e">
        <f>VLOOKUP(B774,'[1]Base de datos'!$B:$E,4,FALSE)</f>
        <v>#N/A</v>
      </c>
    </row>
    <row r="775" spans="2:6" x14ac:dyDescent="0.25">
      <c r="B775" s="28"/>
      <c r="C775" s="19"/>
      <c r="D775" s="5" t="e">
        <f>VLOOKUP(B775,'[1]Base de datos'!$B:$F,2,FALSE)</f>
        <v>#N/A</v>
      </c>
      <c r="E775" t="e">
        <f>VLOOKUP(B775,'[1]Base de datos'!$B:$E,3,FALSE)</f>
        <v>#N/A</v>
      </c>
      <c r="F775" t="e">
        <f>VLOOKUP(B775,'[1]Base de datos'!$B:$E,4,FALSE)</f>
        <v>#N/A</v>
      </c>
    </row>
    <row r="776" spans="2:6" x14ac:dyDescent="0.25">
      <c r="B776" s="28"/>
      <c r="C776" s="19"/>
      <c r="D776" s="5" t="e">
        <f>VLOOKUP(B776,'[1]Base de datos'!$B:$F,2,FALSE)</f>
        <v>#N/A</v>
      </c>
      <c r="E776" t="e">
        <f>VLOOKUP(B776,'[1]Base de datos'!$B:$E,3,FALSE)</f>
        <v>#N/A</v>
      </c>
      <c r="F776" t="e">
        <f>VLOOKUP(B776,'[1]Base de datos'!$B:$E,4,FALSE)</f>
        <v>#N/A</v>
      </c>
    </row>
    <row r="777" spans="2:6" x14ac:dyDescent="0.25">
      <c r="B777" s="28"/>
      <c r="C777" s="19"/>
      <c r="D777" s="5" t="e">
        <f>VLOOKUP(B777,'[1]Base de datos'!$B:$F,2,FALSE)</f>
        <v>#N/A</v>
      </c>
      <c r="E777" t="e">
        <f>VLOOKUP(B777,'[1]Base de datos'!$B:$E,3,FALSE)</f>
        <v>#N/A</v>
      </c>
      <c r="F777" t="e">
        <f>VLOOKUP(B777,'[1]Base de datos'!$B:$E,4,FALSE)</f>
        <v>#N/A</v>
      </c>
    </row>
    <row r="778" spans="2:6" x14ac:dyDescent="0.25">
      <c r="B778" s="28"/>
      <c r="C778" s="19"/>
      <c r="D778" s="5" t="e">
        <f>VLOOKUP(B778,'[1]Base de datos'!$B:$F,2,FALSE)</f>
        <v>#N/A</v>
      </c>
      <c r="E778" t="e">
        <f>VLOOKUP(B778,'[1]Base de datos'!$B:$E,3,FALSE)</f>
        <v>#N/A</v>
      </c>
      <c r="F778" t="e">
        <f>VLOOKUP(B778,'[1]Base de datos'!$B:$E,4,FALSE)</f>
        <v>#N/A</v>
      </c>
    </row>
    <row r="779" spans="2:6" x14ac:dyDescent="0.25">
      <c r="B779" s="28"/>
      <c r="C779" s="19"/>
      <c r="D779" s="5" t="e">
        <f>VLOOKUP(B779,'[1]Base de datos'!$B:$F,2,FALSE)</f>
        <v>#N/A</v>
      </c>
      <c r="E779" t="e">
        <f>VLOOKUP(B779,'[1]Base de datos'!$B:$E,3,FALSE)</f>
        <v>#N/A</v>
      </c>
      <c r="F779" t="e">
        <f>VLOOKUP(B779,'[1]Base de datos'!$B:$E,4,FALSE)</f>
        <v>#N/A</v>
      </c>
    </row>
    <row r="780" spans="2:6" x14ac:dyDescent="0.25">
      <c r="B780" s="28"/>
      <c r="C780" s="19"/>
      <c r="D780" s="5" t="e">
        <f>VLOOKUP(B780,'[1]Base de datos'!$B:$F,2,FALSE)</f>
        <v>#N/A</v>
      </c>
      <c r="E780" t="e">
        <f>VLOOKUP(B780,'[1]Base de datos'!$B:$E,3,FALSE)</f>
        <v>#N/A</v>
      </c>
      <c r="F780" t="e">
        <f>VLOOKUP(B780,'[1]Base de datos'!$B:$E,4,FALSE)</f>
        <v>#N/A</v>
      </c>
    </row>
    <row r="781" spans="2:6" x14ac:dyDescent="0.25">
      <c r="B781" s="28"/>
      <c r="C781" s="19"/>
      <c r="D781" s="5" t="e">
        <f>VLOOKUP(B781,'[1]Base de datos'!$B:$F,2,FALSE)</f>
        <v>#N/A</v>
      </c>
      <c r="E781" t="e">
        <f>VLOOKUP(B781,'[1]Base de datos'!$B:$E,3,FALSE)</f>
        <v>#N/A</v>
      </c>
      <c r="F781" t="e">
        <f>VLOOKUP(B781,'[1]Base de datos'!$B:$E,4,FALSE)</f>
        <v>#N/A</v>
      </c>
    </row>
    <row r="782" spans="2:6" x14ac:dyDescent="0.25">
      <c r="B782" s="28"/>
      <c r="C782" s="19"/>
      <c r="D782" s="5" t="e">
        <f>VLOOKUP(B782,'[1]Base de datos'!$B:$F,2,FALSE)</f>
        <v>#N/A</v>
      </c>
      <c r="E782" t="e">
        <f>VLOOKUP(B782,'[1]Base de datos'!$B:$E,3,FALSE)</f>
        <v>#N/A</v>
      </c>
      <c r="F782" t="e">
        <f>VLOOKUP(B782,'[1]Base de datos'!$B:$E,4,FALSE)</f>
        <v>#N/A</v>
      </c>
    </row>
    <row r="783" spans="2:6" x14ac:dyDescent="0.25">
      <c r="B783" s="28"/>
      <c r="C783" s="19"/>
      <c r="D783" s="5" t="e">
        <f>VLOOKUP(B783,'[1]Base de datos'!$B:$F,2,FALSE)</f>
        <v>#N/A</v>
      </c>
      <c r="E783" t="e">
        <f>VLOOKUP(B783,'[1]Base de datos'!$B:$E,3,FALSE)</f>
        <v>#N/A</v>
      </c>
      <c r="F783" t="e">
        <f>VLOOKUP(B783,'[1]Base de datos'!$B:$E,4,FALSE)</f>
        <v>#N/A</v>
      </c>
    </row>
    <row r="784" spans="2:6" x14ac:dyDescent="0.25">
      <c r="B784" s="28"/>
      <c r="C784" s="19"/>
      <c r="D784" s="5" t="e">
        <f>VLOOKUP(B784,'[1]Base de datos'!$B:$F,2,FALSE)</f>
        <v>#N/A</v>
      </c>
      <c r="E784" t="e">
        <f>VLOOKUP(B784,'[1]Base de datos'!$B:$E,3,FALSE)</f>
        <v>#N/A</v>
      </c>
      <c r="F784" t="e">
        <f>VLOOKUP(B784,'[1]Base de datos'!$B:$E,4,FALSE)</f>
        <v>#N/A</v>
      </c>
    </row>
    <row r="785" spans="2:6" x14ac:dyDescent="0.25">
      <c r="B785" s="28"/>
      <c r="C785" s="19"/>
      <c r="D785" s="5" t="e">
        <f>VLOOKUP(B785,'[1]Base de datos'!$B:$F,2,FALSE)</f>
        <v>#N/A</v>
      </c>
      <c r="E785" t="e">
        <f>VLOOKUP(B785,'[1]Base de datos'!$B:$E,3,FALSE)</f>
        <v>#N/A</v>
      </c>
      <c r="F785" t="e">
        <f>VLOOKUP(B785,'[1]Base de datos'!$B:$E,4,FALSE)</f>
        <v>#N/A</v>
      </c>
    </row>
    <row r="786" spans="2:6" x14ac:dyDescent="0.25">
      <c r="B786" s="28"/>
      <c r="C786" s="19"/>
      <c r="D786" s="5" t="e">
        <f>VLOOKUP(B786,'[1]Base de datos'!$B:$F,2,FALSE)</f>
        <v>#N/A</v>
      </c>
      <c r="E786" t="e">
        <f>VLOOKUP(B786,'[1]Base de datos'!$B:$E,3,FALSE)</f>
        <v>#N/A</v>
      </c>
      <c r="F786" t="e">
        <f>VLOOKUP(B786,'[1]Base de datos'!$B:$E,4,FALSE)</f>
        <v>#N/A</v>
      </c>
    </row>
    <row r="787" spans="2:6" x14ac:dyDescent="0.25">
      <c r="B787" s="28"/>
      <c r="C787" s="19"/>
      <c r="D787" s="5" t="e">
        <f>VLOOKUP(B787,'[1]Base de datos'!$B:$F,2,FALSE)</f>
        <v>#N/A</v>
      </c>
      <c r="E787" t="e">
        <f>VLOOKUP(B787,'[1]Base de datos'!$B:$E,3,FALSE)</f>
        <v>#N/A</v>
      </c>
      <c r="F787" t="e">
        <f>VLOOKUP(B787,'[1]Base de datos'!$B:$E,4,FALSE)</f>
        <v>#N/A</v>
      </c>
    </row>
    <row r="788" spans="2:6" x14ac:dyDescent="0.25">
      <c r="B788" s="28"/>
      <c r="C788" s="19"/>
      <c r="D788" s="5" t="e">
        <f>VLOOKUP(B788,'[1]Base de datos'!$B:$F,2,FALSE)</f>
        <v>#N/A</v>
      </c>
      <c r="E788" t="e">
        <f>VLOOKUP(B788,'[1]Base de datos'!$B:$E,3,FALSE)</f>
        <v>#N/A</v>
      </c>
      <c r="F788" t="e">
        <f>VLOOKUP(B788,'[1]Base de datos'!$B:$E,4,FALSE)</f>
        <v>#N/A</v>
      </c>
    </row>
    <row r="789" spans="2:6" x14ac:dyDescent="0.25">
      <c r="B789" s="28"/>
      <c r="C789" s="19"/>
      <c r="D789" s="5" t="e">
        <f>VLOOKUP(B789,'[1]Base de datos'!$B:$F,2,FALSE)</f>
        <v>#N/A</v>
      </c>
      <c r="E789" t="e">
        <f>VLOOKUP(B789,'[1]Base de datos'!$B:$E,3,FALSE)</f>
        <v>#N/A</v>
      </c>
      <c r="F789" t="e">
        <f>VLOOKUP(B789,'[1]Base de datos'!$B:$E,4,FALSE)</f>
        <v>#N/A</v>
      </c>
    </row>
    <row r="790" spans="2:6" x14ac:dyDescent="0.25">
      <c r="B790" s="28"/>
      <c r="C790" s="19"/>
      <c r="D790" s="5" t="e">
        <f>VLOOKUP(B790,'[1]Base de datos'!$B:$F,2,FALSE)</f>
        <v>#N/A</v>
      </c>
      <c r="E790" t="e">
        <f>VLOOKUP(B790,'[1]Base de datos'!$B:$E,3,FALSE)</f>
        <v>#N/A</v>
      </c>
      <c r="F790" t="e">
        <f>VLOOKUP(B790,'[1]Base de datos'!$B:$E,4,FALSE)</f>
        <v>#N/A</v>
      </c>
    </row>
    <row r="791" spans="2:6" x14ac:dyDescent="0.25">
      <c r="B791" s="28"/>
      <c r="C791" s="19"/>
      <c r="D791" s="5" t="e">
        <f>VLOOKUP(B791,'[1]Base de datos'!$B:$F,2,FALSE)</f>
        <v>#N/A</v>
      </c>
      <c r="E791" t="e">
        <f>VLOOKUP(B791,'[1]Base de datos'!$B:$E,3,FALSE)</f>
        <v>#N/A</v>
      </c>
      <c r="F791" t="e">
        <f>VLOOKUP(B791,'[1]Base de datos'!$B:$E,4,FALSE)</f>
        <v>#N/A</v>
      </c>
    </row>
    <row r="792" spans="2:6" x14ac:dyDescent="0.25">
      <c r="B792" s="28"/>
      <c r="C792" s="19"/>
      <c r="D792" s="5" t="e">
        <f>VLOOKUP(B792,'[1]Base de datos'!$B:$F,2,FALSE)</f>
        <v>#N/A</v>
      </c>
      <c r="E792" t="e">
        <f>VLOOKUP(B792,'[1]Base de datos'!$B:$E,3,FALSE)</f>
        <v>#N/A</v>
      </c>
      <c r="F792" t="e">
        <f>VLOOKUP(B792,'[1]Base de datos'!$B:$E,4,FALSE)</f>
        <v>#N/A</v>
      </c>
    </row>
    <row r="793" spans="2:6" x14ac:dyDescent="0.25">
      <c r="B793" s="28"/>
      <c r="C793" s="19"/>
      <c r="D793" s="5" t="e">
        <f>VLOOKUP(B793,'[1]Base de datos'!$B:$F,2,FALSE)</f>
        <v>#N/A</v>
      </c>
      <c r="E793" t="e">
        <f>VLOOKUP(B793,'[1]Base de datos'!$B:$E,3,FALSE)</f>
        <v>#N/A</v>
      </c>
      <c r="F793" t="e">
        <f>VLOOKUP(B793,'[1]Base de datos'!$B:$E,4,FALSE)</f>
        <v>#N/A</v>
      </c>
    </row>
    <row r="794" spans="2:6" x14ac:dyDescent="0.25">
      <c r="B794" s="28"/>
      <c r="C794" s="19"/>
      <c r="D794" s="5" t="e">
        <f>VLOOKUP(B794,'[1]Base de datos'!$B:$F,2,FALSE)</f>
        <v>#N/A</v>
      </c>
      <c r="E794" t="e">
        <f>VLOOKUP(B794,'[1]Base de datos'!$B:$E,3,FALSE)</f>
        <v>#N/A</v>
      </c>
      <c r="F794" t="e">
        <f>VLOOKUP(B794,'[1]Base de datos'!$B:$E,4,FALSE)</f>
        <v>#N/A</v>
      </c>
    </row>
    <row r="795" spans="2:6" x14ac:dyDescent="0.25">
      <c r="B795" s="28"/>
      <c r="C795" s="19"/>
      <c r="D795" s="5" t="e">
        <f>VLOOKUP(B795,'[1]Base de datos'!$B:$F,2,FALSE)</f>
        <v>#N/A</v>
      </c>
      <c r="E795" t="e">
        <f>VLOOKUP(B795,'[1]Base de datos'!$B:$E,3,FALSE)</f>
        <v>#N/A</v>
      </c>
      <c r="F795" t="e">
        <f>VLOOKUP(B795,'[1]Base de datos'!$B:$E,4,FALSE)</f>
        <v>#N/A</v>
      </c>
    </row>
    <row r="796" spans="2:6" x14ac:dyDescent="0.25">
      <c r="B796" s="28"/>
      <c r="C796" s="19"/>
      <c r="D796" s="5" t="e">
        <f>VLOOKUP(B796,'[1]Base de datos'!$B:$F,2,FALSE)</f>
        <v>#N/A</v>
      </c>
      <c r="E796" t="e">
        <f>VLOOKUP(B796,'[1]Base de datos'!$B:$E,3,FALSE)</f>
        <v>#N/A</v>
      </c>
      <c r="F796" t="e">
        <f>VLOOKUP(B796,'[1]Base de datos'!$B:$E,4,FALSE)</f>
        <v>#N/A</v>
      </c>
    </row>
    <row r="797" spans="2:6" x14ac:dyDescent="0.25">
      <c r="B797" s="28"/>
      <c r="C797" s="19"/>
      <c r="D797" s="5" t="e">
        <f>VLOOKUP(B797,'[1]Base de datos'!$B:$F,2,FALSE)</f>
        <v>#N/A</v>
      </c>
      <c r="E797" t="e">
        <f>VLOOKUP(B797,'[1]Base de datos'!$B:$E,3,FALSE)</f>
        <v>#N/A</v>
      </c>
      <c r="F797" t="e">
        <f>VLOOKUP(B797,'[1]Base de datos'!$B:$E,4,FALSE)</f>
        <v>#N/A</v>
      </c>
    </row>
    <row r="798" spans="2:6" x14ac:dyDescent="0.25">
      <c r="B798" s="28"/>
      <c r="C798" s="19"/>
      <c r="D798" s="5" t="e">
        <f>VLOOKUP(B798,'[1]Base de datos'!$B:$F,2,FALSE)</f>
        <v>#N/A</v>
      </c>
      <c r="E798" t="e">
        <f>VLOOKUP(B798,'[1]Base de datos'!$B:$E,3,FALSE)</f>
        <v>#N/A</v>
      </c>
      <c r="F798" t="e">
        <f>VLOOKUP(B798,'[1]Base de datos'!$B:$E,4,FALSE)</f>
        <v>#N/A</v>
      </c>
    </row>
    <row r="799" spans="2:6" x14ac:dyDescent="0.25">
      <c r="B799" s="28"/>
      <c r="C799" s="19"/>
      <c r="D799" s="5" t="e">
        <f>VLOOKUP(B799,'[1]Base de datos'!$B:$F,2,FALSE)</f>
        <v>#N/A</v>
      </c>
      <c r="E799" t="e">
        <f>VLOOKUP(B799,'[1]Base de datos'!$B:$E,3,FALSE)</f>
        <v>#N/A</v>
      </c>
      <c r="F799" t="e">
        <f>VLOOKUP(B799,'[1]Base de datos'!$B:$E,4,FALSE)</f>
        <v>#N/A</v>
      </c>
    </row>
    <row r="800" spans="2:6" x14ac:dyDescent="0.25">
      <c r="B800" s="28"/>
      <c r="C800" s="19"/>
      <c r="D800" s="5" t="e">
        <f>VLOOKUP(B800,'[1]Base de datos'!$B:$F,2,FALSE)</f>
        <v>#N/A</v>
      </c>
      <c r="E800" t="e">
        <f>VLOOKUP(B800,'[1]Base de datos'!$B:$E,3,FALSE)</f>
        <v>#N/A</v>
      </c>
      <c r="F800" t="e">
        <f>VLOOKUP(B800,'[1]Base de datos'!$B:$E,4,FALSE)</f>
        <v>#N/A</v>
      </c>
    </row>
    <row r="801" spans="2:6" x14ac:dyDescent="0.25">
      <c r="B801" s="28"/>
      <c r="C801" s="19"/>
      <c r="D801" s="5" t="e">
        <f>VLOOKUP(B801,'[1]Base de datos'!$B:$F,2,FALSE)</f>
        <v>#N/A</v>
      </c>
      <c r="E801" t="e">
        <f>VLOOKUP(B801,'[1]Base de datos'!$B:$E,3,FALSE)</f>
        <v>#N/A</v>
      </c>
      <c r="F801" t="e">
        <f>VLOOKUP(B801,'[1]Base de datos'!$B:$E,4,FALSE)</f>
        <v>#N/A</v>
      </c>
    </row>
    <row r="802" spans="2:6" x14ac:dyDescent="0.25">
      <c r="B802" s="28"/>
      <c r="C802" s="19"/>
      <c r="D802" s="5" t="e">
        <f>VLOOKUP(B802,'[1]Base de datos'!$B:$F,2,FALSE)</f>
        <v>#N/A</v>
      </c>
      <c r="E802" t="e">
        <f>VLOOKUP(B802,'[1]Base de datos'!$B:$E,3,FALSE)</f>
        <v>#N/A</v>
      </c>
      <c r="F802" t="e">
        <f>VLOOKUP(B802,'[1]Base de datos'!$B:$E,4,FALSE)</f>
        <v>#N/A</v>
      </c>
    </row>
    <row r="803" spans="2:6" x14ac:dyDescent="0.25">
      <c r="B803" s="28"/>
      <c r="C803" s="19"/>
      <c r="D803" s="5" t="e">
        <f>VLOOKUP(B803,'[1]Base de datos'!$B:$F,2,FALSE)</f>
        <v>#N/A</v>
      </c>
      <c r="E803" t="e">
        <f>VLOOKUP(B803,'[1]Base de datos'!$B:$E,3,FALSE)</f>
        <v>#N/A</v>
      </c>
      <c r="F803" t="e">
        <f>VLOOKUP(B803,'[1]Base de datos'!$B:$E,4,FALSE)</f>
        <v>#N/A</v>
      </c>
    </row>
    <row r="804" spans="2:6" x14ac:dyDescent="0.25">
      <c r="B804" s="28"/>
      <c r="C804" s="19"/>
      <c r="D804" s="5" t="e">
        <f>VLOOKUP(B804,'[1]Base de datos'!$B:$F,2,FALSE)</f>
        <v>#N/A</v>
      </c>
      <c r="E804" t="e">
        <f>VLOOKUP(B804,'[1]Base de datos'!$B:$E,3,FALSE)</f>
        <v>#N/A</v>
      </c>
      <c r="F804" t="e">
        <f>VLOOKUP(B804,'[1]Base de datos'!$B:$E,4,FALSE)</f>
        <v>#N/A</v>
      </c>
    </row>
    <row r="805" spans="2:6" x14ac:dyDescent="0.25">
      <c r="B805" s="28"/>
      <c r="C805" s="19"/>
      <c r="D805" s="5" t="e">
        <f>VLOOKUP(B805,'[1]Base de datos'!$B:$F,2,FALSE)</f>
        <v>#N/A</v>
      </c>
      <c r="E805" t="e">
        <f>VLOOKUP(B805,'[1]Base de datos'!$B:$E,3,FALSE)</f>
        <v>#N/A</v>
      </c>
      <c r="F805" t="e">
        <f>VLOOKUP(B805,'[1]Base de datos'!$B:$E,4,FALSE)</f>
        <v>#N/A</v>
      </c>
    </row>
    <row r="806" spans="2:6" x14ac:dyDescent="0.25">
      <c r="B806" s="28"/>
      <c r="C806" s="19"/>
      <c r="D806" s="5" t="e">
        <f>VLOOKUP(B806,'[1]Base de datos'!$B:$F,2,FALSE)</f>
        <v>#N/A</v>
      </c>
      <c r="E806" t="e">
        <f>VLOOKUP(B806,'[1]Base de datos'!$B:$E,3,FALSE)</f>
        <v>#N/A</v>
      </c>
      <c r="F806" t="e">
        <f>VLOOKUP(B806,'[1]Base de datos'!$B:$E,4,FALSE)</f>
        <v>#N/A</v>
      </c>
    </row>
    <row r="807" spans="2:6" x14ac:dyDescent="0.25">
      <c r="B807" s="28"/>
      <c r="C807" s="19"/>
      <c r="D807" s="5" t="e">
        <f>VLOOKUP(B807,'[1]Base de datos'!$B:$F,2,FALSE)</f>
        <v>#N/A</v>
      </c>
      <c r="E807" t="e">
        <f>VLOOKUP(B807,'[1]Base de datos'!$B:$E,3,FALSE)</f>
        <v>#N/A</v>
      </c>
      <c r="F807" t="e">
        <f>VLOOKUP(B807,'[1]Base de datos'!$B:$E,4,FALSE)</f>
        <v>#N/A</v>
      </c>
    </row>
    <row r="808" spans="2:6" x14ac:dyDescent="0.25">
      <c r="B808" s="28"/>
      <c r="C808" s="19"/>
      <c r="D808" s="5" t="e">
        <f>VLOOKUP(B808,'[1]Base de datos'!$B:$F,2,FALSE)</f>
        <v>#N/A</v>
      </c>
      <c r="E808" t="e">
        <f>VLOOKUP(B808,'[1]Base de datos'!$B:$E,3,FALSE)</f>
        <v>#N/A</v>
      </c>
      <c r="F808" t="e">
        <f>VLOOKUP(B808,'[1]Base de datos'!$B:$E,4,FALSE)</f>
        <v>#N/A</v>
      </c>
    </row>
    <row r="809" spans="2:6" x14ac:dyDescent="0.25">
      <c r="B809" s="28"/>
      <c r="C809" s="19"/>
      <c r="D809" s="5" t="e">
        <f>VLOOKUP(B809,'[1]Base de datos'!$B:$F,2,FALSE)</f>
        <v>#N/A</v>
      </c>
      <c r="E809" t="e">
        <f>VLOOKUP(B809,'[1]Base de datos'!$B:$E,3,FALSE)</f>
        <v>#N/A</v>
      </c>
      <c r="F809" t="e">
        <f>VLOOKUP(B809,'[1]Base de datos'!$B:$E,4,FALSE)</f>
        <v>#N/A</v>
      </c>
    </row>
    <row r="810" spans="2:6" x14ac:dyDescent="0.25">
      <c r="B810" s="28"/>
      <c r="C810" s="19"/>
      <c r="D810" s="5" t="e">
        <f>VLOOKUP(B810,'[1]Base de datos'!$B:$F,2,FALSE)</f>
        <v>#N/A</v>
      </c>
      <c r="E810" t="e">
        <f>VLOOKUP(B810,'[1]Base de datos'!$B:$E,3,FALSE)</f>
        <v>#N/A</v>
      </c>
      <c r="F810" t="e">
        <f>VLOOKUP(B810,'[1]Base de datos'!$B:$E,4,FALSE)</f>
        <v>#N/A</v>
      </c>
    </row>
    <row r="811" spans="2:6" x14ac:dyDescent="0.25">
      <c r="B811" s="28"/>
      <c r="C811" s="19"/>
      <c r="D811" s="5" t="e">
        <f>VLOOKUP(B811,'[1]Base de datos'!$B:$F,2,FALSE)</f>
        <v>#N/A</v>
      </c>
      <c r="E811" t="e">
        <f>VLOOKUP(B811,'[1]Base de datos'!$B:$E,3,FALSE)</f>
        <v>#N/A</v>
      </c>
      <c r="F811" t="e">
        <f>VLOOKUP(B811,'[1]Base de datos'!$B:$E,4,FALSE)</f>
        <v>#N/A</v>
      </c>
    </row>
    <row r="812" spans="2:6" x14ac:dyDescent="0.25">
      <c r="B812" s="28"/>
      <c r="C812" s="19"/>
      <c r="D812" s="5" t="e">
        <f>VLOOKUP(B812,'[1]Base de datos'!$B:$F,2,FALSE)</f>
        <v>#N/A</v>
      </c>
      <c r="E812" t="e">
        <f>VLOOKUP(B812,'[1]Base de datos'!$B:$E,3,FALSE)</f>
        <v>#N/A</v>
      </c>
      <c r="F812" t="e">
        <f>VLOOKUP(B812,'[1]Base de datos'!$B:$E,4,FALSE)</f>
        <v>#N/A</v>
      </c>
    </row>
    <row r="813" spans="2:6" x14ac:dyDescent="0.25">
      <c r="B813" s="28"/>
      <c r="C813" s="19"/>
      <c r="D813" s="5" t="e">
        <f>VLOOKUP(B813,'[1]Base de datos'!$B:$F,2,FALSE)</f>
        <v>#N/A</v>
      </c>
      <c r="E813" t="e">
        <f>VLOOKUP(B813,'[1]Base de datos'!$B:$E,3,FALSE)</f>
        <v>#N/A</v>
      </c>
      <c r="F813" t="e">
        <f>VLOOKUP(B813,'[1]Base de datos'!$B:$E,4,FALSE)</f>
        <v>#N/A</v>
      </c>
    </row>
    <row r="814" spans="2:6" x14ac:dyDescent="0.25">
      <c r="B814" s="28"/>
      <c r="C814" s="19"/>
      <c r="D814" s="5" t="e">
        <f>VLOOKUP(B814,'[1]Base de datos'!$B:$F,2,FALSE)</f>
        <v>#N/A</v>
      </c>
      <c r="E814" t="e">
        <f>VLOOKUP(B814,'[1]Base de datos'!$B:$E,3,FALSE)</f>
        <v>#N/A</v>
      </c>
      <c r="F814" t="e">
        <f>VLOOKUP(B814,'[1]Base de datos'!$B:$E,4,FALSE)</f>
        <v>#N/A</v>
      </c>
    </row>
    <row r="815" spans="2:6" x14ac:dyDescent="0.25">
      <c r="B815" s="28"/>
      <c r="C815" s="19"/>
      <c r="D815" s="5" t="e">
        <f>VLOOKUP(B815,'[1]Base de datos'!$B:$F,2,FALSE)</f>
        <v>#N/A</v>
      </c>
      <c r="E815" t="e">
        <f>VLOOKUP(B815,'[1]Base de datos'!$B:$E,3,FALSE)</f>
        <v>#N/A</v>
      </c>
      <c r="F815" t="e">
        <f>VLOOKUP(B815,'[1]Base de datos'!$B:$E,4,FALSE)</f>
        <v>#N/A</v>
      </c>
    </row>
    <row r="816" spans="2:6" x14ac:dyDescent="0.25">
      <c r="B816" s="28"/>
      <c r="C816" s="19"/>
      <c r="D816" s="5" t="e">
        <f>VLOOKUP(B816,'[1]Base de datos'!$B:$F,2,FALSE)</f>
        <v>#N/A</v>
      </c>
      <c r="E816" t="e">
        <f>VLOOKUP(B816,'[1]Base de datos'!$B:$E,3,FALSE)</f>
        <v>#N/A</v>
      </c>
      <c r="F816" t="e">
        <f>VLOOKUP(B816,'[1]Base de datos'!$B:$E,4,FALSE)</f>
        <v>#N/A</v>
      </c>
    </row>
    <row r="817" spans="2:6" x14ac:dyDescent="0.25">
      <c r="B817" s="28"/>
      <c r="C817" s="19"/>
      <c r="D817" s="5" t="e">
        <f>VLOOKUP(B817,'[1]Base de datos'!$B:$F,2,FALSE)</f>
        <v>#N/A</v>
      </c>
      <c r="E817" t="e">
        <f>VLOOKUP(B817,'[1]Base de datos'!$B:$E,3,FALSE)</f>
        <v>#N/A</v>
      </c>
      <c r="F817" t="e">
        <f>VLOOKUP(B817,'[1]Base de datos'!$B:$E,4,FALSE)</f>
        <v>#N/A</v>
      </c>
    </row>
    <row r="818" spans="2:6" x14ac:dyDescent="0.25">
      <c r="B818" s="28"/>
      <c r="C818" s="19"/>
      <c r="D818" s="5" t="e">
        <f>VLOOKUP(B818,'[1]Base de datos'!$B:$F,2,FALSE)</f>
        <v>#N/A</v>
      </c>
      <c r="E818" t="e">
        <f>VLOOKUP(B818,'[1]Base de datos'!$B:$E,3,FALSE)</f>
        <v>#N/A</v>
      </c>
      <c r="F818" t="e">
        <f>VLOOKUP(B818,'[1]Base de datos'!$B:$E,4,FALSE)</f>
        <v>#N/A</v>
      </c>
    </row>
    <row r="819" spans="2:6" x14ac:dyDescent="0.25">
      <c r="B819" s="28"/>
      <c r="C819" s="19"/>
      <c r="D819" s="5" t="e">
        <f>VLOOKUP(B819,'[1]Base de datos'!$B:$F,2,FALSE)</f>
        <v>#N/A</v>
      </c>
      <c r="E819" t="e">
        <f>VLOOKUP(B819,'[1]Base de datos'!$B:$E,3,FALSE)</f>
        <v>#N/A</v>
      </c>
      <c r="F819" t="e">
        <f>VLOOKUP(B819,'[1]Base de datos'!$B:$E,4,FALSE)</f>
        <v>#N/A</v>
      </c>
    </row>
    <row r="820" spans="2:6" x14ac:dyDescent="0.25">
      <c r="B820" s="28"/>
      <c r="C820" s="19"/>
      <c r="D820" s="5" t="e">
        <f>VLOOKUP(B820,'[1]Base de datos'!$B:$F,2,FALSE)</f>
        <v>#N/A</v>
      </c>
      <c r="E820" t="e">
        <f>VLOOKUP(B820,'[1]Base de datos'!$B:$E,3,FALSE)</f>
        <v>#N/A</v>
      </c>
      <c r="F820" t="e">
        <f>VLOOKUP(B820,'[1]Base de datos'!$B:$E,4,FALSE)</f>
        <v>#N/A</v>
      </c>
    </row>
    <row r="821" spans="2:6" x14ac:dyDescent="0.25">
      <c r="B821" s="28"/>
      <c r="C821" s="19"/>
      <c r="D821" s="5" t="e">
        <f>VLOOKUP(B821,'[1]Base de datos'!$B:$F,2,FALSE)</f>
        <v>#N/A</v>
      </c>
      <c r="E821" t="e">
        <f>VLOOKUP(B821,'[1]Base de datos'!$B:$E,3,FALSE)</f>
        <v>#N/A</v>
      </c>
      <c r="F821" t="e">
        <f>VLOOKUP(B821,'[1]Base de datos'!$B:$E,4,FALSE)</f>
        <v>#N/A</v>
      </c>
    </row>
    <row r="822" spans="2:6" x14ac:dyDescent="0.25">
      <c r="B822" s="28"/>
      <c r="C822" s="19"/>
      <c r="D822" s="5" t="e">
        <f>VLOOKUP(B822,'[1]Base de datos'!$B:$F,2,FALSE)</f>
        <v>#N/A</v>
      </c>
      <c r="E822" t="e">
        <f>VLOOKUP(B822,'[1]Base de datos'!$B:$E,3,FALSE)</f>
        <v>#N/A</v>
      </c>
      <c r="F822" t="e">
        <f>VLOOKUP(B822,'[1]Base de datos'!$B:$E,4,FALSE)</f>
        <v>#N/A</v>
      </c>
    </row>
    <row r="823" spans="2:6" x14ac:dyDescent="0.25">
      <c r="B823" s="28"/>
      <c r="C823" s="19"/>
      <c r="D823" s="5" t="e">
        <f>VLOOKUP(B823,'[1]Base de datos'!$B:$F,2,FALSE)</f>
        <v>#N/A</v>
      </c>
      <c r="E823" t="e">
        <f>VLOOKUP(B823,'[1]Base de datos'!$B:$E,3,FALSE)</f>
        <v>#N/A</v>
      </c>
      <c r="F823" t="e">
        <f>VLOOKUP(B823,'[1]Base de datos'!$B:$E,4,FALSE)</f>
        <v>#N/A</v>
      </c>
    </row>
    <row r="824" spans="2:6" x14ac:dyDescent="0.25">
      <c r="B824" s="28"/>
      <c r="C824" s="19"/>
      <c r="D824" s="5" t="e">
        <f>VLOOKUP(B824,'[1]Base de datos'!$B:$F,2,FALSE)</f>
        <v>#N/A</v>
      </c>
      <c r="E824" t="e">
        <f>VLOOKUP(B824,'[1]Base de datos'!$B:$E,3,FALSE)</f>
        <v>#N/A</v>
      </c>
      <c r="F824" t="e">
        <f>VLOOKUP(B824,'[1]Base de datos'!$B:$E,4,FALSE)</f>
        <v>#N/A</v>
      </c>
    </row>
    <row r="825" spans="2:6" x14ac:dyDescent="0.25">
      <c r="B825" s="28"/>
      <c r="C825" s="19"/>
      <c r="D825" s="5" t="e">
        <f>VLOOKUP(B825,'[1]Base de datos'!$B:$F,2,FALSE)</f>
        <v>#N/A</v>
      </c>
      <c r="E825" t="e">
        <f>VLOOKUP(B825,'[1]Base de datos'!$B:$E,3,FALSE)</f>
        <v>#N/A</v>
      </c>
      <c r="F825" t="e">
        <f>VLOOKUP(B825,'[1]Base de datos'!$B:$E,4,FALSE)</f>
        <v>#N/A</v>
      </c>
    </row>
    <row r="826" spans="2:6" x14ac:dyDescent="0.25">
      <c r="B826" s="28"/>
      <c r="C826" s="19"/>
      <c r="D826" s="5" t="e">
        <f>VLOOKUP(B826,'[1]Base de datos'!$B:$F,2,FALSE)</f>
        <v>#N/A</v>
      </c>
      <c r="E826" t="e">
        <f>VLOOKUP(B826,'[1]Base de datos'!$B:$E,3,FALSE)</f>
        <v>#N/A</v>
      </c>
      <c r="F826" t="e">
        <f>VLOOKUP(B826,'[1]Base de datos'!$B:$E,4,FALSE)</f>
        <v>#N/A</v>
      </c>
    </row>
    <row r="827" spans="2:6" x14ac:dyDescent="0.25">
      <c r="B827" s="28"/>
      <c r="C827" s="19"/>
      <c r="D827" s="5" t="e">
        <f>VLOOKUP(B827,'[1]Base de datos'!$B:$F,2,FALSE)</f>
        <v>#N/A</v>
      </c>
      <c r="E827" t="e">
        <f>VLOOKUP(B827,'[1]Base de datos'!$B:$E,3,FALSE)</f>
        <v>#N/A</v>
      </c>
      <c r="F827" t="e">
        <f>VLOOKUP(B827,'[1]Base de datos'!$B:$E,4,FALSE)</f>
        <v>#N/A</v>
      </c>
    </row>
    <row r="828" spans="2:6" x14ac:dyDescent="0.25">
      <c r="B828" s="28"/>
      <c r="C828" s="19"/>
      <c r="D828" s="5" t="e">
        <f>VLOOKUP(B828,'[1]Base de datos'!$B:$F,2,FALSE)</f>
        <v>#N/A</v>
      </c>
      <c r="E828" t="e">
        <f>VLOOKUP(B828,'[1]Base de datos'!$B:$E,3,FALSE)</f>
        <v>#N/A</v>
      </c>
      <c r="F828" t="e">
        <f>VLOOKUP(B828,'[1]Base de datos'!$B:$E,4,FALSE)</f>
        <v>#N/A</v>
      </c>
    </row>
    <row r="829" spans="2:6" x14ac:dyDescent="0.25">
      <c r="B829" s="28"/>
      <c r="C829" s="19"/>
      <c r="D829" s="5" t="e">
        <f>VLOOKUP(B829,'[1]Base de datos'!$B:$F,2,FALSE)</f>
        <v>#N/A</v>
      </c>
      <c r="E829" t="e">
        <f>VLOOKUP(B829,'[1]Base de datos'!$B:$E,3,FALSE)</f>
        <v>#N/A</v>
      </c>
      <c r="F829" t="e">
        <f>VLOOKUP(B829,'[1]Base de datos'!$B:$E,4,FALSE)</f>
        <v>#N/A</v>
      </c>
    </row>
    <row r="830" spans="2:6" x14ac:dyDescent="0.25">
      <c r="B830" s="28"/>
      <c r="C830" s="19"/>
      <c r="D830" s="5" t="e">
        <f>VLOOKUP(B830,'[1]Base de datos'!$B:$F,2,FALSE)</f>
        <v>#N/A</v>
      </c>
      <c r="E830" t="e">
        <f>VLOOKUP(B830,'[1]Base de datos'!$B:$E,3,FALSE)</f>
        <v>#N/A</v>
      </c>
      <c r="F830" t="e">
        <f>VLOOKUP(B830,'[1]Base de datos'!$B:$E,4,FALSE)</f>
        <v>#N/A</v>
      </c>
    </row>
    <row r="831" spans="2:6" x14ac:dyDescent="0.25">
      <c r="B831" s="28"/>
      <c r="C831" s="19"/>
      <c r="D831" s="5" t="e">
        <f>VLOOKUP(B831,'[1]Base de datos'!$B:$F,2,FALSE)</f>
        <v>#N/A</v>
      </c>
      <c r="E831" t="e">
        <f>VLOOKUP(B831,'[1]Base de datos'!$B:$E,3,FALSE)</f>
        <v>#N/A</v>
      </c>
      <c r="F831" t="e">
        <f>VLOOKUP(B831,'[1]Base de datos'!$B:$E,4,FALSE)</f>
        <v>#N/A</v>
      </c>
    </row>
    <row r="832" spans="2:6" x14ac:dyDescent="0.25">
      <c r="B832" s="28"/>
      <c r="C832" s="19"/>
      <c r="D832" s="5" t="e">
        <f>VLOOKUP(B832,'[1]Base de datos'!$B:$F,2,FALSE)</f>
        <v>#N/A</v>
      </c>
      <c r="E832" t="e">
        <f>VLOOKUP(B832,'[1]Base de datos'!$B:$E,3,FALSE)</f>
        <v>#N/A</v>
      </c>
      <c r="F832" t="e">
        <f>VLOOKUP(B832,'[1]Base de datos'!$B:$E,4,FALSE)</f>
        <v>#N/A</v>
      </c>
    </row>
    <row r="833" spans="2:6" x14ac:dyDescent="0.25">
      <c r="B833" s="28"/>
      <c r="C833" s="19"/>
      <c r="D833" s="5" t="e">
        <f>VLOOKUP(B833,'[1]Base de datos'!$B:$F,2,FALSE)</f>
        <v>#N/A</v>
      </c>
      <c r="E833" t="e">
        <f>VLOOKUP(B833,'[1]Base de datos'!$B:$E,3,FALSE)</f>
        <v>#N/A</v>
      </c>
      <c r="F833" t="e">
        <f>VLOOKUP(B833,'[1]Base de datos'!$B:$E,4,FALSE)</f>
        <v>#N/A</v>
      </c>
    </row>
    <row r="834" spans="2:6" x14ac:dyDescent="0.25">
      <c r="B834" s="28"/>
      <c r="C834" s="19"/>
      <c r="D834" s="5" t="e">
        <f>VLOOKUP(B834,'[1]Base de datos'!$B:$F,2,FALSE)</f>
        <v>#N/A</v>
      </c>
      <c r="E834" t="e">
        <f>VLOOKUP(B834,'[1]Base de datos'!$B:$E,3,FALSE)</f>
        <v>#N/A</v>
      </c>
      <c r="F834" t="e">
        <f>VLOOKUP(B834,'[1]Base de datos'!$B:$E,4,FALSE)</f>
        <v>#N/A</v>
      </c>
    </row>
    <row r="835" spans="2:6" x14ac:dyDescent="0.25">
      <c r="B835" s="28"/>
      <c r="C835" s="19"/>
      <c r="D835" s="5" t="e">
        <f>VLOOKUP(B835,'[1]Base de datos'!$B:$F,2,FALSE)</f>
        <v>#N/A</v>
      </c>
      <c r="E835" t="e">
        <f>VLOOKUP(B835,'[1]Base de datos'!$B:$E,3,FALSE)</f>
        <v>#N/A</v>
      </c>
      <c r="F835" t="e">
        <f>VLOOKUP(B835,'[1]Base de datos'!$B:$E,4,FALSE)</f>
        <v>#N/A</v>
      </c>
    </row>
    <row r="836" spans="2:6" x14ac:dyDescent="0.25">
      <c r="B836" s="28"/>
      <c r="C836" s="19"/>
      <c r="D836" s="5" t="e">
        <f>VLOOKUP(B836,'[1]Base de datos'!$B:$F,2,FALSE)</f>
        <v>#N/A</v>
      </c>
      <c r="E836" t="e">
        <f>VLOOKUP(B836,'[1]Base de datos'!$B:$E,3,FALSE)</f>
        <v>#N/A</v>
      </c>
      <c r="F836" t="e">
        <f>VLOOKUP(B836,'[1]Base de datos'!$B:$E,4,FALSE)</f>
        <v>#N/A</v>
      </c>
    </row>
    <row r="837" spans="2:6" x14ac:dyDescent="0.25">
      <c r="B837" s="28"/>
      <c r="C837" s="19"/>
      <c r="D837" s="5" t="e">
        <f>VLOOKUP(B837,'[1]Base de datos'!$B:$F,2,FALSE)</f>
        <v>#N/A</v>
      </c>
      <c r="E837" t="e">
        <f>VLOOKUP(B837,'[1]Base de datos'!$B:$E,3,FALSE)</f>
        <v>#N/A</v>
      </c>
      <c r="F837" t="e">
        <f>VLOOKUP(B837,'[1]Base de datos'!$B:$E,4,FALSE)</f>
        <v>#N/A</v>
      </c>
    </row>
    <row r="838" spans="2:6" x14ac:dyDescent="0.25">
      <c r="B838" s="28"/>
      <c r="C838" s="19"/>
      <c r="D838" s="5" t="e">
        <f>VLOOKUP(B838,'[1]Base de datos'!$B:$F,2,FALSE)</f>
        <v>#N/A</v>
      </c>
      <c r="E838" t="e">
        <f>VLOOKUP(B838,'[1]Base de datos'!$B:$E,3,FALSE)</f>
        <v>#N/A</v>
      </c>
      <c r="F838" t="e">
        <f>VLOOKUP(B838,'[1]Base de datos'!$B:$E,4,FALSE)</f>
        <v>#N/A</v>
      </c>
    </row>
    <row r="839" spans="2:6" x14ac:dyDescent="0.25">
      <c r="B839" s="28"/>
      <c r="C839" s="19"/>
      <c r="D839" s="5" t="e">
        <f>VLOOKUP(B839,'[1]Base de datos'!$B:$F,2,FALSE)</f>
        <v>#N/A</v>
      </c>
      <c r="E839" t="e">
        <f>VLOOKUP(B839,'[1]Base de datos'!$B:$E,3,FALSE)</f>
        <v>#N/A</v>
      </c>
      <c r="F839" t="e">
        <f>VLOOKUP(B839,'[1]Base de datos'!$B:$E,4,FALSE)</f>
        <v>#N/A</v>
      </c>
    </row>
    <row r="840" spans="2:6" x14ac:dyDescent="0.25">
      <c r="B840" s="28"/>
      <c r="C840" s="19"/>
      <c r="D840" s="5" t="e">
        <f>VLOOKUP(B840,'[1]Base de datos'!$B:$F,2,FALSE)</f>
        <v>#N/A</v>
      </c>
      <c r="E840" t="e">
        <f>VLOOKUP(B840,'[1]Base de datos'!$B:$E,3,FALSE)</f>
        <v>#N/A</v>
      </c>
      <c r="F840" t="e">
        <f>VLOOKUP(B840,'[1]Base de datos'!$B:$E,4,FALSE)</f>
        <v>#N/A</v>
      </c>
    </row>
    <row r="841" spans="2:6" x14ac:dyDescent="0.25">
      <c r="B841" s="28"/>
      <c r="C841" s="19"/>
      <c r="D841" s="5" t="e">
        <f>VLOOKUP(B841,'[1]Base de datos'!$B:$F,2,FALSE)</f>
        <v>#N/A</v>
      </c>
      <c r="E841" t="e">
        <f>VLOOKUP(B841,'[1]Base de datos'!$B:$E,3,FALSE)</f>
        <v>#N/A</v>
      </c>
      <c r="F841" t="e">
        <f>VLOOKUP(B841,'[1]Base de datos'!$B:$E,4,FALSE)</f>
        <v>#N/A</v>
      </c>
    </row>
    <row r="842" spans="2:6" x14ac:dyDescent="0.25">
      <c r="B842" s="28"/>
      <c r="C842" s="19"/>
      <c r="D842" s="5" t="e">
        <f>VLOOKUP(B842,'[1]Base de datos'!$B:$F,2,FALSE)</f>
        <v>#N/A</v>
      </c>
      <c r="E842" t="e">
        <f>VLOOKUP(B842,'[1]Base de datos'!$B:$E,3,FALSE)</f>
        <v>#N/A</v>
      </c>
      <c r="F842" t="e">
        <f>VLOOKUP(B842,'[1]Base de datos'!$B:$E,4,FALSE)</f>
        <v>#N/A</v>
      </c>
    </row>
    <row r="843" spans="2:6" x14ac:dyDescent="0.25">
      <c r="B843" s="28"/>
      <c r="C843" s="19"/>
      <c r="D843" s="5" t="e">
        <f>VLOOKUP(B843,'[1]Base de datos'!$B:$F,2,FALSE)</f>
        <v>#N/A</v>
      </c>
      <c r="E843" t="e">
        <f>VLOOKUP(B843,'[1]Base de datos'!$B:$E,3,FALSE)</f>
        <v>#N/A</v>
      </c>
      <c r="F843" t="e">
        <f>VLOOKUP(B843,'[1]Base de datos'!$B:$E,4,FALSE)</f>
        <v>#N/A</v>
      </c>
    </row>
    <row r="844" spans="2:6" x14ac:dyDescent="0.25">
      <c r="B844" s="28"/>
      <c r="C844" s="19"/>
      <c r="D844" s="5" t="e">
        <f>VLOOKUP(B844,'[1]Base de datos'!$B:$F,2,FALSE)</f>
        <v>#N/A</v>
      </c>
      <c r="E844" t="e">
        <f>VLOOKUP(B844,'[1]Base de datos'!$B:$E,3,FALSE)</f>
        <v>#N/A</v>
      </c>
      <c r="F844" t="e">
        <f>VLOOKUP(B844,'[1]Base de datos'!$B:$E,4,FALSE)</f>
        <v>#N/A</v>
      </c>
    </row>
    <row r="845" spans="2:6" x14ac:dyDescent="0.25">
      <c r="B845" s="28"/>
      <c r="C845" s="19"/>
      <c r="D845" s="5" t="e">
        <f>VLOOKUP(B845,'[1]Base de datos'!$B:$F,2,FALSE)</f>
        <v>#N/A</v>
      </c>
      <c r="E845" t="e">
        <f>VLOOKUP(B845,'[1]Base de datos'!$B:$E,3,FALSE)</f>
        <v>#N/A</v>
      </c>
      <c r="F845" t="e">
        <f>VLOOKUP(B845,'[1]Base de datos'!$B:$E,4,FALSE)</f>
        <v>#N/A</v>
      </c>
    </row>
    <row r="846" spans="2:6" x14ac:dyDescent="0.25">
      <c r="B846" s="28"/>
      <c r="C846" s="19"/>
      <c r="D846" s="5" t="e">
        <f>VLOOKUP(B846,'[1]Base de datos'!$B:$F,2,FALSE)</f>
        <v>#N/A</v>
      </c>
      <c r="E846" t="e">
        <f>VLOOKUP(B846,'[1]Base de datos'!$B:$E,3,FALSE)</f>
        <v>#N/A</v>
      </c>
      <c r="F846" t="e">
        <f>VLOOKUP(B846,'[1]Base de datos'!$B:$E,4,FALSE)</f>
        <v>#N/A</v>
      </c>
    </row>
    <row r="847" spans="2:6" x14ac:dyDescent="0.25">
      <c r="B847" s="28"/>
      <c r="C847" s="19"/>
      <c r="D847" s="5" t="e">
        <f>VLOOKUP(B847,'[1]Base de datos'!$B:$F,2,FALSE)</f>
        <v>#N/A</v>
      </c>
      <c r="E847" t="e">
        <f>VLOOKUP(B847,'[1]Base de datos'!$B:$E,3,FALSE)</f>
        <v>#N/A</v>
      </c>
      <c r="F847" t="e">
        <f>VLOOKUP(B847,'[1]Base de datos'!$B:$E,4,FALSE)</f>
        <v>#N/A</v>
      </c>
    </row>
    <row r="848" spans="2:6" x14ac:dyDescent="0.25">
      <c r="B848" s="28"/>
      <c r="C848" s="19"/>
      <c r="D848" s="5" t="e">
        <f>VLOOKUP(B848,'[1]Base de datos'!$B:$F,2,FALSE)</f>
        <v>#N/A</v>
      </c>
      <c r="E848" t="e">
        <f>VLOOKUP(B848,'[1]Base de datos'!$B:$E,3,FALSE)</f>
        <v>#N/A</v>
      </c>
      <c r="F848" t="e">
        <f>VLOOKUP(B848,'[1]Base de datos'!$B:$E,4,FALSE)</f>
        <v>#N/A</v>
      </c>
    </row>
    <row r="849" spans="2:6" x14ac:dyDescent="0.25">
      <c r="B849" s="28"/>
      <c r="C849" s="19"/>
      <c r="D849" s="5" t="e">
        <f>VLOOKUP(B849,'[1]Base de datos'!$B:$F,2,FALSE)</f>
        <v>#N/A</v>
      </c>
      <c r="E849" t="e">
        <f>VLOOKUP(B849,'[1]Base de datos'!$B:$E,3,FALSE)</f>
        <v>#N/A</v>
      </c>
      <c r="F849" t="e">
        <f>VLOOKUP(B849,'[1]Base de datos'!$B:$E,4,FALSE)</f>
        <v>#N/A</v>
      </c>
    </row>
    <row r="850" spans="2:6" x14ac:dyDescent="0.25">
      <c r="B850" s="28"/>
      <c r="C850" s="19"/>
      <c r="D850" s="5" t="e">
        <f>VLOOKUP(B850,'[1]Base de datos'!$B:$F,2,FALSE)</f>
        <v>#N/A</v>
      </c>
      <c r="E850" t="e">
        <f>VLOOKUP(B850,'[1]Base de datos'!$B:$E,3,FALSE)</f>
        <v>#N/A</v>
      </c>
      <c r="F850" t="e">
        <f>VLOOKUP(B850,'[1]Base de datos'!$B:$E,4,FALSE)</f>
        <v>#N/A</v>
      </c>
    </row>
    <row r="851" spans="2:6" x14ac:dyDescent="0.25">
      <c r="B851" s="28"/>
      <c r="C851" s="19"/>
      <c r="D851" s="5" t="e">
        <f>VLOOKUP(B851,'[1]Base de datos'!$B:$F,2,FALSE)</f>
        <v>#N/A</v>
      </c>
      <c r="E851" t="e">
        <f>VLOOKUP(B851,'[1]Base de datos'!$B:$E,3,FALSE)</f>
        <v>#N/A</v>
      </c>
      <c r="F851" t="e">
        <f>VLOOKUP(B851,'[1]Base de datos'!$B:$E,4,FALSE)</f>
        <v>#N/A</v>
      </c>
    </row>
    <row r="852" spans="2:6" x14ac:dyDescent="0.25">
      <c r="B852" s="28"/>
      <c r="C852" s="19"/>
      <c r="D852" s="5" t="e">
        <f>VLOOKUP(B852,'[1]Base de datos'!$B:$F,2,FALSE)</f>
        <v>#N/A</v>
      </c>
      <c r="E852" t="e">
        <f>VLOOKUP(B852,'[1]Base de datos'!$B:$E,3,FALSE)</f>
        <v>#N/A</v>
      </c>
      <c r="F852" t="e">
        <f>VLOOKUP(B852,'[1]Base de datos'!$B:$E,4,FALSE)</f>
        <v>#N/A</v>
      </c>
    </row>
    <row r="853" spans="2:6" x14ac:dyDescent="0.25">
      <c r="B853" s="28"/>
      <c r="C853" s="19"/>
      <c r="D853" s="5" t="e">
        <f>VLOOKUP(B853,'[1]Base de datos'!$B:$F,2,FALSE)</f>
        <v>#N/A</v>
      </c>
      <c r="E853" t="e">
        <f>VLOOKUP(B853,'[1]Base de datos'!$B:$E,3,FALSE)</f>
        <v>#N/A</v>
      </c>
      <c r="F853" t="e">
        <f>VLOOKUP(B853,'[1]Base de datos'!$B:$E,4,FALSE)</f>
        <v>#N/A</v>
      </c>
    </row>
    <row r="854" spans="2:6" x14ac:dyDescent="0.25">
      <c r="B854" s="28"/>
      <c r="C854" s="19"/>
      <c r="D854" s="5" t="e">
        <f>VLOOKUP(B854,'[1]Base de datos'!$B:$F,2,FALSE)</f>
        <v>#N/A</v>
      </c>
      <c r="E854" t="e">
        <f>VLOOKUP(B854,'[1]Base de datos'!$B:$E,3,FALSE)</f>
        <v>#N/A</v>
      </c>
      <c r="F854" t="e">
        <f>VLOOKUP(B854,'[1]Base de datos'!$B:$E,4,FALSE)</f>
        <v>#N/A</v>
      </c>
    </row>
    <row r="855" spans="2:6" x14ac:dyDescent="0.25">
      <c r="B855" s="28"/>
      <c r="C855" s="19"/>
      <c r="D855" s="5" t="e">
        <f>VLOOKUP(B855,'[1]Base de datos'!$B:$F,2,FALSE)</f>
        <v>#N/A</v>
      </c>
      <c r="E855" t="e">
        <f>VLOOKUP(B855,'[1]Base de datos'!$B:$E,3,FALSE)</f>
        <v>#N/A</v>
      </c>
      <c r="F855" t="e">
        <f>VLOOKUP(B855,'[1]Base de datos'!$B:$E,4,FALSE)</f>
        <v>#N/A</v>
      </c>
    </row>
    <row r="856" spans="2:6" x14ac:dyDescent="0.25">
      <c r="B856" s="28"/>
      <c r="C856" s="19"/>
      <c r="D856" s="5" t="e">
        <f>VLOOKUP(B856,'[1]Base de datos'!$B:$F,2,FALSE)</f>
        <v>#N/A</v>
      </c>
      <c r="E856" t="e">
        <f>VLOOKUP(B856,'[1]Base de datos'!$B:$E,3,FALSE)</f>
        <v>#N/A</v>
      </c>
      <c r="F856" t="e">
        <f>VLOOKUP(B856,'[1]Base de datos'!$B:$E,4,FALSE)</f>
        <v>#N/A</v>
      </c>
    </row>
    <row r="857" spans="2:6" x14ac:dyDescent="0.25">
      <c r="B857" s="28"/>
      <c r="C857" s="19"/>
      <c r="D857" s="5" t="e">
        <f>VLOOKUP(B857,'[1]Base de datos'!$B:$F,2,FALSE)</f>
        <v>#N/A</v>
      </c>
      <c r="E857" t="e">
        <f>VLOOKUP(B857,'[1]Base de datos'!$B:$E,3,FALSE)</f>
        <v>#N/A</v>
      </c>
      <c r="F857" t="e">
        <f>VLOOKUP(B857,'[1]Base de datos'!$B:$E,4,FALSE)</f>
        <v>#N/A</v>
      </c>
    </row>
    <row r="858" spans="2:6" x14ac:dyDescent="0.25">
      <c r="B858" s="28"/>
      <c r="C858" s="19"/>
      <c r="D858" s="5" t="e">
        <f>VLOOKUP(B858,'[1]Base de datos'!$B:$F,2,FALSE)</f>
        <v>#N/A</v>
      </c>
      <c r="E858" t="e">
        <f>VLOOKUP(B858,'[1]Base de datos'!$B:$E,3,FALSE)</f>
        <v>#N/A</v>
      </c>
      <c r="F858" t="e">
        <f>VLOOKUP(B858,'[1]Base de datos'!$B:$E,4,FALSE)</f>
        <v>#N/A</v>
      </c>
    </row>
    <row r="859" spans="2:6" x14ac:dyDescent="0.25">
      <c r="B859" s="28"/>
      <c r="C859" s="19"/>
      <c r="D859" s="5" t="e">
        <f>VLOOKUP(B859,'[1]Base de datos'!$B:$F,2,FALSE)</f>
        <v>#N/A</v>
      </c>
      <c r="E859" t="e">
        <f>VLOOKUP(B859,'[1]Base de datos'!$B:$E,3,FALSE)</f>
        <v>#N/A</v>
      </c>
      <c r="F859" t="e">
        <f>VLOOKUP(B859,'[1]Base de datos'!$B:$E,4,FALSE)</f>
        <v>#N/A</v>
      </c>
    </row>
    <row r="860" spans="2:6" x14ac:dyDescent="0.25">
      <c r="B860" s="28"/>
      <c r="C860" s="19"/>
      <c r="D860" s="5" t="e">
        <f>VLOOKUP(B860,'[1]Base de datos'!$B:$F,2,FALSE)</f>
        <v>#N/A</v>
      </c>
      <c r="E860" t="e">
        <f>VLOOKUP(B860,'[1]Base de datos'!$B:$E,3,FALSE)</f>
        <v>#N/A</v>
      </c>
      <c r="F860" t="e">
        <f>VLOOKUP(B860,'[1]Base de datos'!$B:$E,4,FALSE)</f>
        <v>#N/A</v>
      </c>
    </row>
    <row r="861" spans="2:6" x14ac:dyDescent="0.25">
      <c r="B861" s="28"/>
      <c r="C861" s="19"/>
      <c r="D861" s="5" t="e">
        <f>VLOOKUP(B861,'[1]Base de datos'!$B:$F,2,FALSE)</f>
        <v>#N/A</v>
      </c>
      <c r="E861" t="e">
        <f>VLOOKUP(B861,'[1]Base de datos'!$B:$E,3,FALSE)</f>
        <v>#N/A</v>
      </c>
      <c r="F861" t="e">
        <f>VLOOKUP(B861,'[1]Base de datos'!$B:$E,4,FALSE)</f>
        <v>#N/A</v>
      </c>
    </row>
    <row r="862" spans="2:6" x14ac:dyDescent="0.25">
      <c r="B862" s="28"/>
      <c r="C862" s="19"/>
      <c r="D862" s="5" t="e">
        <f>VLOOKUP(B862,'[1]Base de datos'!$B:$F,2,FALSE)</f>
        <v>#N/A</v>
      </c>
      <c r="E862" t="e">
        <f>VLOOKUP(B862,'[1]Base de datos'!$B:$E,3,FALSE)</f>
        <v>#N/A</v>
      </c>
      <c r="F862" t="e">
        <f>VLOOKUP(B862,'[1]Base de datos'!$B:$E,4,FALSE)</f>
        <v>#N/A</v>
      </c>
    </row>
    <row r="863" spans="2:6" x14ac:dyDescent="0.25">
      <c r="B863" s="28"/>
      <c r="C863" s="19"/>
      <c r="D863" s="5" t="e">
        <f>VLOOKUP(B863,'[1]Base de datos'!$B:$F,2,FALSE)</f>
        <v>#N/A</v>
      </c>
      <c r="E863" t="e">
        <f>VLOOKUP(B863,'[1]Base de datos'!$B:$E,3,FALSE)</f>
        <v>#N/A</v>
      </c>
      <c r="F863" t="e">
        <f>VLOOKUP(B863,'[1]Base de datos'!$B:$E,4,FALSE)</f>
        <v>#N/A</v>
      </c>
    </row>
    <row r="864" spans="2:6" x14ac:dyDescent="0.25">
      <c r="B864" s="28"/>
      <c r="C864" s="19"/>
      <c r="D864" s="5" t="e">
        <f>VLOOKUP(B864,'[1]Base de datos'!$B:$F,2,FALSE)</f>
        <v>#N/A</v>
      </c>
      <c r="E864" t="e">
        <f>VLOOKUP(B864,'[1]Base de datos'!$B:$E,3,FALSE)</f>
        <v>#N/A</v>
      </c>
      <c r="F864" t="e">
        <f>VLOOKUP(B864,'[1]Base de datos'!$B:$E,4,FALSE)</f>
        <v>#N/A</v>
      </c>
    </row>
    <row r="865" spans="2:6" x14ac:dyDescent="0.25">
      <c r="B865" s="28"/>
      <c r="C865" s="19"/>
      <c r="D865" s="5" t="e">
        <f>VLOOKUP(B865,'[1]Base de datos'!$B:$F,2,FALSE)</f>
        <v>#N/A</v>
      </c>
      <c r="E865" t="e">
        <f>VLOOKUP(B865,'[1]Base de datos'!$B:$E,3,FALSE)</f>
        <v>#N/A</v>
      </c>
      <c r="F865" t="e">
        <f>VLOOKUP(B865,'[1]Base de datos'!$B:$E,4,FALSE)</f>
        <v>#N/A</v>
      </c>
    </row>
    <row r="866" spans="2:6" x14ac:dyDescent="0.25">
      <c r="B866" s="28"/>
      <c r="C866" s="19"/>
      <c r="D866" s="5" t="e">
        <f>VLOOKUP(B866,'[1]Base de datos'!$B:$F,2,FALSE)</f>
        <v>#N/A</v>
      </c>
      <c r="E866" t="e">
        <f>VLOOKUP(B866,'[1]Base de datos'!$B:$E,3,FALSE)</f>
        <v>#N/A</v>
      </c>
      <c r="F866" t="e">
        <f>VLOOKUP(B866,'[1]Base de datos'!$B:$E,4,FALSE)</f>
        <v>#N/A</v>
      </c>
    </row>
    <row r="867" spans="2:6" x14ac:dyDescent="0.25">
      <c r="B867" s="28"/>
      <c r="C867" s="19"/>
      <c r="D867" s="5" t="e">
        <f>VLOOKUP(B867,'[1]Base de datos'!$B:$F,2,FALSE)</f>
        <v>#N/A</v>
      </c>
      <c r="E867" t="e">
        <f>VLOOKUP(B867,'[1]Base de datos'!$B:$E,3,FALSE)</f>
        <v>#N/A</v>
      </c>
      <c r="F867" t="e">
        <f>VLOOKUP(B867,'[1]Base de datos'!$B:$E,4,FALSE)</f>
        <v>#N/A</v>
      </c>
    </row>
    <row r="868" spans="2:6" x14ac:dyDescent="0.25">
      <c r="B868" s="28"/>
      <c r="C868" s="19"/>
      <c r="D868" s="5" t="e">
        <f>VLOOKUP(B868,'[1]Base de datos'!$B:$F,2,FALSE)</f>
        <v>#N/A</v>
      </c>
      <c r="E868" t="e">
        <f>VLOOKUP(B868,'[1]Base de datos'!$B:$E,3,FALSE)</f>
        <v>#N/A</v>
      </c>
      <c r="F868" t="e">
        <f>VLOOKUP(B868,'[1]Base de datos'!$B:$E,4,FALSE)</f>
        <v>#N/A</v>
      </c>
    </row>
    <row r="869" spans="2:6" x14ac:dyDescent="0.25">
      <c r="B869" s="28"/>
      <c r="C869" s="19"/>
      <c r="D869" s="5" t="e">
        <f>VLOOKUP(B869,'[1]Base de datos'!$B:$F,2,FALSE)</f>
        <v>#N/A</v>
      </c>
      <c r="E869" t="e">
        <f>VLOOKUP(B869,'[1]Base de datos'!$B:$E,3,FALSE)</f>
        <v>#N/A</v>
      </c>
      <c r="F869" t="e">
        <f>VLOOKUP(B869,'[1]Base de datos'!$B:$E,4,FALSE)</f>
        <v>#N/A</v>
      </c>
    </row>
    <row r="870" spans="2:6" x14ac:dyDescent="0.25">
      <c r="B870" s="28"/>
      <c r="C870" s="19"/>
      <c r="D870" s="5" t="e">
        <f>VLOOKUP(B870,'[1]Base de datos'!$B:$F,2,FALSE)</f>
        <v>#N/A</v>
      </c>
      <c r="E870" t="e">
        <f>VLOOKUP(B870,'[1]Base de datos'!$B:$E,3,FALSE)</f>
        <v>#N/A</v>
      </c>
      <c r="F870" t="e">
        <f>VLOOKUP(B870,'[1]Base de datos'!$B:$E,4,FALSE)</f>
        <v>#N/A</v>
      </c>
    </row>
    <row r="871" spans="2:6" x14ac:dyDescent="0.25">
      <c r="B871" s="28"/>
      <c r="C871" s="19"/>
      <c r="D871" s="5" t="e">
        <f>VLOOKUP(B871,'[1]Base de datos'!$B:$F,2,FALSE)</f>
        <v>#N/A</v>
      </c>
      <c r="E871" t="e">
        <f>VLOOKUP(B871,'[1]Base de datos'!$B:$E,3,FALSE)</f>
        <v>#N/A</v>
      </c>
      <c r="F871" t="e">
        <f>VLOOKUP(B871,'[1]Base de datos'!$B:$E,4,FALSE)</f>
        <v>#N/A</v>
      </c>
    </row>
    <row r="872" spans="2:6" x14ac:dyDescent="0.25">
      <c r="B872" s="28"/>
      <c r="C872" s="19"/>
      <c r="D872" s="5" t="e">
        <f>VLOOKUP(B872,'[1]Base de datos'!$B:$F,2,FALSE)</f>
        <v>#N/A</v>
      </c>
      <c r="E872" t="e">
        <f>VLOOKUP(B872,'[1]Base de datos'!$B:$E,3,FALSE)</f>
        <v>#N/A</v>
      </c>
      <c r="F872" t="e">
        <f>VLOOKUP(B872,'[1]Base de datos'!$B:$E,4,FALSE)</f>
        <v>#N/A</v>
      </c>
    </row>
    <row r="873" spans="2:6" x14ac:dyDescent="0.25">
      <c r="B873" s="28"/>
      <c r="C873" s="19"/>
      <c r="D873" s="5" t="e">
        <f>VLOOKUP(B873,'[1]Base de datos'!$B:$F,2,FALSE)</f>
        <v>#N/A</v>
      </c>
      <c r="E873" t="e">
        <f>VLOOKUP(B873,'[1]Base de datos'!$B:$E,3,FALSE)</f>
        <v>#N/A</v>
      </c>
      <c r="F873" t="e">
        <f>VLOOKUP(B873,'[1]Base de datos'!$B:$E,4,FALSE)</f>
        <v>#N/A</v>
      </c>
    </row>
    <row r="874" spans="2:6" x14ac:dyDescent="0.25">
      <c r="B874" s="28"/>
      <c r="C874" s="19"/>
      <c r="D874" s="5" t="e">
        <f>VLOOKUP(B874,'[1]Base de datos'!$B:$F,2,FALSE)</f>
        <v>#N/A</v>
      </c>
      <c r="E874" t="e">
        <f>VLOOKUP(B874,'[1]Base de datos'!$B:$E,3,FALSE)</f>
        <v>#N/A</v>
      </c>
      <c r="F874" t="e">
        <f>VLOOKUP(B874,'[1]Base de datos'!$B:$E,4,FALSE)</f>
        <v>#N/A</v>
      </c>
    </row>
    <row r="875" spans="2:6" x14ac:dyDescent="0.25">
      <c r="B875" s="28"/>
      <c r="C875" s="19"/>
      <c r="D875" s="5" t="e">
        <f>VLOOKUP(B875,'[1]Base de datos'!$B:$F,2,FALSE)</f>
        <v>#N/A</v>
      </c>
      <c r="E875" t="e">
        <f>VLOOKUP(B875,'[1]Base de datos'!$B:$E,3,FALSE)</f>
        <v>#N/A</v>
      </c>
      <c r="F875" t="e">
        <f>VLOOKUP(B875,'[1]Base de datos'!$B:$E,4,FALSE)</f>
        <v>#N/A</v>
      </c>
    </row>
    <row r="876" spans="2:6" x14ac:dyDescent="0.25">
      <c r="B876" s="28"/>
      <c r="C876" s="19"/>
      <c r="D876" s="5" t="e">
        <f>VLOOKUP(B876,'[1]Base de datos'!$B:$F,2,FALSE)</f>
        <v>#N/A</v>
      </c>
      <c r="E876" t="e">
        <f>VLOOKUP(B876,'[1]Base de datos'!$B:$E,3,FALSE)</f>
        <v>#N/A</v>
      </c>
      <c r="F876" t="e">
        <f>VLOOKUP(B876,'[1]Base de datos'!$B:$E,4,FALSE)</f>
        <v>#N/A</v>
      </c>
    </row>
    <row r="877" spans="2:6" x14ac:dyDescent="0.25">
      <c r="B877" s="28"/>
      <c r="C877" s="19"/>
      <c r="D877" s="5" t="e">
        <f>VLOOKUP(B877,'[1]Base de datos'!$B:$F,2,FALSE)</f>
        <v>#N/A</v>
      </c>
      <c r="E877" t="e">
        <f>VLOOKUP(B877,'[1]Base de datos'!$B:$E,3,FALSE)</f>
        <v>#N/A</v>
      </c>
      <c r="F877" t="e">
        <f>VLOOKUP(B877,'[1]Base de datos'!$B:$E,4,FALSE)</f>
        <v>#N/A</v>
      </c>
    </row>
    <row r="878" spans="2:6" x14ac:dyDescent="0.25">
      <c r="B878" s="28"/>
      <c r="C878" s="19"/>
      <c r="D878" s="5" t="e">
        <f>VLOOKUP(B878,'[1]Base de datos'!$B:$F,2,FALSE)</f>
        <v>#N/A</v>
      </c>
      <c r="E878" t="e">
        <f>VLOOKUP(B878,'[1]Base de datos'!$B:$E,3,FALSE)</f>
        <v>#N/A</v>
      </c>
      <c r="F878" t="e">
        <f>VLOOKUP(B878,'[1]Base de datos'!$B:$E,4,FALSE)</f>
        <v>#N/A</v>
      </c>
    </row>
    <row r="879" spans="2:6" x14ac:dyDescent="0.25">
      <c r="B879" s="28"/>
      <c r="C879" s="19"/>
      <c r="D879" s="5" t="e">
        <f>VLOOKUP(B879,'[1]Base de datos'!$B:$F,2,FALSE)</f>
        <v>#N/A</v>
      </c>
      <c r="E879" t="e">
        <f>VLOOKUP(B879,'[1]Base de datos'!$B:$E,3,FALSE)</f>
        <v>#N/A</v>
      </c>
      <c r="F879" t="e">
        <f>VLOOKUP(B879,'[1]Base de datos'!$B:$E,4,FALSE)</f>
        <v>#N/A</v>
      </c>
    </row>
    <row r="880" spans="2:6" x14ac:dyDescent="0.25">
      <c r="B880" s="28"/>
      <c r="C880" s="19"/>
      <c r="D880" s="5" t="e">
        <f>VLOOKUP(B880,'[1]Base de datos'!$B:$F,2,FALSE)</f>
        <v>#N/A</v>
      </c>
      <c r="E880" t="e">
        <f>VLOOKUP(B880,'[1]Base de datos'!$B:$E,3,FALSE)</f>
        <v>#N/A</v>
      </c>
      <c r="F880" t="e">
        <f>VLOOKUP(B880,'[1]Base de datos'!$B:$E,4,FALSE)</f>
        <v>#N/A</v>
      </c>
    </row>
    <row r="881" spans="2:6" x14ac:dyDescent="0.25">
      <c r="B881" s="28"/>
      <c r="C881" s="19"/>
      <c r="D881" s="5" t="e">
        <f>VLOOKUP(B881,'[1]Base de datos'!$B:$F,2,FALSE)</f>
        <v>#N/A</v>
      </c>
      <c r="E881" t="e">
        <f>VLOOKUP(B881,'[1]Base de datos'!$B:$E,3,FALSE)</f>
        <v>#N/A</v>
      </c>
      <c r="F881" t="e">
        <f>VLOOKUP(B881,'[1]Base de datos'!$B:$E,4,FALSE)</f>
        <v>#N/A</v>
      </c>
    </row>
    <row r="882" spans="2:6" x14ac:dyDescent="0.25">
      <c r="B882" s="28"/>
      <c r="C882" s="19"/>
      <c r="D882" s="5" t="e">
        <f>VLOOKUP(B882,'[1]Base de datos'!$B:$F,2,FALSE)</f>
        <v>#N/A</v>
      </c>
      <c r="E882" t="e">
        <f>VLOOKUP(B882,'[1]Base de datos'!$B:$E,3,FALSE)</f>
        <v>#N/A</v>
      </c>
      <c r="F882" t="e">
        <f>VLOOKUP(B882,'[1]Base de datos'!$B:$E,4,FALSE)</f>
        <v>#N/A</v>
      </c>
    </row>
    <row r="883" spans="2:6" x14ac:dyDescent="0.25">
      <c r="B883" s="28"/>
      <c r="C883" s="19"/>
      <c r="D883" s="5" t="e">
        <f>VLOOKUP(B883,'[1]Base de datos'!$B:$F,2,FALSE)</f>
        <v>#N/A</v>
      </c>
      <c r="E883" t="e">
        <f>VLOOKUP(B883,'[1]Base de datos'!$B:$E,3,FALSE)</f>
        <v>#N/A</v>
      </c>
      <c r="F883" t="e">
        <f>VLOOKUP(B883,'[1]Base de datos'!$B:$E,4,FALSE)</f>
        <v>#N/A</v>
      </c>
    </row>
    <row r="884" spans="2:6" x14ac:dyDescent="0.25">
      <c r="B884" s="28"/>
      <c r="C884" s="19"/>
      <c r="D884" s="5" t="e">
        <f>VLOOKUP(B884,'[1]Base de datos'!$B:$F,2,FALSE)</f>
        <v>#N/A</v>
      </c>
      <c r="E884" t="e">
        <f>VLOOKUP(B884,'[1]Base de datos'!$B:$E,3,FALSE)</f>
        <v>#N/A</v>
      </c>
      <c r="F884" t="e">
        <f>VLOOKUP(B884,'[1]Base de datos'!$B:$E,4,FALSE)</f>
        <v>#N/A</v>
      </c>
    </row>
    <row r="885" spans="2:6" x14ac:dyDescent="0.25">
      <c r="B885" s="28"/>
      <c r="C885" s="19"/>
      <c r="D885" s="5" t="e">
        <f>VLOOKUP(B885,'[1]Base de datos'!$B:$F,2,FALSE)</f>
        <v>#N/A</v>
      </c>
      <c r="E885" t="e">
        <f>VLOOKUP(B885,'[1]Base de datos'!$B:$E,3,FALSE)</f>
        <v>#N/A</v>
      </c>
      <c r="F885" t="e">
        <f>VLOOKUP(B885,'[1]Base de datos'!$B:$E,4,FALSE)</f>
        <v>#N/A</v>
      </c>
    </row>
    <row r="886" spans="2:6" x14ac:dyDescent="0.25">
      <c r="B886" s="28"/>
      <c r="C886" s="19"/>
      <c r="D886" s="5" t="e">
        <f>VLOOKUP(B886,'[1]Base de datos'!$B:$F,2,FALSE)</f>
        <v>#N/A</v>
      </c>
      <c r="E886" t="e">
        <f>VLOOKUP(B886,'[1]Base de datos'!$B:$E,3,FALSE)</f>
        <v>#N/A</v>
      </c>
      <c r="F886" t="e">
        <f>VLOOKUP(B886,'[1]Base de datos'!$B:$E,4,FALSE)</f>
        <v>#N/A</v>
      </c>
    </row>
    <row r="887" spans="2:6" x14ac:dyDescent="0.25">
      <c r="B887" s="28"/>
      <c r="C887" s="19"/>
      <c r="D887" s="5" t="e">
        <f>VLOOKUP(B887,'[1]Base de datos'!$B:$F,2,FALSE)</f>
        <v>#N/A</v>
      </c>
      <c r="E887" t="e">
        <f>VLOOKUP(B887,'[1]Base de datos'!$B:$E,3,FALSE)</f>
        <v>#N/A</v>
      </c>
      <c r="F887" t="e">
        <f>VLOOKUP(B887,'[1]Base de datos'!$B:$E,4,FALSE)</f>
        <v>#N/A</v>
      </c>
    </row>
    <row r="888" spans="2:6" x14ac:dyDescent="0.25">
      <c r="B888" s="28"/>
      <c r="C888" s="19"/>
      <c r="D888" s="5" t="e">
        <f>VLOOKUP(B888,'[1]Base de datos'!$B:$F,2,FALSE)</f>
        <v>#N/A</v>
      </c>
      <c r="E888" t="e">
        <f>VLOOKUP(B888,'[1]Base de datos'!$B:$E,3,FALSE)</f>
        <v>#N/A</v>
      </c>
      <c r="F888" t="e">
        <f>VLOOKUP(B888,'[1]Base de datos'!$B:$E,4,FALSE)</f>
        <v>#N/A</v>
      </c>
    </row>
    <row r="889" spans="2:6" x14ac:dyDescent="0.25">
      <c r="B889" s="28"/>
      <c r="C889" s="19"/>
      <c r="D889" s="5" t="e">
        <f>VLOOKUP(B889,'[1]Base de datos'!$B:$F,2,FALSE)</f>
        <v>#N/A</v>
      </c>
      <c r="E889" t="e">
        <f>VLOOKUP(B889,'[1]Base de datos'!$B:$E,3,FALSE)</f>
        <v>#N/A</v>
      </c>
      <c r="F889" t="e">
        <f>VLOOKUP(B889,'[1]Base de datos'!$B:$E,4,FALSE)</f>
        <v>#N/A</v>
      </c>
    </row>
    <row r="890" spans="2:6" x14ac:dyDescent="0.25">
      <c r="B890" s="28"/>
      <c r="C890" s="19"/>
      <c r="D890" s="5" t="e">
        <f>VLOOKUP(B890,'[1]Base de datos'!$B:$F,2,FALSE)</f>
        <v>#N/A</v>
      </c>
      <c r="E890" t="e">
        <f>VLOOKUP(B890,'[1]Base de datos'!$B:$E,3,FALSE)</f>
        <v>#N/A</v>
      </c>
      <c r="F890" t="e">
        <f>VLOOKUP(B890,'[1]Base de datos'!$B:$E,4,FALSE)</f>
        <v>#N/A</v>
      </c>
    </row>
    <row r="891" spans="2:6" x14ac:dyDescent="0.25">
      <c r="B891" s="28"/>
      <c r="C891" s="19"/>
      <c r="D891" s="5" t="e">
        <f>VLOOKUP(B891,'[1]Base de datos'!$B:$F,2,FALSE)</f>
        <v>#N/A</v>
      </c>
      <c r="E891" t="e">
        <f>VLOOKUP(B891,'[1]Base de datos'!$B:$E,3,FALSE)</f>
        <v>#N/A</v>
      </c>
      <c r="F891" t="e">
        <f>VLOOKUP(B891,'[1]Base de datos'!$B:$E,4,FALSE)</f>
        <v>#N/A</v>
      </c>
    </row>
    <row r="892" spans="2:6" x14ac:dyDescent="0.25">
      <c r="B892" s="28"/>
      <c r="C892" s="19"/>
      <c r="D892" s="5" t="e">
        <f>VLOOKUP(B892,'[1]Base de datos'!$B:$F,2,FALSE)</f>
        <v>#N/A</v>
      </c>
      <c r="E892" t="e">
        <f>VLOOKUP(B892,'[1]Base de datos'!$B:$E,3,FALSE)</f>
        <v>#N/A</v>
      </c>
      <c r="F892" t="e">
        <f>VLOOKUP(B892,'[1]Base de datos'!$B:$E,4,FALSE)</f>
        <v>#N/A</v>
      </c>
    </row>
    <row r="893" spans="2:6" x14ac:dyDescent="0.25">
      <c r="B893" s="28"/>
      <c r="C893" s="19"/>
      <c r="D893" s="5" t="e">
        <f>VLOOKUP(B893,'[1]Base de datos'!$B:$F,2,FALSE)</f>
        <v>#N/A</v>
      </c>
      <c r="E893" t="e">
        <f>VLOOKUP(B893,'[1]Base de datos'!$B:$E,3,FALSE)</f>
        <v>#N/A</v>
      </c>
      <c r="F893" t="e">
        <f>VLOOKUP(B893,'[1]Base de datos'!$B:$E,4,FALSE)</f>
        <v>#N/A</v>
      </c>
    </row>
    <row r="894" spans="2:6" x14ac:dyDescent="0.25">
      <c r="B894" s="28"/>
      <c r="C894" s="19"/>
      <c r="D894" s="5" t="e">
        <f>VLOOKUP(B894,'[1]Base de datos'!$B:$F,2,FALSE)</f>
        <v>#N/A</v>
      </c>
      <c r="E894" t="e">
        <f>VLOOKUP(B894,'[1]Base de datos'!$B:$E,3,FALSE)</f>
        <v>#N/A</v>
      </c>
      <c r="F894" t="e">
        <f>VLOOKUP(B894,'[1]Base de datos'!$B:$E,4,FALSE)</f>
        <v>#N/A</v>
      </c>
    </row>
    <row r="895" spans="2:6" x14ac:dyDescent="0.25">
      <c r="B895" s="28"/>
      <c r="C895" s="19"/>
      <c r="D895" s="5" t="e">
        <f>VLOOKUP(B895,'[1]Base de datos'!$B:$F,2,FALSE)</f>
        <v>#N/A</v>
      </c>
      <c r="E895" t="e">
        <f>VLOOKUP(B895,'[1]Base de datos'!$B:$E,3,FALSE)</f>
        <v>#N/A</v>
      </c>
      <c r="F895" t="e">
        <f>VLOOKUP(B895,'[1]Base de datos'!$B:$E,4,FALSE)</f>
        <v>#N/A</v>
      </c>
    </row>
    <row r="896" spans="2:6" x14ac:dyDescent="0.25">
      <c r="B896" s="28"/>
      <c r="C896" s="19"/>
      <c r="D896" s="5" t="e">
        <f>VLOOKUP(B896,'[1]Base de datos'!$B:$F,2,FALSE)</f>
        <v>#N/A</v>
      </c>
      <c r="E896" t="e">
        <f>VLOOKUP(B896,'[1]Base de datos'!$B:$E,3,FALSE)</f>
        <v>#N/A</v>
      </c>
      <c r="F896" t="e">
        <f>VLOOKUP(B896,'[1]Base de datos'!$B:$E,4,FALSE)</f>
        <v>#N/A</v>
      </c>
    </row>
    <row r="897" spans="2:6" x14ac:dyDescent="0.25">
      <c r="B897" s="28"/>
      <c r="C897" s="19"/>
      <c r="D897" s="5" t="e">
        <f>VLOOKUP(B897,'[1]Base de datos'!$B:$F,2,FALSE)</f>
        <v>#N/A</v>
      </c>
      <c r="E897" t="e">
        <f>VLOOKUP(B897,'[1]Base de datos'!$B:$E,3,FALSE)</f>
        <v>#N/A</v>
      </c>
      <c r="F897" t="e">
        <f>VLOOKUP(B897,'[1]Base de datos'!$B:$E,4,FALSE)</f>
        <v>#N/A</v>
      </c>
    </row>
    <row r="898" spans="2:6" x14ac:dyDescent="0.25">
      <c r="B898" s="28"/>
      <c r="C898" s="19"/>
      <c r="D898" s="5" t="e">
        <f>VLOOKUP(B898,'[1]Base de datos'!$B:$F,2,FALSE)</f>
        <v>#N/A</v>
      </c>
      <c r="E898" t="e">
        <f>VLOOKUP(B898,'[1]Base de datos'!$B:$E,3,FALSE)</f>
        <v>#N/A</v>
      </c>
      <c r="F898" t="e">
        <f>VLOOKUP(B898,'[1]Base de datos'!$B:$E,4,FALSE)</f>
        <v>#N/A</v>
      </c>
    </row>
    <row r="899" spans="2:6" x14ac:dyDescent="0.25">
      <c r="B899" s="28"/>
      <c r="C899" s="19"/>
      <c r="D899" s="5" t="e">
        <f>VLOOKUP(B899,'[1]Base de datos'!$B:$F,2,FALSE)</f>
        <v>#N/A</v>
      </c>
      <c r="E899" t="e">
        <f>VLOOKUP(B899,'[1]Base de datos'!$B:$E,3,FALSE)</f>
        <v>#N/A</v>
      </c>
      <c r="F899" t="e">
        <f>VLOOKUP(B899,'[1]Base de datos'!$B:$E,4,FALSE)</f>
        <v>#N/A</v>
      </c>
    </row>
    <row r="900" spans="2:6" x14ac:dyDescent="0.25">
      <c r="B900" s="28"/>
      <c r="C900" s="19"/>
      <c r="D900" s="5" t="e">
        <f>VLOOKUP(B900,'[1]Base de datos'!$B:$F,2,FALSE)</f>
        <v>#N/A</v>
      </c>
      <c r="E900" t="e">
        <f>VLOOKUP(B900,'[1]Base de datos'!$B:$E,3,FALSE)</f>
        <v>#N/A</v>
      </c>
      <c r="F900" t="e">
        <f>VLOOKUP(B900,'[1]Base de datos'!$B:$E,4,FALSE)</f>
        <v>#N/A</v>
      </c>
    </row>
    <row r="901" spans="2:6" x14ac:dyDescent="0.25">
      <c r="B901" s="28"/>
      <c r="C901" s="19"/>
      <c r="D901" s="5" t="e">
        <f>VLOOKUP(B901,'[1]Base de datos'!$B:$F,2,FALSE)</f>
        <v>#N/A</v>
      </c>
      <c r="E901" t="e">
        <f>VLOOKUP(B901,'[1]Base de datos'!$B:$E,3,FALSE)</f>
        <v>#N/A</v>
      </c>
      <c r="F901" t="e">
        <f>VLOOKUP(B901,'[1]Base de datos'!$B:$E,4,FALSE)</f>
        <v>#N/A</v>
      </c>
    </row>
    <row r="902" spans="2:6" x14ac:dyDescent="0.25">
      <c r="B902" s="28"/>
      <c r="C902" s="19"/>
      <c r="D902" s="5" t="e">
        <f>VLOOKUP(B902,'[1]Base de datos'!$B:$F,2,FALSE)</f>
        <v>#N/A</v>
      </c>
      <c r="E902" t="e">
        <f>VLOOKUP(B902,'[1]Base de datos'!$B:$E,3,FALSE)</f>
        <v>#N/A</v>
      </c>
      <c r="F902" t="e">
        <f>VLOOKUP(B902,'[1]Base de datos'!$B:$E,4,FALSE)</f>
        <v>#N/A</v>
      </c>
    </row>
    <row r="903" spans="2:6" x14ac:dyDescent="0.25">
      <c r="B903" s="28"/>
      <c r="C903" s="19"/>
      <c r="D903" s="5" t="e">
        <f>VLOOKUP(B903,'[1]Base de datos'!$B:$F,2,FALSE)</f>
        <v>#N/A</v>
      </c>
      <c r="E903" t="e">
        <f>VLOOKUP(B903,'[1]Base de datos'!$B:$E,3,FALSE)</f>
        <v>#N/A</v>
      </c>
      <c r="F903" t="e">
        <f>VLOOKUP(B903,'[1]Base de datos'!$B:$E,4,FALSE)</f>
        <v>#N/A</v>
      </c>
    </row>
  </sheetData>
  <sheetProtection algorithmName="SHA-512" hashValue="LSxwgkvpT6ZxcD3GPTimplMqUw9xs4lbOBqTJY6cAkFsMRs5gVfiNZzJTPcfyOTMFzk0Jt2j4J3u+jLqLM0Zzg==" saltValue="OQWZp42c7txgfdeWp0mI0g==" spinCount="100000"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04"/>
  <sheetViews>
    <sheetView zoomScale="170" zoomScaleNormal="170" workbookViewId="0">
      <pane ySplit="1" topLeftCell="A314" activePane="bottomLeft" state="frozen"/>
      <selection pane="bottomLeft" activeCell="D321" sqref="D321"/>
    </sheetView>
  </sheetViews>
  <sheetFormatPr baseColWidth="10" defaultRowHeight="15.75" x14ac:dyDescent="0.25"/>
  <cols>
    <col min="1" max="1" width="17.5" customWidth="1"/>
    <col min="2" max="2" width="22.375" style="26" customWidth="1"/>
    <col min="3" max="3" width="10.875" style="9"/>
    <col min="4" max="4" width="36.625" customWidth="1"/>
    <col min="5" max="5" width="8.875" customWidth="1"/>
    <col min="6" max="6" width="5.875" customWidth="1"/>
    <col min="7" max="7" width="32.125" customWidth="1"/>
  </cols>
  <sheetData>
    <row r="1" spans="1:7" x14ac:dyDescent="0.25">
      <c r="A1" s="1" t="s">
        <v>0</v>
      </c>
      <c r="B1" s="20" t="s">
        <v>1</v>
      </c>
      <c r="C1" s="11" t="s">
        <v>2</v>
      </c>
      <c r="D1" s="1" t="s">
        <v>3</v>
      </c>
      <c r="E1" s="1" t="s">
        <v>6</v>
      </c>
      <c r="F1" s="1" t="s">
        <v>7</v>
      </c>
      <c r="G1" s="1" t="s">
        <v>8</v>
      </c>
    </row>
    <row r="2" spans="1:7" x14ac:dyDescent="0.25">
      <c r="A2" s="14">
        <f ca="1">NOW()</f>
        <v>43615.641223148152</v>
      </c>
      <c r="B2" s="21"/>
      <c r="C2" s="12"/>
      <c r="D2" s="13" t="e">
        <f>VLOOKUP(B2,'[1]Base de datos'!$B:$F,2,FALSE)</f>
        <v>#N/A</v>
      </c>
      <c r="E2" s="13" t="e">
        <f>VLOOKUP(B2,'[1]Base de datos'!$B:$E,3,FALSE)</f>
        <v>#N/A</v>
      </c>
      <c r="F2" s="13" t="e">
        <f>VLOOKUP(B2,'[1]Base de datos'!$B:$E,4,FALSE)</f>
        <v>#N/A</v>
      </c>
      <c r="G2" s="12"/>
    </row>
    <row r="3" spans="1:7" ht="21" x14ac:dyDescent="0.35">
      <c r="A3" s="15"/>
      <c r="B3" s="22">
        <v>200611001</v>
      </c>
      <c r="C3" s="16"/>
      <c r="D3" s="5" t="str">
        <f>VLOOKUP(B3,'[1]Base de datos'!$B:$F,2,FALSE)</f>
        <v>Pelicula PVC 35 mic. CH 611 mm</v>
      </c>
      <c r="E3">
        <f>VLOOKUP(B3,'[1]Base de datos'!$B:$E,3,FALSE)</f>
        <v>2820</v>
      </c>
      <c r="F3">
        <f>VLOOKUP(B3,'[1]Base de datos'!$B:$E,4,FALSE)</f>
        <v>78</v>
      </c>
    </row>
    <row r="4" spans="1:7" ht="21" x14ac:dyDescent="0.35">
      <c r="A4" s="15"/>
      <c r="B4" s="23">
        <f>+B3+1</f>
        <v>200611002</v>
      </c>
      <c r="C4" s="17"/>
      <c r="D4" s="5" t="str">
        <f>VLOOKUP(B4,'[1]Base de datos'!$B:$F,2,FALSE)</f>
        <v>Pelicula PVC 35 mic. CH 611 mm</v>
      </c>
      <c r="E4">
        <f>VLOOKUP(B4,'[1]Base de datos'!$B:$E,3,FALSE)</f>
        <v>2870</v>
      </c>
      <c r="F4">
        <f>VLOOKUP(B4,'[1]Base de datos'!$B:$E,4,FALSE)</f>
        <v>78.7</v>
      </c>
    </row>
    <row r="5" spans="1:7" ht="21" x14ac:dyDescent="0.35">
      <c r="A5" s="15"/>
      <c r="B5" s="22">
        <f t="shared" ref="B5:B68" si="0">+B4+1</f>
        <v>200611003</v>
      </c>
      <c r="C5" s="17"/>
      <c r="D5" s="5" t="str">
        <f>VLOOKUP(B5,'[1]Base de datos'!$B:$F,2,FALSE)</f>
        <v>Pelicula PVC 35 mic. CH 611 mm</v>
      </c>
      <c r="E5">
        <f>VLOOKUP(B5,'[1]Base de datos'!$B:$E,3,FALSE)</f>
        <v>2782</v>
      </c>
      <c r="F5">
        <f>VLOOKUP(B5,'[1]Base de datos'!$B:$E,4,FALSE)</f>
        <v>78.8</v>
      </c>
    </row>
    <row r="6" spans="1:7" ht="21" x14ac:dyDescent="0.35">
      <c r="A6" s="15"/>
      <c r="B6" s="23">
        <f t="shared" si="0"/>
        <v>200611004</v>
      </c>
      <c r="C6" s="17"/>
      <c r="D6" s="5" t="str">
        <f>VLOOKUP(B6,'[1]Base de datos'!$B:$F,2,FALSE)</f>
        <v>Pelicula PVC 35 mic. CH 611 mm</v>
      </c>
      <c r="E6">
        <f>VLOOKUP(B6,'[1]Base de datos'!$B:$E,3,FALSE)</f>
        <v>2941</v>
      </c>
      <c r="F6">
        <f>VLOOKUP(B6,'[1]Base de datos'!$B:$E,4,FALSE)</f>
        <v>81.400000000000006</v>
      </c>
    </row>
    <row r="7" spans="1:7" ht="21" x14ac:dyDescent="0.35">
      <c r="A7" s="15"/>
      <c r="B7" s="22">
        <f t="shared" si="0"/>
        <v>200611005</v>
      </c>
      <c r="C7" s="17"/>
      <c r="D7" s="5" t="str">
        <f>VLOOKUP(B7,'[1]Base de datos'!$B:$F,2,FALSE)</f>
        <v>Pelicula PVC 35 mic. CH 611 mm</v>
      </c>
      <c r="E7">
        <f>VLOOKUP(B7,'[1]Base de datos'!$B:$E,3,FALSE)</f>
        <v>2800</v>
      </c>
      <c r="F7">
        <f>VLOOKUP(B7,'[1]Base de datos'!$B:$E,4,FALSE)</f>
        <v>77.2</v>
      </c>
    </row>
    <row r="8" spans="1:7" ht="21" x14ac:dyDescent="0.35">
      <c r="A8" s="15"/>
      <c r="B8" s="23">
        <f t="shared" si="0"/>
        <v>200611006</v>
      </c>
      <c r="C8" s="17"/>
      <c r="D8" s="5" t="str">
        <f>VLOOKUP(B8,'[1]Base de datos'!$B:$F,2,FALSE)</f>
        <v>Pelicula PVC 35 mic. CH 611 mm</v>
      </c>
      <c r="E8">
        <f>VLOOKUP(B8,'[1]Base de datos'!$B:$E,3,FALSE)</f>
        <v>2820</v>
      </c>
      <c r="F8">
        <f>VLOOKUP(B8,'[1]Base de datos'!$B:$E,4,FALSE)</f>
        <v>79.400000000000006</v>
      </c>
    </row>
    <row r="9" spans="1:7" ht="21" x14ac:dyDescent="0.35">
      <c r="A9" s="15"/>
      <c r="B9" s="22">
        <f t="shared" si="0"/>
        <v>200611007</v>
      </c>
      <c r="C9" s="17"/>
      <c r="D9" s="5" t="str">
        <f>VLOOKUP(B9,'[1]Base de datos'!$B:$F,2,FALSE)</f>
        <v>Pelicula PVC 35 mic. CH 611 mm</v>
      </c>
      <c r="E9">
        <f>VLOOKUP(B9,'[1]Base de datos'!$B:$E,3,FALSE)</f>
        <v>2814</v>
      </c>
      <c r="F9">
        <f>VLOOKUP(B9,'[1]Base de datos'!$B:$E,4,FALSE)</f>
        <v>78.5</v>
      </c>
    </row>
    <row r="10" spans="1:7" ht="21" x14ac:dyDescent="0.35">
      <c r="A10" s="15"/>
      <c r="B10" s="23">
        <f t="shared" si="0"/>
        <v>200611008</v>
      </c>
      <c r="C10" s="17"/>
      <c r="D10" s="5" t="str">
        <f>VLOOKUP(B10,'[1]Base de datos'!$B:$F,2,FALSE)</f>
        <v>Pelicula PVC 35 mic. CH 611 mm</v>
      </c>
      <c r="E10">
        <f>VLOOKUP(B10,'[1]Base de datos'!$B:$E,3,FALSE)</f>
        <v>2913</v>
      </c>
      <c r="F10">
        <f>VLOOKUP(B10,'[1]Base de datos'!$B:$E,4,FALSE)</f>
        <v>83.3</v>
      </c>
    </row>
    <row r="11" spans="1:7" ht="21" x14ac:dyDescent="0.35">
      <c r="A11" s="15"/>
      <c r="B11" s="22">
        <f t="shared" si="0"/>
        <v>200611009</v>
      </c>
      <c r="C11" s="17"/>
      <c r="D11" s="5" t="str">
        <f>VLOOKUP(B11,'[1]Base de datos'!$B:$F,2,FALSE)</f>
        <v>Pelicula PVC 35 mic. CH 611 mm</v>
      </c>
      <c r="E11">
        <f>VLOOKUP(B11,'[1]Base de datos'!$B:$E,3,FALSE)</f>
        <v>2832</v>
      </c>
      <c r="F11">
        <f>VLOOKUP(B11,'[1]Base de datos'!$B:$E,4,FALSE)</f>
        <v>79.7</v>
      </c>
    </row>
    <row r="12" spans="1:7" ht="21" x14ac:dyDescent="0.35">
      <c r="A12" s="15"/>
      <c r="B12" s="23">
        <f t="shared" si="0"/>
        <v>200611010</v>
      </c>
      <c r="C12" s="17"/>
      <c r="D12" s="5" t="str">
        <f>VLOOKUP(B12,'[1]Base de datos'!$B:$F,2,FALSE)</f>
        <v>Pelicula PVC 35 mic. CH 611 mm</v>
      </c>
      <c r="E12">
        <f>VLOOKUP(B12,'[1]Base de datos'!$B:$E,3,FALSE)</f>
        <v>2916</v>
      </c>
      <c r="F12">
        <f>VLOOKUP(B12,'[1]Base de datos'!$B:$E,4,FALSE)</f>
        <v>82.7</v>
      </c>
    </row>
    <row r="13" spans="1:7" ht="21" x14ac:dyDescent="0.35">
      <c r="A13" s="15"/>
      <c r="B13" s="22">
        <f t="shared" si="0"/>
        <v>200611011</v>
      </c>
      <c r="C13" s="17"/>
      <c r="D13" s="5" t="str">
        <f>VLOOKUP(B13,'[1]Base de datos'!$B:$F,2,FALSE)</f>
        <v>Pelicula PVC 35 mic. CH 611 mm</v>
      </c>
      <c r="E13">
        <f>VLOOKUP(B13,'[1]Base de datos'!$B:$E,3,FALSE)</f>
        <v>2808</v>
      </c>
      <c r="F13">
        <f>VLOOKUP(B13,'[1]Base de datos'!$B:$E,4,FALSE)</f>
        <v>80.400000000000006</v>
      </c>
    </row>
    <row r="14" spans="1:7" ht="21" x14ac:dyDescent="0.35">
      <c r="A14" s="15"/>
      <c r="B14" s="23">
        <f t="shared" si="0"/>
        <v>200611012</v>
      </c>
      <c r="C14" s="17"/>
      <c r="D14" s="5" t="str">
        <f>VLOOKUP(B14,'[1]Base de datos'!$B:$F,2,FALSE)</f>
        <v>Pelicula PVC 35 mic. CH 611 mm</v>
      </c>
      <c r="E14">
        <f>VLOOKUP(B14,'[1]Base de datos'!$B:$E,3,FALSE)</f>
        <v>2827</v>
      </c>
      <c r="F14">
        <f>VLOOKUP(B14,'[1]Base de datos'!$B:$E,4,FALSE)</f>
        <v>76.5</v>
      </c>
    </row>
    <row r="15" spans="1:7" ht="21" x14ac:dyDescent="0.35">
      <c r="A15" s="15"/>
      <c r="B15" s="22">
        <f t="shared" si="0"/>
        <v>200611013</v>
      </c>
      <c r="C15" s="17"/>
      <c r="D15" s="5" t="str">
        <f>VLOOKUP(B15,'[1]Base de datos'!$B:$F,2,FALSE)</f>
        <v>Pelicula PVC 35 mic. CH 611 mm</v>
      </c>
      <c r="E15">
        <f>VLOOKUP(B15,'[1]Base de datos'!$B:$E,3,FALSE)</f>
        <v>2828</v>
      </c>
      <c r="F15">
        <f>VLOOKUP(B15,'[1]Base de datos'!$B:$E,4,FALSE)</f>
        <v>80.099999999999994</v>
      </c>
    </row>
    <row r="16" spans="1:7" ht="21" x14ac:dyDescent="0.35">
      <c r="A16" s="15"/>
      <c r="B16" s="23">
        <f t="shared" si="0"/>
        <v>200611014</v>
      </c>
      <c r="C16" s="17"/>
      <c r="D16" s="5" t="str">
        <f>VLOOKUP(B16,'[1]Base de datos'!$B:$F,2,FALSE)</f>
        <v>Pelicula PVC 35 mic. CH 611 mm</v>
      </c>
      <c r="E16">
        <f>VLOOKUP(B16,'[1]Base de datos'!$B:$E,3,FALSE)</f>
        <v>2870</v>
      </c>
      <c r="F16">
        <f>VLOOKUP(B16,'[1]Base de datos'!$B:$E,4,FALSE)</f>
        <v>77.7</v>
      </c>
    </row>
    <row r="17" spans="1:6" ht="21" x14ac:dyDescent="0.35">
      <c r="A17" s="15"/>
      <c r="B17" s="22">
        <f t="shared" si="0"/>
        <v>200611015</v>
      </c>
      <c r="C17" s="17"/>
      <c r="D17" s="5" t="str">
        <f>VLOOKUP(B17,'[1]Base de datos'!$B:$F,2,FALSE)</f>
        <v>Pelicula PVC 35 mic. CH 611 mm</v>
      </c>
      <c r="E17">
        <f>VLOOKUP(B17,'[1]Base de datos'!$B:$E,3,FALSE)</f>
        <v>2931</v>
      </c>
      <c r="F17">
        <f>VLOOKUP(B17,'[1]Base de datos'!$B:$E,4,FALSE)</f>
        <v>86.1</v>
      </c>
    </row>
    <row r="18" spans="1:6" ht="21" x14ac:dyDescent="0.35">
      <c r="A18" s="15"/>
      <c r="B18" s="23">
        <f t="shared" si="0"/>
        <v>200611016</v>
      </c>
      <c r="C18" s="17"/>
      <c r="D18" s="5" t="str">
        <f>VLOOKUP(B18,'[1]Base de datos'!$B:$F,2,FALSE)</f>
        <v>Pelicula PVC 35 mic. CH 611 mm</v>
      </c>
      <c r="E18">
        <f>VLOOKUP(B18,'[1]Base de datos'!$B:$E,3,FALSE)</f>
        <v>2931</v>
      </c>
      <c r="F18">
        <f>VLOOKUP(B18,'[1]Base de datos'!$B:$E,4,FALSE)</f>
        <v>85.7</v>
      </c>
    </row>
    <row r="19" spans="1:6" ht="21" x14ac:dyDescent="0.35">
      <c r="A19" s="15"/>
      <c r="B19" s="22">
        <f t="shared" si="0"/>
        <v>200611017</v>
      </c>
      <c r="C19" s="17"/>
      <c r="D19" s="5" t="str">
        <f>VLOOKUP(B19,'[1]Base de datos'!$B:$F,2,FALSE)</f>
        <v>Pelicula PVC 35 mic. CH 611 mm</v>
      </c>
      <c r="E19">
        <f>VLOOKUP(B19,'[1]Base de datos'!$B:$E,3,FALSE)</f>
        <v>2822</v>
      </c>
      <c r="F19">
        <f>VLOOKUP(B19,'[1]Base de datos'!$B:$E,4,FALSE)</f>
        <v>79</v>
      </c>
    </row>
    <row r="20" spans="1:6" ht="21" x14ac:dyDescent="0.35">
      <c r="A20" s="15"/>
      <c r="B20" s="23">
        <f>+B19+1</f>
        <v>200611018</v>
      </c>
      <c r="C20" s="17"/>
      <c r="D20" s="5" t="str">
        <f>VLOOKUP(B20,'[1]Base de datos'!$B:$F,2,FALSE)</f>
        <v>Pelicula PVC 35 mic. CH 611 mm</v>
      </c>
      <c r="E20">
        <f>VLOOKUP(B20,'[1]Base de datos'!$B:$E,3,FALSE)</f>
        <v>2981</v>
      </c>
      <c r="F20">
        <f>VLOOKUP(B20,'[1]Base de datos'!$B:$E,4,FALSE)</f>
        <v>88.2</v>
      </c>
    </row>
    <row r="21" spans="1:6" ht="21" x14ac:dyDescent="0.35">
      <c r="A21" s="15"/>
      <c r="B21" s="22">
        <f t="shared" si="0"/>
        <v>200611019</v>
      </c>
      <c r="C21" s="17"/>
      <c r="D21" s="5" t="str">
        <f>VLOOKUP(B21,'[1]Base de datos'!$B:$F,2,FALSE)</f>
        <v>Pelicula PVC 35 mic. CH 611 mm</v>
      </c>
      <c r="E21">
        <f>VLOOKUP(B21,'[1]Base de datos'!$B:$E,3,FALSE)</f>
        <v>2981</v>
      </c>
      <c r="F21">
        <f>VLOOKUP(B21,'[1]Base de datos'!$B:$E,4,FALSE)</f>
        <v>87.7</v>
      </c>
    </row>
    <row r="22" spans="1:6" ht="21" x14ac:dyDescent="0.35">
      <c r="A22" s="15"/>
      <c r="B22" s="23">
        <f t="shared" si="0"/>
        <v>200611020</v>
      </c>
      <c r="C22" s="17"/>
      <c r="D22" s="5" t="str">
        <f>VLOOKUP(B22,'[1]Base de datos'!$B:$F,2,FALSE)</f>
        <v>Pelicula PVC 35 mic. CH 611 mm</v>
      </c>
      <c r="E22">
        <f>VLOOKUP(B22,'[1]Base de datos'!$B:$E,3,FALSE)</f>
        <v>2947</v>
      </c>
      <c r="F22">
        <f>VLOOKUP(B22,'[1]Base de datos'!$B:$E,4,FALSE)</f>
        <v>80.2</v>
      </c>
    </row>
    <row r="23" spans="1:6" ht="21" x14ac:dyDescent="0.35">
      <c r="A23" s="15"/>
      <c r="B23" s="22">
        <f>+B22+1</f>
        <v>200611021</v>
      </c>
      <c r="C23" s="17"/>
      <c r="D23" s="5" t="str">
        <f>VLOOKUP(B23,'[1]Base de datos'!$B:$F,2,FALSE)</f>
        <v>Pelicula PVC 35 mic. CH 611 mm</v>
      </c>
      <c r="E23">
        <f>VLOOKUP(B23,'[1]Base de datos'!$B:$E,3,FALSE)</f>
        <v>2814</v>
      </c>
      <c r="F23">
        <f>VLOOKUP(B23,'[1]Base de datos'!$B:$E,4,FALSE)</f>
        <v>79.7</v>
      </c>
    </row>
    <row r="24" spans="1:6" ht="21" x14ac:dyDescent="0.35">
      <c r="A24" s="15"/>
      <c r="B24" s="23">
        <f t="shared" si="0"/>
        <v>200611022</v>
      </c>
      <c r="C24" s="17"/>
      <c r="D24" s="5" t="str">
        <f>VLOOKUP(B24,'[1]Base de datos'!$B:$F,2,FALSE)</f>
        <v>Pelicula PVC 35 mic. CH 611 mm</v>
      </c>
      <c r="E24">
        <f>VLOOKUP(B24,'[1]Base de datos'!$B:$E,3,FALSE)</f>
        <v>2804</v>
      </c>
      <c r="F24">
        <f>VLOOKUP(B24,'[1]Base de datos'!$B:$E,4,FALSE)</f>
        <v>79.7</v>
      </c>
    </row>
    <row r="25" spans="1:6" ht="21" x14ac:dyDescent="0.35">
      <c r="A25" s="15"/>
      <c r="B25" s="22">
        <f t="shared" si="0"/>
        <v>200611023</v>
      </c>
      <c r="C25" s="17"/>
      <c r="D25" s="5" t="str">
        <f>VLOOKUP(B25,'[1]Base de datos'!$B:$F,2,FALSE)</f>
        <v>Pelicula PVC 35 mic. CH 611 mm</v>
      </c>
      <c r="E25">
        <f>VLOOKUP(B25,'[1]Base de datos'!$B:$E,3,FALSE)</f>
        <v>2890</v>
      </c>
      <c r="F25">
        <f>VLOOKUP(B25,'[1]Base de datos'!$B:$E,4,FALSE)</f>
        <v>82.6</v>
      </c>
    </row>
    <row r="26" spans="1:6" ht="21" x14ac:dyDescent="0.35">
      <c r="A26" s="15"/>
      <c r="B26" s="23">
        <f t="shared" si="0"/>
        <v>200611024</v>
      </c>
      <c r="C26" s="17"/>
      <c r="D26" s="5" t="str">
        <f>VLOOKUP(B26,'[1]Base de datos'!$B:$F,2,FALSE)</f>
        <v>Pelicula PVC 35 mic. CH 611 mm</v>
      </c>
      <c r="E26">
        <f>VLOOKUP(B26,'[1]Base de datos'!$B:$E,3,FALSE)</f>
        <v>2827</v>
      </c>
      <c r="F26">
        <f>VLOOKUP(B26,'[1]Base de datos'!$B:$E,4,FALSE)</f>
        <v>77.3</v>
      </c>
    </row>
    <row r="27" spans="1:6" ht="21" x14ac:dyDescent="0.35">
      <c r="A27" s="15"/>
      <c r="B27" s="22">
        <f t="shared" si="0"/>
        <v>200611025</v>
      </c>
      <c r="C27" s="17"/>
      <c r="D27" s="5" t="str">
        <f>VLOOKUP(B27,'[1]Base de datos'!$B:$F,2,FALSE)</f>
        <v>Pelicula PVC 35 mic. CH 611 mm</v>
      </c>
      <c r="E27">
        <f>VLOOKUP(B27,'[1]Base de datos'!$B:$E,3,FALSE)</f>
        <v>2805</v>
      </c>
      <c r="F27">
        <f>VLOOKUP(B27,'[1]Base de datos'!$B:$E,4,FALSE)</f>
        <v>76.599999999999994</v>
      </c>
    </row>
    <row r="28" spans="1:6" ht="21" x14ac:dyDescent="0.35">
      <c r="A28" s="15"/>
      <c r="B28" s="23">
        <f t="shared" si="0"/>
        <v>200611026</v>
      </c>
      <c r="C28" s="17"/>
      <c r="D28" s="5" t="str">
        <f>VLOOKUP(B28,'[1]Base de datos'!$B:$F,2,FALSE)</f>
        <v>Pelicula PVC 35 mic. CH 611 mm</v>
      </c>
      <c r="E28">
        <f>VLOOKUP(B28,'[1]Base de datos'!$B:$E,3,FALSE)</f>
        <v>2813</v>
      </c>
      <c r="F28">
        <f>VLOOKUP(B28,'[1]Base de datos'!$B:$E,4,FALSE)</f>
        <v>82.3</v>
      </c>
    </row>
    <row r="29" spans="1:6" ht="21" x14ac:dyDescent="0.35">
      <c r="A29" s="15"/>
      <c r="B29" s="22">
        <f t="shared" si="0"/>
        <v>200611027</v>
      </c>
      <c r="C29" s="17"/>
      <c r="D29" s="5" t="str">
        <f>VLOOKUP(B29,'[1]Base de datos'!$B:$F,2,FALSE)</f>
        <v>Pelicula PVC 35 mic. CH 611 mm</v>
      </c>
      <c r="E29">
        <f>VLOOKUP(B29,'[1]Base de datos'!$B:$E,3,FALSE)</f>
        <v>2805</v>
      </c>
      <c r="F29">
        <f>VLOOKUP(B29,'[1]Base de datos'!$B:$E,4,FALSE)</f>
        <v>77.3</v>
      </c>
    </row>
    <row r="30" spans="1:6" ht="21" x14ac:dyDescent="0.35">
      <c r="A30" s="15"/>
      <c r="B30" s="23">
        <f t="shared" si="0"/>
        <v>200611028</v>
      </c>
      <c r="C30" s="17"/>
      <c r="D30" s="5" t="str">
        <f>VLOOKUP(B30,'[1]Base de datos'!$B:$F,2,FALSE)</f>
        <v>Pelicula PVC 35 mic. CH 611 mm</v>
      </c>
      <c r="E30">
        <f>VLOOKUP(B30,'[1]Base de datos'!$B:$E,3,FALSE)</f>
        <v>2822</v>
      </c>
      <c r="F30">
        <f>VLOOKUP(B30,'[1]Base de datos'!$B:$E,4,FALSE)</f>
        <v>81.400000000000006</v>
      </c>
    </row>
    <row r="31" spans="1:6" ht="21" x14ac:dyDescent="0.35">
      <c r="A31" s="15"/>
      <c r="B31" s="22">
        <f t="shared" si="0"/>
        <v>200611029</v>
      </c>
      <c r="C31" s="17"/>
      <c r="D31" s="5" t="str">
        <f>VLOOKUP(B31,'[1]Base de datos'!$B:$F,2,FALSE)</f>
        <v>Pelicula PVC 35 mic. CH 611 mm</v>
      </c>
      <c r="E31">
        <f>VLOOKUP(B31,'[1]Base de datos'!$B:$E,3,FALSE)</f>
        <v>2822</v>
      </c>
      <c r="F31">
        <f>VLOOKUP(B31,'[1]Base de datos'!$B:$E,4,FALSE)</f>
        <v>81.900000000000006</v>
      </c>
    </row>
    <row r="32" spans="1:6" ht="21" x14ac:dyDescent="0.35">
      <c r="A32" s="15"/>
      <c r="B32" s="23">
        <f t="shared" si="0"/>
        <v>200611030</v>
      </c>
      <c r="C32" s="17"/>
      <c r="D32" s="5" t="str">
        <f>VLOOKUP(B32,'[1]Base de datos'!$B:$F,2,FALSE)</f>
        <v>Pelicula PVC 35 mic. CH 611 mm</v>
      </c>
      <c r="E32">
        <f>VLOOKUP(B32,'[1]Base de datos'!$B:$E,3,FALSE)</f>
        <v>2822</v>
      </c>
      <c r="F32">
        <f>VLOOKUP(B32,'[1]Base de datos'!$B:$E,4,FALSE)</f>
        <v>81.400000000000006</v>
      </c>
    </row>
    <row r="33" spans="1:6" ht="21" x14ac:dyDescent="0.35">
      <c r="A33" s="15"/>
      <c r="B33" s="22">
        <f t="shared" si="0"/>
        <v>200611031</v>
      </c>
      <c r="C33" s="17"/>
      <c r="D33" s="5" t="str">
        <f>VLOOKUP(B33,'[1]Base de datos'!$B:$F,2,FALSE)</f>
        <v>Pelicula PVC 35 mic. CH 611 mm</v>
      </c>
      <c r="E33">
        <f>VLOOKUP(B33,'[1]Base de datos'!$B:$E,3,FALSE)</f>
        <v>2840</v>
      </c>
      <c r="F33">
        <f>VLOOKUP(B33,'[1]Base de datos'!$B:$E,4,FALSE)</f>
        <v>77.599999999999994</v>
      </c>
    </row>
    <row r="34" spans="1:6" ht="21" x14ac:dyDescent="0.35">
      <c r="A34" s="15"/>
      <c r="B34" s="23">
        <f t="shared" si="0"/>
        <v>200611032</v>
      </c>
      <c r="C34" s="17"/>
      <c r="D34" s="5" t="str">
        <f>VLOOKUP(B34,'[1]Base de datos'!$B:$F,2,FALSE)</f>
        <v>Pelicula PVC 35 mic. CH 611 mm</v>
      </c>
      <c r="E34">
        <f>VLOOKUP(B34,'[1]Base de datos'!$B:$E,3,FALSE)</f>
        <v>2926</v>
      </c>
      <c r="F34">
        <f>VLOOKUP(B34,'[1]Base de datos'!$B:$E,4,FALSE)</f>
        <v>82.9</v>
      </c>
    </row>
    <row r="35" spans="1:6" ht="21" x14ac:dyDescent="0.35">
      <c r="A35" s="15"/>
      <c r="B35" s="22">
        <f t="shared" si="0"/>
        <v>200611033</v>
      </c>
      <c r="C35" s="17"/>
      <c r="D35" s="5" t="str">
        <f>VLOOKUP(B35,'[1]Base de datos'!$B:$F,2,FALSE)</f>
        <v>Pelicula PVC 35 mic. CH 611 mm</v>
      </c>
      <c r="E35">
        <f>VLOOKUP(B35,'[1]Base de datos'!$B:$E,3,FALSE)</f>
        <v>2916</v>
      </c>
      <c r="F35">
        <f>VLOOKUP(B35,'[1]Base de datos'!$B:$E,4,FALSE)</f>
        <v>82</v>
      </c>
    </row>
    <row r="36" spans="1:6" ht="21" x14ac:dyDescent="0.35">
      <c r="A36" s="15"/>
      <c r="B36" s="23">
        <f t="shared" si="0"/>
        <v>200611034</v>
      </c>
      <c r="C36" s="17"/>
      <c r="D36" s="5" t="str">
        <f>VLOOKUP(B36,'[1]Base de datos'!$B:$F,2,FALSE)</f>
        <v>Pelicula PVC 35 mic. CH 611 mm</v>
      </c>
      <c r="E36">
        <f>VLOOKUP(B36,'[1]Base de datos'!$B:$E,3,FALSE)</f>
        <v>2926</v>
      </c>
      <c r="F36">
        <f>VLOOKUP(B36,'[1]Base de datos'!$B:$E,4,FALSE)</f>
        <v>82.5</v>
      </c>
    </row>
    <row r="37" spans="1:6" ht="21" x14ac:dyDescent="0.35">
      <c r="A37" s="15"/>
      <c r="B37" s="22">
        <f t="shared" si="0"/>
        <v>200611035</v>
      </c>
      <c r="C37" s="17"/>
      <c r="D37" s="5" t="str">
        <f>VLOOKUP(B37,'[1]Base de datos'!$B:$F,2,FALSE)</f>
        <v>Pelicula PVC 35 mic. CH 611 mm</v>
      </c>
      <c r="E37">
        <f>VLOOKUP(B37,'[1]Base de datos'!$B:$E,3,FALSE)</f>
        <v>2807</v>
      </c>
      <c r="F37">
        <f>VLOOKUP(B37,'[1]Base de datos'!$B:$E,4,FALSE)</f>
        <v>80.2</v>
      </c>
    </row>
    <row r="38" spans="1:6" ht="21" x14ac:dyDescent="0.35">
      <c r="A38" s="15"/>
      <c r="B38" s="23">
        <f t="shared" si="0"/>
        <v>200611036</v>
      </c>
      <c r="C38" s="17"/>
      <c r="D38" s="5" t="str">
        <f>VLOOKUP(B38,'[1]Base de datos'!$B:$F,2,FALSE)</f>
        <v>Pelicula PVC 35 mic. CH 611 mm</v>
      </c>
      <c r="E38">
        <f>VLOOKUP(B38,'[1]Base de datos'!$B:$E,3,FALSE)</f>
        <v>2934</v>
      </c>
      <c r="F38">
        <f>VLOOKUP(B38,'[1]Base de datos'!$B:$E,4,FALSE)</f>
        <v>86.1</v>
      </c>
    </row>
    <row r="39" spans="1:6" ht="21" x14ac:dyDescent="0.35">
      <c r="A39" s="15"/>
      <c r="B39" s="22">
        <f t="shared" si="0"/>
        <v>200611037</v>
      </c>
      <c r="C39" s="17"/>
      <c r="D39" s="5" t="str">
        <f>VLOOKUP(B39,'[1]Base de datos'!$B:$F,2,FALSE)</f>
        <v>Pelicula PVC 35 mic. CH 611 mm</v>
      </c>
      <c r="E39">
        <f>VLOOKUP(B39,'[1]Base de datos'!$B:$E,3,FALSE)</f>
        <v>2825</v>
      </c>
      <c r="F39">
        <f>VLOOKUP(B39,'[1]Base de datos'!$B:$E,4,FALSE)</f>
        <v>80.7</v>
      </c>
    </row>
    <row r="40" spans="1:6" ht="21" x14ac:dyDescent="0.35">
      <c r="A40" s="15"/>
      <c r="B40" s="23">
        <f t="shared" si="0"/>
        <v>200611038</v>
      </c>
      <c r="C40" s="17"/>
      <c r="D40" s="5" t="str">
        <f>VLOOKUP(B40,'[1]Base de datos'!$B:$F,2,FALSE)</f>
        <v>Pelicula PVC 35 mic. CH 611 mm</v>
      </c>
      <c r="E40">
        <f>VLOOKUP(B40,'[1]Base de datos'!$B:$E,3,FALSE)</f>
        <v>2787</v>
      </c>
      <c r="F40">
        <f>VLOOKUP(B40,'[1]Base de datos'!$B:$E,4,FALSE)</f>
        <v>77.2</v>
      </c>
    </row>
    <row r="41" spans="1:6" ht="21" x14ac:dyDescent="0.35">
      <c r="A41" s="15"/>
      <c r="B41" s="22">
        <f t="shared" si="0"/>
        <v>200611039</v>
      </c>
      <c r="C41" s="17"/>
      <c r="D41" s="5" t="str">
        <f>VLOOKUP(B41,'[1]Base de datos'!$B:$F,2,FALSE)</f>
        <v>Pelicula PVC 35 mic. CH 611 mm</v>
      </c>
      <c r="E41">
        <f>VLOOKUP(B41,'[1]Base de datos'!$B:$E,3,FALSE)</f>
        <v>2805</v>
      </c>
      <c r="F41">
        <f>VLOOKUP(B41,'[1]Base de datos'!$B:$E,4,FALSE)</f>
        <v>81</v>
      </c>
    </row>
    <row r="42" spans="1:6" ht="21" x14ac:dyDescent="0.35">
      <c r="A42" s="15"/>
      <c r="B42" s="23">
        <f t="shared" si="0"/>
        <v>200611040</v>
      </c>
      <c r="C42" s="17"/>
      <c r="D42" s="5" t="str">
        <f>VLOOKUP(B42,'[1]Base de datos'!$B:$F,2,FALSE)</f>
        <v>Pelicula PVC 35 mic. CH 611 mm</v>
      </c>
      <c r="E42">
        <f>VLOOKUP(B42,'[1]Base de datos'!$B:$E,3,FALSE)</f>
        <v>2820</v>
      </c>
      <c r="F42">
        <f>VLOOKUP(B42,'[1]Base de datos'!$B:$E,4,FALSE)</f>
        <v>80.2</v>
      </c>
    </row>
    <row r="43" spans="1:6" ht="21" x14ac:dyDescent="0.35">
      <c r="A43" s="15"/>
      <c r="B43" s="22">
        <f t="shared" si="0"/>
        <v>200611041</v>
      </c>
      <c r="C43" s="17"/>
      <c r="D43" s="5" t="str">
        <f>VLOOKUP(B43,'[1]Base de datos'!$B:$F,2,FALSE)</f>
        <v>Pelicula PVC 35 mic. CH 611 mm</v>
      </c>
      <c r="E43">
        <f>VLOOKUP(B43,'[1]Base de datos'!$B:$E,3,FALSE)</f>
        <v>2627</v>
      </c>
      <c r="F43">
        <f>VLOOKUP(B43,'[1]Base de datos'!$B:$E,4,FALSE)</f>
        <v>81.3</v>
      </c>
    </row>
    <row r="44" spans="1:6" ht="21" x14ac:dyDescent="0.35">
      <c r="A44" s="15"/>
      <c r="B44" s="23">
        <f t="shared" si="0"/>
        <v>200611042</v>
      </c>
      <c r="C44" s="17"/>
      <c r="D44" s="5" t="str">
        <f>VLOOKUP(B44,'[1]Base de datos'!$B:$F,2,FALSE)</f>
        <v>Pelicula PVC 35 mic. CH 611 mm</v>
      </c>
      <c r="E44">
        <f>VLOOKUP(B44,'[1]Base de datos'!$B:$E,3,FALSE)</f>
        <v>2832</v>
      </c>
      <c r="F44">
        <f>VLOOKUP(B44,'[1]Base de datos'!$B:$E,4,FALSE)</f>
        <v>80.5</v>
      </c>
    </row>
    <row r="45" spans="1:6" ht="21" x14ac:dyDescent="0.35">
      <c r="A45" s="15"/>
      <c r="B45" s="22">
        <f t="shared" si="0"/>
        <v>200611043</v>
      </c>
      <c r="C45" s="17"/>
      <c r="D45" s="5" t="str">
        <f>VLOOKUP(B45,'[1]Base de datos'!$B:$F,2,FALSE)</f>
        <v>Pelicula PVC 35 mic. CH 611 mm</v>
      </c>
      <c r="E45">
        <f>VLOOKUP(B45,'[1]Base de datos'!$B:$E,3,FALSE)</f>
        <v>2828</v>
      </c>
      <c r="F45">
        <f>VLOOKUP(B45,'[1]Base de datos'!$B:$E,4,FALSE)</f>
        <v>81.099999999999994</v>
      </c>
    </row>
    <row r="46" spans="1:6" ht="21" x14ac:dyDescent="0.35">
      <c r="A46" s="15"/>
      <c r="B46" s="23">
        <f t="shared" si="0"/>
        <v>200611044</v>
      </c>
      <c r="C46" s="17"/>
      <c r="D46" s="5" t="str">
        <f>VLOOKUP(B46,'[1]Base de datos'!$B:$F,2,FALSE)</f>
        <v>Pelicula PVC 35 mic. CH 611 mm</v>
      </c>
      <c r="E46">
        <f>VLOOKUP(B46,'[1]Base de datos'!$B:$E,3,FALSE)</f>
        <v>2916</v>
      </c>
      <c r="F46">
        <f>VLOOKUP(B46,'[1]Base de datos'!$B:$E,4,FALSE)</f>
        <v>85.9</v>
      </c>
    </row>
    <row r="47" spans="1:6" ht="21" x14ac:dyDescent="0.35">
      <c r="A47" s="15"/>
      <c r="B47" s="22">
        <f t="shared" si="0"/>
        <v>200611045</v>
      </c>
      <c r="C47" s="17"/>
      <c r="D47" s="5" t="str">
        <f>VLOOKUP(B47,'[1]Base de datos'!$B:$F,2,FALSE)</f>
        <v>Pelicula PVC 35 mic. CH 611 mm</v>
      </c>
      <c r="E47">
        <f>VLOOKUP(B47,'[1]Base de datos'!$B:$E,3,FALSE)</f>
        <v>2828</v>
      </c>
      <c r="F47">
        <f>VLOOKUP(B47,'[1]Base de datos'!$B:$E,4,FALSE)</f>
        <v>80.400000000000006</v>
      </c>
    </row>
    <row r="48" spans="1:6" ht="21" x14ac:dyDescent="0.35">
      <c r="A48" s="15"/>
      <c r="B48" s="23">
        <f t="shared" si="0"/>
        <v>200611046</v>
      </c>
      <c r="C48" s="17"/>
      <c r="D48" s="5" t="str">
        <f>VLOOKUP(B48,'[1]Base de datos'!$B:$F,2,FALSE)</f>
        <v>Pelicula PVC 35 mic. CH 611 mm</v>
      </c>
      <c r="E48">
        <f>VLOOKUP(B48,'[1]Base de datos'!$B:$E,3,FALSE)</f>
        <v>2787</v>
      </c>
      <c r="F48">
        <f>VLOOKUP(B48,'[1]Base de datos'!$B:$E,4,FALSE)</f>
        <v>78.099999999999994</v>
      </c>
    </row>
    <row r="49" spans="1:6" ht="21" x14ac:dyDescent="0.35">
      <c r="A49" s="15"/>
      <c r="B49" s="22">
        <f t="shared" si="0"/>
        <v>200611047</v>
      </c>
      <c r="C49" s="17"/>
      <c r="D49" s="5" t="str">
        <f>VLOOKUP(B49,'[1]Base de datos'!$B:$F,2,FALSE)</f>
        <v>Pelicula PVC 35 mic. CH 611 mm</v>
      </c>
      <c r="E49">
        <f>VLOOKUP(B49,'[1]Base de datos'!$B:$E,3,FALSE)</f>
        <v>2934</v>
      </c>
      <c r="F49">
        <f>VLOOKUP(B49,'[1]Base de datos'!$B:$E,4,FALSE)</f>
        <v>86.5</v>
      </c>
    </row>
    <row r="50" spans="1:6" ht="21" x14ac:dyDescent="0.35">
      <c r="A50" s="15"/>
      <c r="B50" s="23">
        <f t="shared" si="0"/>
        <v>200611048</v>
      </c>
      <c r="C50" s="17"/>
      <c r="D50" s="5" t="str">
        <f>VLOOKUP(B50,'[1]Base de datos'!$B:$F,2,FALSE)</f>
        <v>Pelicula PVC 35 mic. CH 611 mm</v>
      </c>
      <c r="E50">
        <f>VLOOKUP(B50,'[1]Base de datos'!$B:$E,3,FALSE)</f>
        <v>2840</v>
      </c>
      <c r="F50">
        <f>VLOOKUP(B50,'[1]Base de datos'!$B:$E,4,FALSE)</f>
        <v>78.2</v>
      </c>
    </row>
    <row r="51" spans="1:6" ht="21" x14ac:dyDescent="0.35">
      <c r="A51" s="15"/>
      <c r="B51" s="22">
        <f t="shared" si="0"/>
        <v>200611049</v>
      </c>
      <c r="C51" s="17"/>
      <c r="D51" s="5" t="str">
        <f>VLOOKUP(B51,'[1]Base de datos'!$B:$F,2,FALSE)</f>
        <v>Pelicula PVC 35 mic. CH 611 mm</v>
      </c>
      <c r="E51">
        <f>VLOOKUP(B51,'[1]Base de datos'!$B:$E,3,FALSE)</f>
        <v>2823</v>
      </c>
      <c r="F51">
        <f>VLOOKUP(B51,'[1]Base de datos'!$B:$E,4,FALSE)</f>
        <v>81.5</v>
      </c>
    </row>
    <row r="52" spans="1:6" ht="21" x14ac:dyDescent="0.35">
      <c r="A52" s="15"/>
      <c r="B52" s="23">
        <f t="shared" si="0"/>
        <v>200611050</v>
      </c>
      <c r="C52" s="17"/>
      <c r="D52" s="5" t="str">
        <f>VLOOKUP(B52,'[1]Base de datos'!$B:$F,2,FALSE)</f>
        <v>Pelicula PVC 35 mic. CH 611 mm</v>
      </c>
      <c r="E52">
        <f>VLOOKUP(B52,'[1]Base de datos'!$B:$E,3,FALSE)</f>
        <v>2820</v>
      </c>
      <c r="F52">
        <f>VLOOKUP(B52,'[1]Base de datos'!$B:$E,4,FALSE)</f>
        <v>80.8</v>
      </c>
    </row>
    <row r="53" spans="1:6" ht="21" x14ac:dyDescent="0.35">
      <c r="A53" s="15"/>
      <c r="B53" s="22">
        <f t="shared" si="0"/>
        <v>200611051</v>
      </c>
      <c r="C53" s="17"/>
      <c r="D53" s="5" t="str">
        <f>VLOOKUP(B53,'[1]Base de datos'!$B:$F,2,FALSE)</f>
        <v>Pelicula PVC 35 mic. CH 611 mm</v>
      </c>
      <c r="E53">
        <f>VLOOKUP(B53,'[1]Base de datos'!$B:$E,3,FALSE)</f>
        <v>2780</v>
      </c>
      <c r="F53">
        <f>VLOOKUP(B53,'[1]Base de datos'!$B:$E,4,FALSE)</f>
        <v>80</v>
      </c>
    </row>
    <row r="54" spans="1:6" ht="21" x14ac:dyDescent="0.35">
      <c r="A54" s="15"/>
      <c r="B54" s="23">
        <f t="shared" si="0"/>
        <v>200611052</v>
      </c>
      <c r="C54" s="17"/>
      <c r="D54" s="5" t="str">
        <f>VLOOKUP(B54,'[1]Base de datos'!$B:$F,2,FALSE)</f>
        <v>Pelicula PVC 35 mic. CH 611 mm</v>
      </c>
      <c r="E54">
        <f>VLOOKUP(B54,'[1]Base de datos'!$B:$E,3,FALSE)</f>
        <v>2837</v>
      </c>
      <c r="F54">
        <f>VLOOKUP(B54,'[1]Base de datos'!$B:$E,4,FALSE)</f>
        <v>81.400000000000006</v>
      </c>
    </row>
    <row r="55" spans="1:6" ht="21" x14ac:dyDescent="0.35">
      <c r="A55" s="15"/>
      <c r="B55" s="22">
        <f t="shared" si="0"/>
        <v>200611053</v>
      </c>
      <c r="C55" s="17"/>
      <c r="D55" s="5" t="str">
        <f>VLOOKUP(B55,'[1]Base de datos'!$B:$F,2,FALSE)</f>
        <v>Pelicula PVC 35 mic. CH 611 mm</v>
      </c>
      <c r="E55">
        <f>VLOOKUP(B55,'[1]Base de datos'!$B:$E,3,FALSE)</f>
        <v>2780</v>
      </c>
      <c r="F55">
        <f>VLOOKUP(B55,'[1]Base de datos'!$B:$E,4,FALSE)</f>
        <v>79.099999999999994</v>
      </c>
    </row>
    <row r="56" spans="1:6" ht="21" x14ac:dyDescent="0.35">
      <c r="A56" s="15"/>
      <c r="B56" s="23">
        <f t="shared" si="0"/>
        <v>200611054</v>
      </c>
      <c r="C56" s="17"/>
      <c r="D56" s="5" t="str">
        <f>VLOOKUP(B56,'[1]Base de datos'!$B:$F,2,FALSE)</f>
        <v>Pelicula PVC 35 mic. CH 611 mm</v>
      </c>
      <c r="E56">
        <f>VLOOKUP(B56,'[1]Base de datos'!$B:$E,3,FALSE)</f>
        <v>2916</v>
      </c>
      <c r="F56">
        <f>VLOOKUP(B56,'[1]Base de datos'!$B:$E,4,FALSE)</f>
        <v>84.8</v>
      </c>
    </row>
    <row r="57" spans="1:6" ht="21" x14ac:dyDescent="0.35">
      <c r="A57" s="15"/>
      <c r="B57" s="22">
        <f t="shared" si="0"/>
        <v>200611055</v>
      </c>
      <c r="C57" s="17"/>
      <c r="D57" s="5" t="str">
        <f>VLOOKUP(B57,'[1]Base de datos'!$B:$F,2,FALSE)</f>
        <v>Pelicula PVC 35 mic. CH 611 mm</v>
      </c>
      <c r="E57">
        <f>VLOOKUP(B57,'[1]Base de datos'!$B:$E,3,FALSE)</f>
        <v>2891</v>
      </c>
      <c r="F57">
        <f>VLOOKUP(B57,'[1]Base de datos'!$B:$E,4,FALSE)</f>
        <v>85.7</v>
      </c>
    </row>
    <row r="58" spans="1:6" ht="21" x14ac:dyDescent="0.35">
      <c r="A58" s="15"/>
      <c r="B58" s="23">
        <f t="shared" si="0"/>
        <v>200611056</v>
      </c>
      <c r="C58" s="17"/>
      <c r="D58" s="5" t="str">
        <f>VLOOKUP(B58,'[1]Base de datos'!$B:$F,2,FALSE)</f>
        <v>Pelicula PVC 35 mic. CH 611 mm</v>
      </c>
      <c r="E58">
        <f>VLOOKUP(B58,'[1]Base de datos'!$B:$E,3,FALSE)</f>
        <v>2848</v>
      </c>
      <c r="F58">
        <f>VLOOKUP(B58,'[1]Base de datos'!$B:$E,4,FALSE)</f>
        <v>79.3</v>
      </c>
    </row>
    <row r="59" spans="1:6" ht="21" x14ac:dyDescent="0.35">
      <c r="A59" s="15"/>
      <c r="B59" s="22">
        <f t="shared" si="0"/>
        <v>200611057</v>
      </c>
      <c r="C59" s="17"/>
      <c r="D59" s="5" t="str">
        <f>VLOOKUP(B59,'[1]Base de datos'!$B:$F,2,FALSE)</f>
        <v>Pelicula PVC 35 mic. CH 611 mm</v>
      </c>
      <c r="E59">
        <f>VLOOKUP(B59,'[1]Base de datos'!$B:$E,3,FALSE)</f>
        <v>2835</v>
      </c>
      <c r="F59">
        <f>VLOOKUP(B59,'[1]Base de datos'!$B:$E,4,FALSE)</f>
        <v>81.3</v>
      </c>
    </row>
    <row r="60" spans="1:6" ht="21" x14ac:dyDescent="0.35">
      <c r="A60" s="15"/>
      <c r="B60" s="23">
        <f t="shared" si="0"/>
        <v>200611058</v>
      </c>
      <c r="C60" s="17"/>
      <c r="D60" s="5" t="str">
        <f>VLOOKUP(B60,'[1]Base de datos'!$B:$F,2,FALSE)</f>
        <v>Pelicula PVC 35 mic. CH 611 mm</v>
      </c>
      <c r="E60">
        <f>VLOOKUP(B60,'[1]Base de datos'!$B:$E,3,FALSE)</f>
        <v>2789</v>
      </c>
      <c r="F60">
        <f>VLOOKUP(B60,'[1]Base de datos'!$B:$E,4,FALSE)</f>
        <v>75.599999999999994</v>
      </c>
    </row>
    <row r="61" spans="1:6" ht="21" x14ac:dyDescent="0.35">
      <c r="A61" s="15"/>
      <c r="B61" s="22">
        <f t="shared" si="0"/>
        <v>200611059</v>
      </c>
      <c r="C61" s="17"/>
      <c r="D61" s="5" t="str">
        <f>VLOOKUP(B61,'[1]Base de datos'!$B:$F,2,FALSE)</f>
        <v>Pelicula PVC 35 mic. CH 611 mm</v>
      </c>
      <c r="E61">
        <f>VLOOKUP(B61,'[1]Base de datos'!$B:$E,3,FALSE)</f>
        <v>2843</v>
      </c>
      <c r="F61">
        <f>VLOOKUP(B61,'[1]Base de datos'!$B:$E,4,FALSE)</f>
        <v>80.3</v>
      </c>
    </row>
    <row r="62" spans="1:6" ht="21" x14ac:dyDescent="0.35">
      <c r="A62" s="15"/>
      <c r="B62" s="23">
        <f t="shared" si="0"/>
        <v>200611060</v>
      </c>
      <c r="C62" s="17"/>
      <c r="D62" s="5" t="str">
        <f>VLOOKUP(B62,'[1]Base de datos'!$B:$F,2,FALSE)</f>
        <v>Pelicula PVC 35 mic. CH 611 mm</v>
      </c>
      <c r="E62">
        <f>VLOOKUP(B62,'[1]Base de datos'!$B:$E,3,FALSE)</f>
        <v>2836</v>
      </c>
      <c r="F62">
        <f>VLOOKUP(B62,'[1]Base de datos'!$B:$E,4,FALSE)</f>
        <v>81</v>
      </c>
    </row>
    <row r="63" spans="1:6" ht="21" x14ac:dyDescent="0.35">
      <c r="A63" s="15"/>
      <c r="B63" s="22">
        <f t="shared" si="0"/>
        <v>200611061</v>
      </c>
      <c r="C63" s="17"/>
      <c r="D63" s="5" t="str">
        <f>VLOOKUP(B63,'[1]Base de datos'!$B:$F,2,FALSE)</f>
        <v>Pelicula PVC 35 mic. CH 611 mm</v>
      </c>
      <c r="E63">
        <f>VLOOKUP(B63,'[1]Base de datos'!$B:$E,3,FALSE)</f>
        <v>2825</v>
      </c>
      <c r="F63">
        <f>VLOOKUP(B63,'[1]Base de datos'!$B:$E,4,FALSE)</f>
        <v>80.400000000000006</v>
      </c>
    </row>
    <row r="64" spans="1:6" ht="21" x14ac:dyDescent="0.35">
      <c r="A64" s="15"/>
      <c r="B64" s="23">
        <f t="shared" si="0"/>
        <v>200611062</v>
      </c>
      <c r="C64" s="17"/>
      <c r="D64" s="5" t="str">
        <f>VLOOKUP(B64,'[1]Base de datos'!$B:$F,2,FALSE)</f>
        <v>Pelicula PVC 35 mic. CH 611 mm</v>
      </c>
      <c r="E64">
        <f>VLOOKUP(B64,'[1]Base de datos'!$B:$E,3,FALSE)</f>
        <v>2891</v>
      </c>
      <c r="F64">
        <f>VLOOKUP(B64,'[1]Base de datos'!$B:$E,4,FALSE)</f>
        <v>85.4</v>
      </c>
    </row>
    <row r="65" spans="1:6" ht="21" x14ac:dyDescent="0.35">
      <c r="A65" s="15"/>
      <c r="B65" s="22">
        <f t="shared" si="0"/>
        <v>200611063</v>
      </c>
      <c r="C65" s="17"/>
      <c r="D65" s="5" t="str">
        <f>VLOOKUP(B65,'[1]Base de datos'!$B:$F,2,FALSE)</f>
        <v>Pelicula PVC 35 mic. CH 611 mm</v>
      </c>
      <c r="E65">
        <f>VLOOKUP(B65,'[1]Base de datos'!$B:$E,3,FALSE)</f>
        <v>2780</v>
      </c>
      <c r="F65">
        <f>VLOOKUP(B65,'[1]Base de datos'!$B:$E,4,FALSE)</f>
        <v>75.3</v>
      </c>
    </row>
    <row r="66" spans="1:6" ht="21" x14ac:dyDescent="0.35">
      <c r="A66" s="15"/>
      <c r="B66" s="23">
        <f t="shared" si="0"/>
        <v>200611064</v>
      </c>
      <c r="C66" s="17"/>
      <c r="D66" s="5" t="str">
        <f>VLOOKUP(B66,'[1]Base de datos'!$B:$F,2,FALSE)</f>
        <v>Pelicula PVC 35 mic. CH 611 mm</v>
      </c>
      <c r="E66">
        <f>VLOOKUP(B66,'[1]Base de datos'!$B:$E,3,FALSE)</f>
        <v>2825</v>
      </c>
      <c r="F66">
        <f>VLOOKUP(B66,'[1]Base de datos'!$B:$E,4,FALSE)</f>
        <v>80.5</v>
      </c>
    </row>
    <row r="67" spans="1:6" ht="21" x14ac:dyDescent="0.35">
      <c r="A67" s="15"/>
      <c r="B67" s="22">
        <f t="shared" si="0"/>
        <v>200611065</v>
      </c>
      <c r="C67" s="17"/>
      <c r="D67" s="5" t="str">
        <f>VLOOKUP(B67,'[1]Base de datos'!$B:$F,2,FALSE)</f>
        <v>Pelicula PVC 35 mic. CH 611 mm</v>
      </c>
      <c r="E67">
        <f>VLOOKUP(B67,'[1]Base de datos'!$B:$E,3,FALSE)</f>
        <v>2838</v>
      </c>
      <c r="F67">
        <f>VLOOKUP(B67,'[1]Base de datos'!$B:$E,4,FALSE)</f>
        <v>82.7</v>
      </c>
    </row>
    <row r="68" spans="1:6" ht="21" x14ac:dyDescent="0.35">
      <c r="A68" s="15"/>
      <c r="B68" s="23">
        <f t="shared" si="0"/>
        <v>200611066</v>
      </c>
      <c r="C68" s="17"/>
      <c r="D68" s="5" t="str">
        <f>VLOOKUP(B68,'[1]Base de datos'!$B:$F,2,FALSE)</f>
        <v>Pelicula PVC 35 mic. CH 611 mm</v>
      </c>
      <c r="E68">
        <f>VLOOKUP(B68,'[1]Base de datos'!$B:$E,3,FALSE)</f>
        <v>2836</v>
      </c>
      <c r="F68">
        <f>VLOOKUP(B68,'[1]Base de datos'!$B:$E,4,FALSE)</f>
        <v>80.400000000000006</v>
      </c>
    </row>
    <row r="69" spans="1:6" ht="21" x14ac:dyDescent="0.35">
      <c r="A69" s="15"/>
      <c r="B69" s="22">
        <f t="shared" ref="B69:B132" si="1">+B68+1</f>
        <v>200611067</v>
      </c>
      <c r="C69" s="17"/>
      <c r="D69" s="5" t="str">
        <f>VLOOKUP(B69,'[1]Base de datos'!$B:$F,2,FALSE)</f>
        <v>Pelicula PVC 35 mic. CH 611 mm</v>
      </c>
      <c r="E69">
        <f>VLOOKUP(B69,'[1]Base de datos'!$B:$E,3,FALSE)</f>
        <v>3265</v>
      </c>
      <c r="F69">
        <f>VLOOKUP(B69,'[1]Base de datos'!$B:$E,4,FALSE)</f>
        <v>94.2</v>
      </c>
    </row>
    <row r="70" spans="1:6" ht="21" x14ac:dyDescent="0.35">
      <c r="A70" s="15"/>
      <c r="B70" s="23">
        <f t="shared" si="1"/>
        <v>200611068</v>
      </c>
      <c r="C70" s="17"/>
      <c r="D70" s="5" t="str">
        <f>VLOOKUP(B70,'[1]Base de datos'!$B:$F,2,FALSE)</f>
        <v>Pelicula PVC 35 mic. CH 611 mm</v>
      </c>
      <c r="E70">
        <f>VLOOKUP(B70,'[1]Base de datos'!$B:$E,3,FALSE)</f>
        <v>2803</v>
      </c>
      <c r="F70">
        <f>VLOOKUP(B70,'[1]Base de datos'!$B:$E,4,FALSE)</f>
        <v>80</v>
      </c>
    </row>
    <row r="71" spans="1:6" ht="21" x14ac:dyDescent="0.35">
      <c r="A71" s="15"/>
      <c r="B71" s="22">
        <f t="shared" si="1"/>
        <v>200611069</v>
      </c>
      <c r="C71" s="17"/>
      <c r="D71" s="5" t="str">
        <f>VLOOKUP(B71,'[1]Base de datos'!$B:$F,2,FALSE)</f>
        <v>Pelicula PVC 35 mic. CH 611 mm</v>
      </c>
      <c r="E71">
        <f>VLOOKUP(B71,'[1]Base de datos'!$B:$E,3,FALSE)</f>
        <v>3265</v>
      </c>
      <c r="F71">
        <f>VLOOKUP(B71,'[1]Base de datos'!$B:$E,4,FALSE)</f>
        <v>94.5</v>
      </c>
    </row>
    <row r="72" spans="1:6" ht="21" x14ac:dyDescent="0.35">
      <c r="A72" s="15"/>
      <c r="B72" s="23">
        <f t="shared" si="1"/>
        <v>200611070</v>
      </c>
      <c r="C72" s="17"/>
      <c r="D72" s="5" t="str">
        <f>VLOOKUP(B72,'[1]Base de datos'!$B:$F,2,FALSE)</f>
        <v>Pelicula PVC 35 mic. CH 611 mm</v>
      </c>
      <c r="E72">
        <f>VLOOKUP(B72,'[1]Base de datos'!$B:$E,3,FALSE)</f>
        <v>2825</v>
      </c>
      <c r="F72">
        <f>VLOOKUP(B72,'[1]Base de datos'!$B:$E,4,FALSE)</f>
        <v>80</v>
      </c>
    </row>
    <row r="73" spans="1:6" ht="21" x14ac:dyDescent="0.35">
      <c r="A73" s="15"/>
      <c r="B73" s="22">
        <f t="shared" si="1"/>
        <v>200611071</v>
      </c>
      <c r="C73" s="17"/>
      <c r="D73" s="5" t="str">
        <f>VLOOKUP(B73,'[1]Base de datos'!$B:$F,2,FALSE)</f>
        <v>Pelicula PVC 35 mic. CH 611 mm</v>
      </c>
      <c r="E73">
        <f>VLOOKUP(B73,'[1]Base de datos'!$B:$E,3,FALSE)</f>
        <v>2730</v>
      </c>
      <c r="F73">
        <f>VLOOKUP(B73,'[1]Base de datos'!$B:$E,4,FALSE)</f>
        <v>74</v>
      </c>
    </row>
    <row r="74" spans="1:6" ht="21" x14ac:dyDescent="0.35">
      <c r="A74" s="15"/>
      <c r="B74" s="23">
        <f t="shared" si="1"/>
        <v>200611072</v>
      </c>
      <c r="C74" s="17"/>
      <c r="D74" s="5" t="str">
        <f>VLOOKUP(B74,'[1]Base de datos'!$B:$F,2,FALSE)</f>
        <v>Pelicula PVC 35 mic. CH 611 mm</v>
      </c>
      <c r="E74">
        <f>VLOOKUP(B74,'[1]Base de datos'!$B:$E,3,FALSE)</f>
        <v>2823</v>
      </c>
      <c r="F74">
        <f>VLOOKUP(B74,'[1]Base de datos'!$B:$E,4,FALSE)</f>
        <v>80.5</v>
      </c>
    </row>
    <row r="75" spans="1:6" ht="21" x14ac:dyDescent="0.35">
      <c r="A75" s="15"/>
      <c r="B75" s="22">
        <f t="shared" si="1"/>
        <v>200611073</v>
      </c>
      <c r="C75" s="17"/>
      <c r="D75" s="5" t="str">
        <f>VLOOKUP(B75,'[1]Base de datos'!$B:$F,2,FALSE)</f>
        <v>Pelicula PVC 35 mic. CH 611 mm</v>
      </c>
      <c r="E75">
        <f>VLOOKUP(B75,'[1]Base de datos'!$B:$E,3,FALSE)</f>
        <v>2812</v>
      </c>
      <c r="F75">
        <f>VLOOKUP(B75,'[1]Base de datos'!$B:$E,4,FALSE)</f>
        <v>81.400000000000006</v>
      </c>
    </row>
    <row r="76" spans="1:6" ht="21" x14ac:dyDescent="0.35">
      <c r="A76" s="15"/>
      <c r="B76" s="23">
        <f t="shared" si="1"/>
        <v>200611074</v>
      </c>
      <c r="C76" s="17"/>
      <c r="D76" s="5" t="str">
        <f>VLOOKUP(B76,'[1]Base de datos'!$B:$F,2,FALSE)</f>
        <v>Pelicula PVC 35 mic. CH 611 mm</v>
      </c>
      <c r="E76">
        <f>VLOOKUP(B76,'[1]Base de datos'!$B:$E,3,FALSE)</f>
        <v>2816</v>
      </c>
      <c r="F76">
        <f>VLOOKUP(B76,'[1]Base de datos'!$B:$E,4,FALSE)</f>
        <v>79.3</v>
      </c>
    </row>
    <row r="77" spans="1:6" ht="21" x14ac:dyDescent="0.35">
      <c r="A77" s="15"/>
      <c r="B77" s="22">
        <f t="shared" si="1"/>
        <v>200611075</v>
      </c>
      <c r="C77" s="17"/>
      <c r="D77" s="5" t="str">
        <f>VLOOKUP(B77,'[1]Base de datos'!$B:$F,2,FALSE)</f>
        <v>Pelicula PVC 35 mic. CH 611 mm</v>
      </c>
      <c r="E77">
        <f>VLOOKUP(B77,'[1]Base de datos'!$B:$E,3,FALSE)</f>
        <v>2816</v>
      </c>
      <c r="F77">
        <f>VLOOKUP(B77,'[1]Base de datos'!$B:$E,4,FALSE)</f>
        <v>81.599999999999994</v>
      </c>
    </row>
    <row r="78" spans="1:6" ht="21" x14ac:dyDescent="0.35">
      <c r="A78" s="15"/>
      <c r="B78" s="23">
        <f t="shared" si="1"/>
        <v>200611076</v>
      </c>
      <c r="C78" s="17"/>
      <c r="D78" s="5" t="str">
        <f>VLOOKUP(B78,'[1]Base de datos'!$B:$F,2,FALSE)</f>
        <v>Pelicula PVC 35 mic. CH 611 mm</v>
      </c>
      <c r="E78">
        <f>VLOOKUP(B78,'[1]Base de datos'!$B:$E,3,FALSE)</f>
        <v>2751</v>
      </c>
      <c r="F78">
        <f>VLOOKUP(B78,'[1]Base de datos'!$B:$E,4,FALSE)</f>
        <v>77.900000000000006</v>
      </c>
    </row>
    <row r="79" spans="1:6" ht="21" x14ac:dyDescent="0.35">
      <c r="A79" s="15"/>
      <c r="B79" s="22">
        <f t="shared" si="1"/>
        <v>200611077</v>
      </c>
      <c r="C79" s="17"/>
      <c r="D79" s="5" t="str">
        <f>VLOOKUP(B79,'[1]Base de datos'!$B:$F,2,FALSE)</f>
        <v>Pelicula PVC 35 mic. CH 611 mm</v>
      </c>
      <c r="E79">
        <f>VLOOKUP(B79,'[1]Base de datos'!$B:$E,3,FALSE)</f>
        <v>2850</v>
      </c>
      <c r="F79">
        <f>VLOOKUP(B79,'[1]Base de datos'!$B:$E,4,FALSE)</f>
        <v>79.400000000000006</v>
      </c>
    </row>
    <row r="80" spans="1:6" ht="21" x14ac:dyDescent="0.35">
      <c r="A80" s="15"/>
      <c r="B80" s="23">
        <f t="shared" si="1"/>
        <v>200611078</v>
      </c>
      <c r="C80" s="17"/>
      <c r="D80" s="5" t="str">
        <f>VLOOKUP(B80,'[1]Base de datos'!$B:$F,2,FALSE)</f>
        <v>Pelicula PVC 35 mic. CH 611 mm</v>
      </c>
      <c r="E80">
        <f>VLOOKUP(B80,'[1]Base de datos'!$B:$E,3,FALSE)</f>
        <v>2730</v>
      </c>
      <c r="F80">
        <f>VLOOKUP(B80,'[1]Base de datos'!$B:$E,4,FALSE)</f>
        <v>74.2</v>
      </c>
    </row>
    <row r="81" spans="1:6" ht="21" x14ac:dyDescent="0.35">
      <c r="A81" s="15"/>
      <c r="B81" s="22">
        <f t="shared" si="1"/>
        <v>200611079</v>
      </c>
      <c r="C81" s="17"/>
      <c r="D81" s="5" t="str">
        <f>VLOOKUP(B81,'[1]Base de datos'!$B:$F,2,FALSE)</f>
        <v>Pelicula PVC 35 mic. CH 611 mm</v>
      </c>
      <c r="E81">
        <f>VLOOKUP(B81,'[1]Base de datos'!$B:$E,3,FALSE)</f>
        <v>2823</v>
      </c>
      <c r="F81">
        <f>VLOOKUP(B81,'[1]Base de datos'!$B:$E,4,FALSE)</f>
        <v>81</v>
      </c>
    </row>
    <row r="82" spans="1:6" ht="21" x14ac:dyDescent="0.35">
      <c r="A82" s="15"/>
      <c r="B82" s="23">
        <f t="shared" si="1"/>
        <v>200611080</v>
      </c>
      <c r="C82" s="17"/>
      <c r="D82" s="5" t="str">
        <f>VLOOKUP(B82,'[1]Base de datos'!$B:$F,2,FALSE)</f>
        <v>Pelicula PVC 35 mic. CH 611 mm</v>
      </c>
      <c r="E82">
        <f>VLOOKUP(B82,'[1]Base de datos'!$B:$E,3,FALSE)</f>
        <v>2750</v>
      </c>
      <c r="F82">
        <f>VLOOKUP(B82,'[1]Base de datos'!$B:$E,4,FALSE)</f>
        <v>77.400000000000006</v>
      </c>
    </row>
    <row r="83" spans="1:6" ht="21" x14ac:dyDescent="0.35">
      <c r="A83" s="15"/>
      <c r="B83" s="22">
        <f t="shared" si="1"/>
        <v>200611081</v>
      </c>
      <c r="C83" s="17"/>
      <c r="D83" s="5" t="str">
        <f>VLOOKUP(B83,'[1]Base de datos'!$B:$F,2,FALSE)</f>
        <v>Pelicula PVC 35 mic. CH 611 mm</v>
      </c>
      <c r="E83">
        <f>VLOOKUP(B83,'[1]Base de datos'!$B:$E,3,FALSE)</f>
        <v>2803</v>
      </c>
      <c r="F83">
        <f>VLOOKUP(B83,'[1]Base de datos'!$B:$E,4,FALSE)</f>
        <v>80.599999999999994</v>
      </c>
    </row>
    <row r="84" spans="1:6" ht="21" x14ac:dyDescent="0.35">
      <c r="A84" s="15"/>
      <c r="B84" s="23">
        <f t="shared" si="1"/>
        <v>200611082</v>
      </c>
      <c r="C84" s="17"/>
      <c r="D84" s="5" t="str">
        <f>VLOOKUP(B84,'[1]Base de datos'!$B:$F,2,FALSE)</f>
        <v>Pelicula PVC 35 mic. CH 611 mm</v>
      </c>
      <c r="E84">
        <f>VLOOKUP(B84,'[1]Base de datos'!$B:$E,3,FALSE)</f>
        <v>2815</v>
      </c>
      <c r="F84">
        <f>VLOOKUP(B84,'[1]Base de datos'!$B:$E,4,FALSE)</f>
        <v>79.5</v>
      </c>
    </row>
    <row r="85" spans="1:6" ht="21" x14ac:dyDescent="0.35">
      <c r="A85" s="15"/>
      <c r="B85" s="22">
        <f t="shared" si="1"/>
        <v>200611083</v>
      </c>
      <c r="C85" s="17"/>
      <c r="D85" s="5" t="str">
        <f>VLOOKUP(B85,'[1]Base de datos'!$B:$F,2,FALSE)</f>
        <v>Pelicula PVC 35 mic. CH 611 mm</v>
      </c>
      <c r="E85">
        <f>VLOOKUP(B85,'[1]Base de datos'!$B:$E,3,FALSE)</f>
        <v>2824</v>
      </c>
      <c r="F85">
        <f>VLOOKUP(B85,'[1]Base de datos'!$B:$E,4,FALSE)</f>
        <v>79.7</v>
      </c>
    </row>
    <row r="86" spans="1:6" ht="21" x14ac:dyDescent="0.35">
      <c r="A86" s="15"/>
      <c r="B86" s="23">
        <f t="shared" si="1"/>
        <v>200611084</v>
      </c>
      <c r="C86" s="17"/>
      <c r="D86" s="5" t="str">
        <f>VLOOKUP(B86,'[1]Base de datos'!$B:$F,2,FALSE)</f>
        <v>Pelicula PVC 35 mic. CH 611 mm</v>
      </c>
      <c r="E86">
        <f>VLOOKUP(B86,'[1]Base de datos'!$B:$E,3,FALSE)</f>
        <v>2824</v>
      </c>
      <c r="F86">
        <f>VLOOKUP(B86,'[1]Base de datos'!$B:$E,4,FALSE)</f>
        <v>80.099999999999994</v>
      </c>
    </row>
    <row r="87" spans="1:6" ht="21" x14ac:dyDescent="0.35">
      <c r="A87" s="15"/>
      <c r="B87" s="22">
        <f t="shared" si="1"/>
        <v>200611085</v>
      </c>
      <c r="C87" s="17"/>
      <c r="D87" s="5" t="str">
        <f>VLOOKUP(B87,'[1]Base de datos'!$B:$F,2,FALSE)</f>
        <v>Pelicula PVC 35 mic. CH 611 mm</v>
      </c>
      <c r="E87">
        <f>VLOOKUP(B87,'[1]Base de datos'!$B:$E,3,FALSE)</f>
        <v>2777</v>
      </c>
      <c r="F87">
        <f>VLOOKUP(B87,'[1]Base de datos'!$B:$E,4,FALSE)</f>
        <v>77.2</v>
      </c>
    </row>
    <row r="88" spans="1:6" ht="21" x14ac:dyDescent="0.35">
      <c r="A88" s="15"/>
      <c r="B88" s="23">
        <f t="shared" si="1"/>
        <v>200611086</v>
      </c>
      <c r="C88" s="17"/>
      <c r="D88" s="5" t="str">
        <f>VLOOKUP(B88,'[1]Base de datos'!$B:$F,2,FALSE)</f>
        <v>Pelicula PVC 35 mic. CH 611 mm</v>
      </c>
      <c r="E88">
        <f>VLOOKUP(B88,'[1]Base de datos'!$B:$E,3,FALSE)</f>
        <v>2824</v>
      </c>
      <c r="F88">
        <f>VLOOKUP(B88,'[1]Base de datos'!$B:$E,4,FALSE)</f>
        <v>78.599999999999994</v>
      </c>
    </row>
    <row r="89" spans="1:6" ht="21" x14ac:dyDescent="0.35">
      <c r="A89" s="15"/>
      <c r="B89" s="22">
        <f t="shared" si="1"/>
        <v>200611087</v>
      </c>
      <c r="C89" s="17"/>
      <c r="D89" s="5" t="str">
        <f>VLOOKUP(B89,'[1]Base de datos'!$B:$F,2,FALSE)</f>
        <v>Pelicula PVC 35 mic. CH 611 mm</v>
      </c>
      <c r="E89">
        <f>VLOOKUP(B89,'[1]Base de datos'!$B:$E,3,FALSE)</f>
        <v>2807</v>
      </c>
      <c r="F89">
        <f>VLOOKUP(B89,'[1]Base de datos'!$B:$E,4,FALSE)</f>
        <v>79.3</v>
      </c>
    </row>
    <row r="90" spans="1:6" ht="21" x14ac:dyDescent="0.35">
      <c r="A90" s="15"/>
      <c r="B90" s="23">
        <f t="shared" si="1"/>
        <v>200611088</v>
      </c>
      <c r="C90" s="17"/>
      <c r="D90" s="5" t="str">
        <f>VLOOKUP(B90,'[1]Base de datos'!$B:$F,2,FALSE)</f>
        <v>Pelicula PVC 35 mic. CH 611 mm</v>
      </c>
      <c r="E90">
        <f>VLOOKUP(B90,'[1]Base de datos'!$B:$E,3,FALSE)</f>
        <v>2812</v>
      </c>
      <c r="F90">
        <f>VLOOKUP(B90,'[1]Base de datos'!$B:$E,4,FALSE)</f>
        <v>79</v>
      </c>
    </row>
    <row r="91" spans="1:6" ht="21" x14ac:dyDescent="0.35">
      <c r="A91" s="15"/>
      <c r="B91" s="22">
        <f t="shared" si="1"/>
        <v>200611089</v>
      </c>
      <c r="C91" s="17"/>
      <c r="D91" s="5" t="str">
        <f>VLOOKUP(B91,'[1]Base de datos'!$B:$F,2,FALSE)</f>
        <v>Pelicula PVC 35 mic. CH 611 mm</v>
      </c>
      <c r="E91">
        <f>VLOOKUP(B91,'[1]Base de datos'!$B:$E,3,FALSE)</f>
        <v>2812</v>
      </c>
      <c r="F91">
        <f>VLOOKUP(B91,'[1]Base de datos'!$B:$E,4,FALSE)</f>
        <v>81.400000000000006</v>
      </c>
    </row>
    <row r="92" spans="1:6" ht="21" x14ac:dyDescent="0.35">
      <c r="A92" s="15"/>
      <c r="B92" s="23">
        <f t="shared" si="1"/>
        <v>200611090</v>
      </c>
      <c r="C92" s="17"/>
      <c r="D92" s="5" t="str">
        <f>VLOOKUP(B92,'[1]Base de datos'!$B:$F,2,FALSE)</f>
        <v>Pelicula PVC 35 mic. CH 611 mm</v>
      </c>
      <c r="E92">
        <f>VLOOKUP(B92,'[1]Base de datos'!$B:$E,3,FALSE)</f>
        <v>2793</v>
      </c>
      <c r="F92">
        <f>VLOOKUP(B92,'[1]Base de datos'!$B:$E,4,FALSE)</f>
        <v>80.2</v>
      </c>
    </row>
    <row r="93" spans="1:6" ht="21" x14ac:dyDescent="0.35">
      <c r="A93" s="15"/>
      <c r="B93" s="22">
        <f t="shared" si="1"/>
        <v>200611091</v>
      </c>
      <c r="C93" s="17"/>
      <c r="D93" s="5" t="str">
        <f>VLOOKUP(B93,'[1]Base de datos'!$B:$F,2,FALSE)</f>
        <v>Pelicula PVC 35 mic. CH 611 mm</v>
      </c>
      <c r="E93">
        <f>VLOOKUP(B93,'[1]Base de datos'!$B:$E,3,FALSE)</f>
        <v>2807</v>
      </c>
      <c r="F93">
        <f>VLOOKUP(B93,'[1]Base de datos'!$B:$E,4,FALSE)</f>
        <v>80.400000000000006</v>
      </c>
    </row>
    <row r="94" spans="1:6" ht="21" x14ac:dyDescent="0.35">
      <c r="A94" s="15"/>
      <c r="B94" s="23">
        <f t="shared" si="1"/>
        <v>200611092</v>
      </c>
      <c r="C94" s="17"/>
      <c r="D94" s="5" t="str">
        <f>VLOOKUP(B94,'[1]Base de datos'!$B:$F,2,FALSE)</f>
        <v>Pelicula PVC 35 mic. CH 611 mm</v>
      </c>
      <c r="E94">
        <f>VLOOKUP(B94,'[1]Base de datos'!$B:$E,3,FALSE)</f>
        <v>2928</v>
      </c>
      <c r="F94">
        <f>VLOOKUP(B94,'[1]Base de datos'!$B:$E,4,FALSE)</f>
        <v>84.5</v>
      </c>
    </row>
    <row r="95" spans="1:6" ht="21" x14ac:dyDescent="0.35">
      <c r="A95" s="15"/>
      <c r="B95" s="22">
        <f t="shared" si="1"/>
        <v>200611093</v>
      </c>
      <c r="C95" s="17"/>
      <c r="D95" s="5" t="str">
        <f>VLOOKUP(B95,'[1]Base de datos'!$B:$F,2,FALSE)</f>
        <v>Pelicula PVC 35 mic. CH 611 mm</v>
      </c>
      <c r="E95">
        <f>VLOOKUP(B95,'[1]Base de datos'!$B:$E,3,FALSE)</f>
        <v>2812</v>
      </c>
      <c r="F95">
        <f>VLOOKUP(B95,'[1]Base de datos'!$B:$E,4,FALSE)</f>
        <v>82.2</v>
      </c>
    </row>
    <row r="96" spans="1:6" ht="21" x14ac:dyDescent="0.35">
      <c r="A96" s="15"/>
      <c r="B96" s="23">
        <f t="shared" si="1"/>
        <v>200611094</v>
      </c>
      <c r="C96" s="17"/>
      <c r="D96" s="5" t="str">
        <f>VLOOKUP(B96,'[1]Base de datos'!$B:$F,2,FALSE)</f>
        <v>Pelicula PVC 35 mic. CH 611 mm</v>
      </c>
      <c r="E96">
        <f>VLOOKUP(B96,'[1]Base de datos'!$B:$E,3,FALSE)</f>
        <v>2812</v>
      </c>
      <c r="F96">
        <f>VLOOKUP(B96,'[1]Base de datos'!$B:$E,4,FALSE)</f>
        <v>80.099999999999994</v>
      </c>
    </row>
    <row r="97" spans="1:6" ht="21" x14ac:dyDescent="0.35">
      <c r="A97" s="15"/>
      <c r="B97" s="22">
        <f t="shared" si="1"/>
        <v>200611095</v>
      </c>
      <c r="C97" s="17"/>
      <c r="D97" s="5" t="str">
        <f>VLOOKUP(B97,'[1]Base de datos'!$B:$F,2,FALSE)</f>
        <v>Pelicula PVC 35 mic. CH 611 mm</v>
      </c>
      <c r="E97">
        <f>VLOOKUP(B97,'[1]Base de datos'!$B:$E,3,FALSE)</f>
        <v>2860</v>
      </c>
      <c r="F97">
        <f>VLOOKUP(B97,'[1]Base de datos'!$B:$E,4,FALSE)</f>
        <v>82.4</v>
      </c>
    </row>
    <row r="98" spans="1:6" ht="21" x14ac:dyDescent="0.35">
      <c r="A98" s="15"/>
      <c r="B98" s="23">
        <f t="shared" si="1"/>
        <v>200611096</v>
      </c>
      <c r="C98" s="17"/>
      <c r="D98" s="5" t="str">
        <f>VLOOKUP(B98,'[1]Base de datos'!$B:$F,2,FALSE)</f>
        <v>Pelicula PVC 35 mic. CH 611 mm</v>
      </c>
      <c r="E98">
        <f>VLOOKUP(B98,'[1]Base de datos'!$B:$E,3,FALSE)</f>
        <v>2825</v>
      </c>
      <c r="F98">
        <f>VLOOKUP(B98,'[1]Base de datos'!$B:$E,4,FALSE)</f>
        <v>81.2</v>
      </c>
    </row>
    <row r="99" spans="1:6" ht="21" x14ac:dyDescent="0.35">
      <c r="A99" s="15"/>
      <c r="B99" s="22">
        <f t="shared" si="1"/>
        <v>200611097</v>
      </c>
      <c r="C99" s="17"/>
      <c r="D99" s="5" t="str">
        <f>VLOOKUP(B99,'[1]Base de datos'!$B:$F,2,FALSE)</f>
        <v>Pelicula PVC 35 mic. CH 611 mm</v>
      </c>
      <c r="E99">
        <f>VLOOKUP(B99,'[1]Base de datos'!$B:$E,3,FALSE)</f>
        <v>2820</v>
      </c>
      <c r="F99">
        <f>VLOOKUP(B99,'[1]Base de datos'!$B:$E,4,FALSE)</f>
        <v>78.599999999999994</v>
      </c>
    </row>
    <row r="100" spans="1:6" ht="21" x14ac:dyDescent="0.35">
      <c r="A100" s="15"/>
      <c r="B100" s="23">
        <f t="shared" si="1"/>
        <v>200611098</v>
      </c>
      <c r="C100" s="17"/>
      <c r="D100" s="5" t="str">
        <f>VLOOKUP(B100,'[1]Base de datos'!$B:$F,2,FALSE)</f>
        <v>Pelicula PVC 35 mic. CH 611 mm</v>
      </c>
      <c r="E100">
        <f>VLOOKUP(B100,'[1]Base de datos'!$B:$E,3,FALSE)</f>
        <v>2820</v>
      </c>
      <c r="F100">
        <f>VLOOKUP(B100,'[1]Base de datos'!$B:$E,4,FALSE)</f>
        <v>78.8</v>
      </c>
    </row>
    <row r="101" spans="1:6" ht="21" x14ac:dyDescent="0.35">
      <c r="A101" s="15"/>
      <c r="B101" s="22">
        <f t="shared" si="1"/>
        <v>200611099</v>
      </c>
      <c r="C101" s="17"/>
      <c r="D101" s="5" t="str">
        <f>VLOOKUP(B101,'[1]Base de datos'!$B:$F,2,FALSE)</f>
        <v>Pelicula PVC 35 mic. CH 611 mm</v>
      </c>
      <c r="E101">
        <f>VLOOKUP(B101,'[1]Base de datos'!$B:$E,3,FALSE)</f>
        <v>2860</v>
      </c>
      <c r="F101">
        <f>VLOOKUP(B101,'[1]Base de datos'!$B:$E,4,FALSE)</f>
        <v>82.2</v>
      </c>
    </row>
    <row r="102" spans="1:6" ht="21" x14ac:dyDescent="0.35">
      <c r="A102" s="15"/>
      <c r="B102" s="23">
        <f t="shared" si="1"/>
        <v>200611100</v>
      </c>
      <c r="C102" s="17"/>
      <c r="D102" s="5" t="str">
        <f>VLOOKUP(B102,'[1]Base de datos'!$B:$F,2,FALSE)</f>
        <v>Pelicula PVC 35 mic. CH 611 mm</v>
      </c>
      <c r="E102">
        <f>VLOOKUP(B102,'[1]Base de datos'!$B:$E,3,FALSE)</f>
        <v>2908</v>
      </c>
      <c r="F102">
        <f>VLOOKUP(B102,'[1]Base de datos'!$B:$E,4,FALSE)</f>
        <v>86.8</v>
      </c>
    </row>
    <row r="103" spans="1:6" ht="21" x14ac:dyDescent="0.35">
      <c r="A103" s="15"/>
      <c r="B103" s="22">
        <f t="shared" si="1"/>
        <v>200611101</v>
      </c>
      <c r="C103" s="17"/>
      <c r="D103" s="5" t="str">
        <f>VLOOKUP(B103,'[1]Base de datos'!$B:$F,2,FALSE)</f>
        <v>Pelicula PVC 35 mic. CH 611 mm</v>
      </c>
      <c r="E103">
        <f>VLOOKUP(B103,'[1]Base de datos'!$B:$E,3,FALSE)</f>
        <v>2828</v>
      </c>
      <c r="F103">
        <f>VLOOKUP(B103,'[1]Base de datos'!$B:$E,4,FALSE)</f>
        <v>81.5</v>
      </c>
    </row>
    <row r="104" spans="1:6" ht="21" x14ac:dyDescent="0.35">
      <c r="A104" s="15"/>
      <c r="B104" s="23">
        <f t="shared" si="1"/>
        <v>200611102</v>
      </c>
      <c r="C104" s="17"/>
      <c r="D104" s="5" t="str">
        <f>VLOOKUP(B104,'[1]Base de datos'!$B:$F,2,FALSE)</f>
        <v>Pelicula PVC 35 mic. CH 611 mm</v>
      </c>
      <c r="E104">
        <f>VLOOKUP(B104,'[1]Base de datos'!$B:$E,3,FALSE)</f>
        <v>2997</v>
      </c>
      <c r="F104">
        <f>VLOOKUP(B104,'[1]Base de datos'!$B:$E,4,FALSE)</f>
        <v>85.3</v>
      </c>
    </row>
    <row r="105" spans="1:6" ht="21" x14ac:dyDescent="0.35">
      <c r="A105" s="15"/>
      <c r="B105" s="22">
        <f t="shared" si="1"/>
        <v>200611103</v>
      </c>
      <c r="C105" s="17"/>
      <c r="D105" s="5" t="str">
        <f>VLOOKUP(B105,'[1]Base de datos'!$B:$F,2,FALSE)</f>
        <v>Pelicula PVC 35 mic. CH 611 mm</v>
      </c>
      <c r="E105">
        <f>VLOOKUP(B105,'[1]Base de datos'!$B:$E,3,FALSE)</f>
        <v>2831</v>
      </c>
      <c r="F105">
        <f>VLOOKUP(B105,'[1]Base de datos'!$B:$E,4,FALSE)</f>
        <v>80.3</v>
      </c>
    </row>
    <row r="106" spans="1:6" ht="21" x14ac:dyDescent="0.35">
      <c r="A106" s="15"/>
      <c r="B106" s="23">
        <f t="shared" si="1"/>
        <v>200611104</v>
      </c>
      <c r="C106" s="17"/>
      <c r="D106" s="5" t="str">
        <f>VLOOKUP(B106,'[1]Base de datos'!$B:$F,2,FALSE)</f>
        <v>Pelicula PVC 35 mic. CH 611 mm</v>
      </c>
      <c r="E106">
        <f>VLOOKUP(B106,'[1]Base de datos'!$B:$E,3,FALSE)</f>
        <v>2819</v>
      </c>
      <c r="F106">
        <f>VLOOKUP(B106,'[1]Base de datos'!$B:$E,4,FALSE)</f>
        <v>79.2</v>
      </c>
    </row>
    <row r="107" spans="1:6" ht="21" x14ac:dyDescent="0.35">
      <c r="A107" s="15"/>
      <c r="B107" s="22">
        <f t="shared" si="1"/>
        <v>200611105</v>
      </c>
      <c r="C107" s="17"/>
      <c r="D107" s="5" t="str">
        <f>VLOOKUP(B107,'[1]Base de datos'!$B:$F,2,FALSE)</f>
        <v>Pelicula PVC 35 mic. CH 611 mm</v>
      </c>
      <c r="E107">
        <f>VLOOKUP(B107,'[1]Base de datos'!$B:$E,3,FALSE)</f>
        <v>2825</v>
      </c>
      <c r="F107">
        <f>VLOOKUP(B107,'[1]Base de datos'!$B:$E,4,FALSE)</f>
        <v>81.5</v>
      </c>
    </row>
    <row r="108" spans="1:6" ht="21" x14ac:dyDescent="0.35">
      <c r="A108" s="15"/>
      <c r="B108" s="23">
        <f t="shared" si="1"/>
        <v>200611106</v>
      </c>
      <c r="C108" s="17"/>
      <c r="D108" s="5" t="str">
        <f>VLOOKUP(B108,'[1]Base de datos'!$B:$F,2,FALSE)</f>
        <v>Pelicula PVC 35 mic. CH 611 mm</v>
      </c>
      <c r="E108">
        <f>VLOOKUP(B108,'[1]Base de datos'!$B:$E,3,FALSE)</f>
        <v>2819</v>
      </c>
      <c r="F108">
        <f>VLOOKUP(B108,'[1]Base de datos'!$B:$E,4,FALSE)</f>
        <v>79.3</v>
      </c>
    </row>
    <row r="109" spans="1:6" ht="21" x14ac:dyDescent="0.35">
      <c r="A109" s="15"/>
      <c r="B109" s="22">
        <f t="shared" si="1"/>
        <v>200611107</v>
      </c>
      <c r="C109" s="17"/>
      <c r="D109" s="5" t="str">
        <f>VLOOKUP(B109,'[1]Base de datos'!$B:$F,2,FALSE)</f>
        <v>Pelicula PVC 35 mic. CH 611 mm</v>
      </c>
      <c r="E109">
        <f>VLOOKUP(B109,'[1]Base de datos'!$B:$E,3,FALSE)</f>
        <v>2828</v>
      </c>
      <c r="F109">
        <f>VLOOKUP(B109,'[1]Base de datos'!$B:$E,4,FALSE)</f>
        <v>81.3</v>
      </c>
    </row>
    <row r="110" spans="1:6" ht="21" x14ac:dyDescent="0.35">
      <c r="A110" s="15"/>
      <c r="B110" s="23">
        <f t="shared" si="1"/>
        <v>200611108</v>
      </c>
      <c r="C110" s="17"/>
      <c r="D110" s="5" t="str">
        <f>VLOOKUP(B110,'[1]Base de datos'!$B:$F,2,FALSE)</f>
        <v>Pelicula PVC 35 mic. CH 611 mm</v>
      </c>
      <c r="E110">
        <f>VLOOKUP(B110,'[1]Base de datos'!$B:$E,3,FALSE)</f>
        <v>2824</v>
      </c>
      <c r="F110">
        <f>VLOOKUP(B110,'[1]Base de datos'!$B:$E,4,FALSE)</f>
        <v>83.2</v>
      </c>
    </row>
    <row r="111" spans="1:6" ht="21" x14ac:dyDescent="0.35">
      <c r="A111" s="15"/>
      <c r="B111" s="22">
        <f t="shared" si="1"/>
        <v>200611109</v>
      </c>
      <c r="C111" s="17"/>
      <c r="D111" s="5" t="str">
        <f>VLOOKUP(B111,'[1]Base de datos'!$B:$F,2,FALSE)</f>
        <v>Pelicula PVC 35 mic. CH 611 mm</v>
      </c>
      <c r="E111">
        <f>VLOOKUP(B111,'[1]Base de datos'!$B:$E,3,FALSE)</f>
        <v>2830</v>
      </c>
      <c r="F111">
        <f>VLOOKUP(B111,'[1]Base de datos'!$B:$E,4,FALSE)</f>
        <v>80</v>
      </c>
    </row>
    <row r="112" spans="1:6" ht="21" x14ac:dyDescent="0.35">
      <c r="A112" s="15"/>
      <c r="B112" s="23">
        <f t="shared" si="1"/>
        <v>200611110</v>
      </c>
      <c r="C112" s="17"/>
      <c r="D112" s="5" t="str">
        <f>VLOOKUP(B112,'[1]Base de datos'!$B:$F,2,FALSE)</f>
        <v>Pelicula PVC 35 mic. CH 611 mm</v>
      </c>
      <c r="E112">
        <f>VLOOKUP(B112,'[1]Base de datos'!$B:$E,3,FALSE)</f>
        <v>2824</v>
      </c>
      <c r="F112">
        <f>VLOOKUP(B112,'[1]Base de datos'!$B:$E,4,FALSE)</f>
        <v>83.5</v>
      </c>
    </row>
    <row r="113" spans="1:6" ht="21" x14ac:dyDescent="0.35">
      <c r="A113" s="15"/>
      <c r="B113" s="22">
        <f t="shared" si="1"/>
        <v>200611111</v>
      </c>
      <c r="C113" s="17"/>
      <c r="D113" s="5" t="str">
        <f>VLOOKUP(B113,'[1]Base de datos'!$B:$F,2,FALSE)</f>
        <v>Pelicula PVC 35 mic. CH 611 mm</v>
      </c>
      <c r="E113">
        <f>VLOOKUP(B113,'[1]Base de datos'!$B:$E,3,FALSE)</f>
        <v>2830</v>
      </c>
      <c r="F113">
        <f>VLOOKUP(B113,'[1]Base de datos'!$B:$E,4,FALSE)</f>
        <v>77.900000000000006</v>
      </c>
    </row>
    <row r="114" spans="1:6" ht="21" x14ac:dyDescent="0.35">
      <c r="A114" s="15"/>
      <c r="B114" s="23">
        <f t="shared" si="1"/>
        <v>200611112</v>
      </c>
      <c r="C114" s="17"/>
      <c r="D114" s="5" t="str">
        <f>VLOOKUP(B114,'[1]Base de datos'!$B:$F,2,FALSE)</f>
        <v>Pelicula PVC 35 mic. CH 611 mm</v>
      </c>
      <c r="E114">
        <f>VLOOKUP(B114,'[1]Base de datos'!$B:$E,3,FALSE)</f>
        <v>2997</v>
      </c>
      <c r="F114">
        <f>VLOOKUP(B114,'[1]Base de datos'!$B:$E,4,FALSE)</f>
        <v>86.6</v>
      </c>
    </row>
    <row r="115" spans="1:6" ht="21" x14ac:dyDescent="0.35">
      <c r="A115" s="15"/>
      <c r="B115" s="22">
        <f t="shared" si="1"/>
        <v>200611113</v>
      </c>
      <c r="C115" s="17"/>
      <c r="D115" s="5" t="str">
        <f>VLOOKUP(B115,'[1]Base de datos'!$B:$F,2,FALSE)</f>
        <v>Pelicula PVC 35 mic. CH 611 mm</v>
      </c>
      <c r="E115">
        <f>VLOOKUP(B115,'[1]Base de datos'!$B:$E,3,FALSE)</f>
        <v>3012</v>
      </c>
      <c r="F115">
        <f>VLOOKUP(B115,'[1]Base de datos'!$B:$E,4,FALSE)</f>
        <v>87.8</v>
      </c>
    </row>
    <row r="116" spans="1:6" ht="21" x14ac:dyDescent="0.35">
      <c r="A116" s="15"/>
      <c r="B116" s="23">
        <f t="shared" si="1"/>
        <v>200611114</v>
      </c>
      <c r="C116" s="17"/>
      <c r="D116" s="5" t="str">
        <f>VLOOKUP(B116,'[1]Base de datos'!$B:$F,2,FALSE)</f>
        <v>Pelicula PVC 35 mic. CH 611 mm</v>
      </c>
      <c r="E116">
        <f>VLOOKUP(B116,'[1]Base de datos'!$B:$E,3,FALSE)</f>
        <v>2928</v>
      </c>
      <c r="F116">
        <f>VLOOKUP(B116,'[1]Base de datos'!$B:$E,4,FALSE)</f>
        <v>85</v>
      </c>
    </row>
    <row r="117" spans="1:6" ht="21" x14ac:dyDescent="0.35">
      <c r="A117" s="15"/>
      <c r="B117" s="22">
        <f t="shared" si="1"/>
        <v>200611115</v>
      </c>
      <c r="C117" s="17"/>
      <c r="D117" s="5" t="str">
        <f>VLOOKUP(B117,'[1]Base de datos'!$B:$F,2,FALSE)</f>
        <v>Pelicula PVC 35 mic. CH 611 mm</v>
      </c>
      <c r="E117">
        <f>VLOOKUP(B117,'[1]Base de datos'!$B:$E,3,FALSE)</f>
        <v>2830</v>
      </c>
      <c r="F117">
        <f>VLOOKUP(B117,'[1]Base de datos'!$B:$E,4,FALSE)</f>
        <v>81.5</v>
      </c>
    </row>
    <row r="118" spans="1:6" ht="21" x14ac:dyDescent="0.35">
      <c r="A118" s="15"/>
      <c r="B118" s="23">
        <f t="shared" si="1"/>
        <v>200611116</v>
      </c>
      <c r="C118" s="17"/>
      <c r="D118" s="5" t="str">
        <f>VLOOKUP(B118,'[1]Base de datos'!$B:$F,2,FALSE)</f>
        <v>Pelicula PVC 35 mic. CH 611 mm</v>
      </c>
      <c r="E118">
        <f>VLOOKUP(B118,'[1]Base de datos'!$B:$E,3,FALSE)</f>
        <v>2830</v>
      </c>
      <c r="F118">
        <f>VLOOKUP(B118,'[1]Base de datos'!$B:$E,4,FALSE)</f>
        <v>77.400000000000006</v>
      </c>
    </row>
    <row r="119" spans="1:6" ht="21" x14ac:dyDescent="0.35">
      <c r="A119" s="15"/>
      <c r="B119" s="22">
        <f t="shared" si="1"/>
        <v>200611117</v>
      </c>
      <c r="C119" s="17"/>
      <c r="D119" s="5" t="str">
        <f>VLOOKUP(B119,'[1]Base de datos'!$B:$F,2,FALSE)</f>
        <v>Pelicula PVC 35 mic. CH 611 mm</v>
      </c>
      <c r="E119">
        <f>VLOOKUP(B119,'[1]Base de datos'!$B:$E,3,FALSE)</f>
        <v>2879</v>
      </c>
      <c r="F119">
        <f>VLOOKUP(B119,'[1]Base de datos'!$B:$E,4,FALSE)</f>
        <v>81.5</v>
      </c>
    </row>
    <row r="120" spans="1:6" ht="21" x14ac:dyDescent="0.35">
      <c r="A120" s="15"/>
      <c r="B120" s="23">
        <f t="shared" si="1"/>
        <v>200611118</v>
      </c>
      <c r="C120" s="17"/>
      <c r="D120" s="5" t="str">
        <f>VLOOKUP(B120,'[1]Base de datos'!$B:$F,2,FALSE)</f>
        <v>Pelicula PVC 35 mic. CH 611 mm</v>
      </c>
      <c r="E120">
        <f>VLOOKUP(B120,'[1]Base de datos'!$B:$E,3,FALSE)</f>
        <v>2798</v>
      </c>
      <c r="F120">
        <f>VLOOKUP(B120,'[1]Base de datos'!$B:$E,4,FALSE)</f>
        <v>81.8</v>
      </c>
    </row>
    <row r="121" spans="1:6" ht="21" x14ac:dyDescent="0.35">
      <c r="A121" s="15"/>
      <c r="B121" s="22">
        <f t="shared" si="1"/>
        <v>200611119</v>
      </c>
      <c r="C121" s="17"/>
      <c r="D121" s="5" t="str">
        <f>VLOOKUP(B121,'[1]Base de datos'!$B:$F,2,FALSE)</f>
        <v>Pelicula PVC 35 mic. CH 611 mm</v>
      </c>
      <c r="E121">
        <f>VLOOKUP(B121,'[1]Base de datos'!$B:$E,3,FALSE)</f>
        <v>2799</v>
      </c>
      <c r="F121">
        <f>VLOOKUP(B121,'[1]Base de datos'!$B:$E,4,FALSE)</f>
        <v>81.3</v>
      </c>
    </row>
    <row r="122" spans="1:6" ht="21" x14ac:dyDescent="0.35">
      <c r="A122" s="15"/>
      <c r="B122" s="23">
        <f t="shared" si="1"/>
        <v>200611120</v>
      </c>
      <c r="C122" s="17"/>
      <c r="D122" s="5" t="str">
        <f>VLOOKUP(B122,'[1]Base de datos'!$B:$F,2,FALSE)</f>
        <v>Pelicula PVC 35 mic. CH 611 mm</v>
      </c>
      <c r="E122">
        <f>VLOOKUP(B122,'[1]Base de datos'!$B:$E,3,FALSE)</f>
        <v>2828</v>
      </c>
      <c r="F122">
        <f>VLOOKUP(B122,'[1]Base de datos'!$B:$E,4,FALSE)</f>
        <v>81.8</v>
      </c>
    </row>
    <row r="123" spans="1:6" ht="21" x14ac:dyDescent="0.35">
      <c r="A123" s="15"/>
      <c r="B123" s="22">
        <f t="shared" si="1"/>
        <v>200611121</v>
      </c>
      <c r="C123" s="17"/>
      <c r="D123" s="5" t="str">
        <f>VLOOKUP(B123,'[1]Base de datos'!$B:$F,2,FALSE)</f>
        <v>Pelicula PVC 35 mic. CH 611 mm</v>
      </c>
      <c r="E123">
        <f>VLOOKUP(B123,'[1]Base de datos'!$B:$E,3,FALSE)</f>
        <v>2834</v>
      </c>
      <c r="F123">
        <f>VLOOKUP(B123,'[1]Base de datos'!$B:$E,4,FALSE)</f>
        <v>80.099999999999994</v>
      </c>
    </row>
    <row r="124" spans="1:6" ht="21" x14ac:dyDescent="0.35">
      <c r="A124" s="15"/>
      <c r="B124" s="23">
        <f t="shared" si="1"/>
        <v>200611122</v>
      </c>
      <c r="C124" s="17"/>
      <c r="D124" s="5" t="str">
        <f>VLOOKUP(B124,'[1]Base de datos'!$B:$F,2,FALSE)</f>
        <v>Pelicula PVC 35 mic. CH 611 mm</v>
      </c>
      <c r="E124">
        <f>VLOOKUP(B124,'[1]Base de datos'!$B:$E,3,FALSE)</f>
        <v>2834</v>
      </c>
      <c r="F124">
        <f>VLOOKUP(B124,'[1]Base de datos'!$B:$E,4,FALSE)</f>
        <v>81</v>
      </c>
    </row>
    <row r="125" spans="1:6" ht="21" x14ac:dyDescent="0.35">
      <c r="A125" s="15"/>
      <c r="B125" s="22">
        <f t="shared" si="1"/>
        <v>200611123</v>
      </c>
      <c r="C125" s="17"/>
      <c r="D125" s="5" t="str">
        <f>VLOOKUP(B125,'[1]Base de datos'!$B:$F,2,FALSE)</f>
        <v>Pelicula PVC 35 mic. CH 611 mm</v>
      </c>
      <c r="E125">
        <f>VLOOKUP(B125,'[1]Base de datos'!$B:$E,3,FALSE)</f>
        <v>2834</v>
      </c>
      <c r="F125">
        <f>VLOOKUP(B125,'[1]Base de datos'!$B:$E,4,FALSE)</f>
        <v>81</v>
      </c>
    </row>
    <row r="126" spans="1:6" ht="21" x14ac:dyDescent="0.35">
      <c r="A126" s="15"/>
      <c r="B126" s="23">
        <f t="shared" si="1"/>
        <v>200611124</v>
      </c>
      <c r="C126" s="17"/>
      <c r="D126" s="5" t="str">
        <f>VLOOKUP(B126,'[1]Base de datos'!$B:$F,2,FALSE)</f>
        <v>Pelicula PVC 35 mic. CH 611 mm</v>
      </c>
      <c r="E126">
        <f>VLOOKUP(B126,'[1]Base de datos'!$B:$E,3,FALSE)</f>
        <v>2827</v>
      </c>
      <c r="F126">
        <f>VLOOKUP(B126,'[1]Base de datos'!$B:$E,4,FALSE)</f>
        <v>80.900000000000006</v>
      </c>
    </row>
    <row r="127" spans="1:6" ht="21" x14ac:dyDescent="0.35">
      <c r="A127" s="15"/>
      <c r="B127" s="22">
        <f t="shared" si="1"/>
        <v>200611125</v>
      </c>
      <c r="C127" s="17"/>
      <c r="D127" s="5" t="str">
        <f>VLOOKUP(B127,'[1]Base de datos'!$B:$F,2,FALSE)</f>
        <v>Pelicula PVC 35 mic. CH 611 mm</v>
      </c>
      <c r="E127">
        <f>VLOOKUP(B127,'[1]Base de datos'!$B:$E,3,FALSE)</f>
        <v>2950</v>
      </c>
      <c r="F127">
        <f>VLOOKUP(B127,'[1]Base de datos'!$B:$E,4,FALSE)</f>
        <v>84.8</v>
      </c>
    </row>
    <row r="128" spans="1:6" ht="21" x14ac:dyDescent="0.35">
      <c r="A128" s="15"/>
      <c r="B128" s="23">
        <f t="shared" si="1"/>
        <v>200611126</v>
      </c>
      <c r="C128" s="17"/>
      <c r="D128" s="5" t="str">
        <f>VLOOKUP(B128,'[1]Base de datos'!$B:$F,2,FALSE)</f>
        <v>Pelicula PVC 35 mic. CH 611 mm</v>
      </c>
      <c r="E128">
        <f>VLOOKUP(B128,'[1]Base de datos'!$B:$E,3,FALSE)</f>
        <v>2827</v>
      </c>
      <c r="F128">
        <f>VLOOKUP(B128,'[1]Base de datos'!$B:$E,4,FALSE)</f>
        <v>80.900000000000006</v>
      </c>
    </row>
    <row r="129" spans="1:6" ht="21" x14ac:dyDescent="0.35">
      <c r="A129" s="15"/>
      <c r="B129" s="22">
        <f t="shared" si="1"/>
        <v>200611127</v>
      </c>
      <c r="C129" s="17"/>
      <c r="D129" s="5" t="str">
        <f>VLOOKUP(B129,'[1]Base de datos'!$B:$F,2,FALSE)</f>
        <v>Pelicula PVC 35 mic. CH 611 mm</v>
      </c>
      <c r="E129">
        <f>VLOOKUP(B129,'[1]Base de datos'!$B:$E,3,FALSE)</f>
        <v>2855</v>
      </c>
      <c r="F129">
        <f>VLOOKUP(B129,'[1]Base de datos'!$B:$E,4,FALSE)</f>
        <v>79.400000000000006</v>
      </c>
    </row>
    <row r="130" spans="1:6" ht="21" x14ac:dyDescent="0.35">
      <c r="A130" s="15"/>
      <c r="B130" s="23">
        <f t="shared" si="1"/>
        <v>200611128</v>
      </c>
      <c r="C130" s="17"/>
      <c r="D130" s="5" t="str">
        <f>VLOOKUP(B130,'[1]Base de datos'!$B:$F,2,FALSE)</f>
        <v>Pelicula PVC 35 mic. CH 611 mm</v>
      </c>
      <c r="E130">
        <f>VLOOKUP(B130,'[1]Base de datos'!$B:$E,3,FALSE)</f>
        <v>2701</v>
      </c>
      <c r="F130">
        <f>VLOOKUP(B130,'[1]Base de datos'!$B:$E,4,FALSE)</f>
        <v>76.5</v>
      </c>
    </row>
    <row r="131" spans="1:6" ht="21" x14ac:dyDescent="0.35">
      <c r="A131" s="15"/>
      <c r="B131" s="22">
        <f t="shared" si="1"/>
        <v>200611129</v>
      </c>
      <c r="C131" s="17"/>
      <c r="D131" s="5" t="str">
        <f>VLOOKUP(B131,'[1]Base de datos'!$B:$F,2,FALSE)</f>
        <v>Pelicula PVC 35 mic. CH 611 mm</v>
      </c>
      <c r="E131">
        <f>VLOOKUP(B131,'[1]Base de datos'!$B:$E,3,FALSE)</f>
        <v>2701</v>
      </c>
      <c r="F131">
        <f>VLOOKUP(B131,'[1]Base de datos'!$B:$E,4,FALSE)</f>
        <v>76.400000000000006</v>
      </c>
    </row>
    <row r="132" spans="1:6" ht="21" x14ac:dyDescent="0.35">
      <c r="A132" s="15"/>
      <c r="B132" s="23">
        <f t="shared" si="1"/>
        <v>200611130</v>
      </c>
      <c r="C132" s="17"/>
      <c r="D132" s="5" t="str">
        <f>VLOOKUP(B132,'[1]Base de datos'!$B:$F,2,FALSE)</f>
        <v>Pelicula PVC 35 mic. CH 611 mm</v>
      </c>
      <c r="E132">
        <f>VLOOKUP(B132,'[1]Base de datos'!$B:$E,3,FALSE)</f>
        <v>2936</v>
      </c>
      <c r="F132">
        <f>VLOOKUP(B132,'[1]Base de datos'!$B:$E,4,FALSE)</f>
        <v>85</v>
      </c>
    </row>
    <row r="133" spans="1:6" ht="21" x14ac:dyDescent="0.35">
      <c r="A133" s="15"/>
      <c r="B133" s="22">
        <f t="shared" ref="B133:B152" si="2">+B132+1</f>
        <v>200611131</v>
      </c>
      <c r="C133" s="17"/>
      <c r="D133" s="5" t="str">
        <f>VLOOKUP(B133,'[1]Base de datos'!$B:$F,2,FALSE)</f>
        <v>Pelicula PVC 35 mic. CH 611 mm</v>
      </c>
      <c r="E133">
        <f>VLOOKUP(B133,'[1]Base de datos'!$B:$E,3,FALSE)</f>
        <v>2826</v>
      </c>
      <c r="F133">
        <f>VLOOKUP(B133,'[1]Base de datos'!$B:$E,4,FALSE)</f>
        <v>81.099999999999994</v>
      </c>
    </row>
    <row r="134" spans="1:6" ht="21" x14ac:dyDescent="0.35">
      <c r="A134" s="15"/>
      <c r="B134" s="23">
        <f t="shared" si="2"/>
        <v>200611132</v>
      </c>
      <c r="C134" s="17"/>
      <c r="D134" s="5" t="str">
        <f>VLOOKUP(B134,'[1]Base de datos'!$B:$F,2,FALSE)</f>
        <v>Pelicula PVC 35 mic. CH 611 mm</v>
      </c>
      <c r="E134">
        <f>VLOOKUP(B134,'[1]Base de datos'!$B:$E,3,FALSE)</f>
        <v>2826</v>
      </c>
      <c r="F134">
        <f>VLOOKUP(B134,'[1]Base de datos'!$B:$E,4,FALSE)</f>
        <v>82.1</v>
      </c>
    </row>
    <row r="135" spans="1:6" ht="21" x14ac:dyDescent="0.35">
      <c r="A135" s="15"/>
      <c r="B135" s="22">
        <f t="shared" si="2"/>
        <v>200611133</v>
      </c>
      <c r="C135" s="17"/>
      <c r="D135" s="5" t="str">
        <f>VLOOKUP(B135,'[1]Base de datos'!$B:$F,2,FALSE)</f>
        <v>Pelicula PVC 35 mic. CH 611 mm</v>
      </c>
      <c r="E135">
        <f>VLOOKUP(B135,'[1]Base de datos'!$B:$E,3,FALSE)</f>
        <v>2853</v>
      </c>
      <c r="F135">
        <f>VLOOKUP(B135,'[1]Base de datos'!$B:$E,4,FALSE)</f>
        <v>83.1</v>
      </c>
    </row>
    <row r="136" spans="1:6" ht="21" x14ac:dyDescent="0.35">
      <c r="A136" s="15"/>
      <c r="B136" s="23">
        <f t="shared" si="2"/>
        <v>200611134</v>
      </c>
      <c r="C136" s="17"/>
      <c r="D136" s="5" t="str">
        <f>VLOOKUP(B136,'[1]Base de datos'!$B:$F,2,FALSE)</f>
        <v>Pelicula PVC 35 mic. CH 611 mm</v>
      </c>
      <c r="E136">
        <f>VLOOKUP(B136,'[1]Base de datos'!$B:$E,3,FALSE)</f>
        <v>2838</v>
      </c>
      <c r="F136">
        <f>VLOOKUP(B136,'[1]Base de datos'!$B:$E,4,FALSE)</f>
        <v>81.2</v>
      </c>
    </row>
    <row r="137" spans="1:6" ht="21" x14ac:dyDescent="0.35">
      <c r="A137" s="15"/>
      <c r="B137" s="22">
        <f t="shared" si="2"/>
        <v>200611135</v>
      </c>
      <c r="C137" s="17"/>
      <c r="D137" s="5" t="str">
        <f>VLOOKUP(B137,'[1]Base de datos'!$B:$F,2,FALSE)</f>
        <v>Pelicula PVC 35 mic. CH 611 mm</v>
      </c>
      <c r="E137">
        <f>VLOOKUP(B137,'[1]Base de datos'!$B:$E,3,FALSE)</f>
        <v>2850</v>
      </c>
      <c r="F137">
        <f>VLOOKUP(B137,'[1]Base de datos'!$B:$E,4,FALSE)</f>
        <v>78.599999999999994</v>
      </c>
    </row>
    <row r="138" spans="1:6" ht="21" x14ac:dyDescent="0.35">
      <c r="A138" s="15"/>
      <c r="B138" s="23">
        <f t="shared" si="2"/>
        <v>200611136</v>
      </c>
      <c r="C138" s="17"/>
      <c r="D138" s="5" t="str">
        <f>VLOOKUP(B138,'[1]Base de datos'!$B:$F,2,FALSE)</f>
        <v>Pelicula PVC 35 mic. CH 611 mm</v>
      </c>
      <c r="E138">
        <f>VLOOKUP(B138,'[1]Base de datos'!$B:$E,3,FALSE)</f>
        <v>2853</v>
      </c>
      <c r="F138">
        <f>VLOOKUP(B138,'[1]Base de datos'!$B:$E,4,FALSE)</f>
        <v>83.5</v>
      </c>
    </row>
    <row r="139" spans="1:6" ht="21" x14ac:dyDescent="0.35">
      <c r="A139" s="15"/>
      <c r="B139" s="22">
        <f t="shared" si="2"/>
        <v>200611137</v>
      </c>
      <c r="C139" s="17"/>
      <c r="D139" s="5" t="str">
        <f>VLOOKUP(B139,'[1]Base de datos'!$B:$F,2,FALSE)</f>
        <v>Pelicula PVC 35 mic. CH 611 mm</v>
      </c>
      <c r="E139">
        <f>VLOOKUP(B139,'[1]Base de datos'!$B:$E,3,FALSE)</f>
        <v>2815</v>
      </c>
      <c r="F139">
        <f>VLOOKUP(B139,'[1]Base de datos'!$B:$E,4,FALSE)</f>
        <v>81.8</v>
      </c>
    </row>
    <row r="140" spans="1:6" ht="21" x14ac:dyDescent="0.35">
      <c r="A140" s="15"/>
      <c r="B140" s="23">
        <f t="shared" si="2"/>
        <v>200611138</v>
      </c>
      <c r="C140" s="17"/>
      <c r="D140" s="5" t="str">
        <f>VLOOKUP(B140,'[1]Base de datos'!$B:$F,2,FALSE)</f>
        <v>Pelicula PVC 35 mic. CH 611 mm</v>
      </c>
      <c r="E140">
        <f>VLOOKUP(B140,'[1]Base de datos'!$B:$E,3,FALSE)</f>
        <v>2889</v>
      </c>
      <c r="F140">
        <f>VLOOKUP(B140,'[1]Base de datos'!$B:$E,4,FALSE)</f>
        <v>84.3</v>
      </c>
    </row>
    <row r="141" spans="1:6" ht="21" x14ac:dyDescent="0.35">
      <c r="A141" s="15"/>
      <c r="B141" s="22">
        <f t="shared" si="2"/>
        <v>200611139</v>
      </c>
      <c r="C141" s="17"/>
      <c r="D141" s="5" t="str">
        <f>VLOOKUP(B141,'[1]Base de datos'!$B:$F,2,FALSE)</f>
        <v>Pelicula PVC 35 mic. CH 611 mm</v>
      </c>
      <c r="E141">
        <f>VLOOKUP(B141,'[1]Base de datos'!$B:$E,3,FALSE)</f>
        <v>2821</v>
      </c>
      <c r="F141">
        <f>VLOOKUP(B141,'[1]Base de datos'!$B:$E,4,FALSE)</f>
        <v>79.7</v>
      </c>
    </row>
    <row r="142" spans="1:6" ht="21" x14ac:dyDescent="0.35">
      <c r="A142" s="15"/>
      <c r="B142" s="23">
        <f t="shared" si="2"/>
        <v>200611140</v>
      </c>
      <c r="C142" s="17"/>
      <c r="D142" s="5" t="str">
        <f>VLOOKUP(B142,'[1]Base de datos'!$B:$F,2,FALSE)</f>
        <v>Pelicula PVC 35 mic. CH 611 mm</v>
      </c>
      <c r="E142">
        <f>VLOOKUP(B142,'[1]Base de datos'!$B:$E,3,FALSE)</f>
        <v>2855</v>
      </c>
      <c r="F142">
        <f>VLOOKUP(B142,'[1]Base de datos'!$B:$E,4,FALSE)</f>
        <v>80.3</v>
      </c>
    </row>
    <row r="143" spans="1:6" ht="21" x14ac:dyDescent="0.35">
      <c r="A143" s="15"/>
      <c r="B143" s="22">
        <f t="shared" si="2"/>
        <v>200611141</v>
      </c>
      <c r="C143" s="17"/>
      <c r="D143" s="5" t="str">
        <f>VLOOKUP(B143,'[1]Base de datos'!$B:$F,2,FALSE)</f>
        <v>Pelicula PVC 35 mic. CH 611 mm</v>
      </c>
      <c r="E143">
        <f>VLOOKUP(B143,'[1]Base de datos'!$B:$E,3,FALSE)</f>
        <v>2879</v>
      </c>
      <c r="F143">
        <f>VLOOKUP(B143,'[1]Base de datos'!$B:$E,4,FALSE)</f>
        <v>81.400000000000006</v>
      </c>
    </row>
    <row r="144" spans="1:6" ht="21" x14ac:dyDescent="0.35">
      <c r="A144" s="15"/>
      <c r="B144" s="23">
        <f t="shared" si="2"/>
        <v>200611142</v>
      </c>
      <c r="C144" s="17"/>
      <c r="D144" s="5" t="str">
        <f>VLOOKUP(B144,'[1]Base de datos'!$B:$F,2,FALSE)</f>
        <v>Pelicula PVC 35 mic. CH 611 mm</v>
      </c>
      <c r="E144">
        <f>VLOOKUP(B144,'[1]Base de datos'!$B:$E,3,FALSE)</f>
        <v>2818</v>
      </c>
      <c r="F144">
        <f>VLOOKUP(B144,'[1]Base de datos'!$B:$E,4,FALSE)</f>
        <v>78.599999999999994</v>
      </c>
    </row>
    <row r="145" spans="1:6" ht="21" x14ac:dyDescent="0.35">
      <c r="A145" s="15"/>
      <c r="B145" s="22">
        <f t="shared" si="2"/>
        <v>200611143</v>
      </c>
      <c r="C145" s="17"/>
      <c r="D145" s="5" t="str">
        <f>VLOOKUP(B145,'[1]Base de datos'!$B:$F,2,FALSE)</f>
        <v>Pelicula PVC 35 mic. CH 611 mm</v>
      </c>
      <c r="E145">
        <f>VLOOKUP(B145,'[1]Base de datos'!$B:$E,3,FALSE)</f>
        <v>2889</v>
      </c>
      <c r="F145">
        <f>VLOOKUP(B145,'[1]Base de datos'!$B:$E,4,FALSE)</f>
        <v>84.1</v>
      </c>
    </row>
    <row r="146" spans="1:6" ht="21" x14ac:dyDescent="0.35">
      <c r="A146" s="15"/>
      <c r="B146" s="23">
        <f t="shared" si="2"/>
        <v>200611144</v>
      </c>
      <c r="C146" s="17"/>
      <c r="D146" s="5" t="str">
        <f>VLOOKUP(B146,'[1]Base de datos'!$B:$F,2,FALSE)</f>
        <v>Pelicula PVC 35 mic. CH 611 mm</v>
      </c>
      <c r="E146">
        <f>VLOOKUP(B146,'[1]Base de datos'!$B:$E,3,FALSE)</f>
        <v>2821</v>
      </c>
      <c r="F146">
        <f>VLOOKUP(B146,'[1]Base de datos'!$B:$E,4,FALSE)</f>
        <v>80.3</v>
      </c>
    </row>
    <row r="147" spans="1:6" ht="21" x14ac:dyDescent="0.35">
      <c r="A147" s="15"/>
      <c r="B147" s="22">
        <f t="shared" si="2"/>
        <v>200611145</v>
      </c>
      <c r="C147" s="17"/>
      <c r="D147" s="5" t="str">
        <f>VLOOKUP(B147,'[1]Base de datos'!$B:$F,2,FALSE)</f>
        <v>Pelicula PVC 35 mic. CH 611 mm</v>
      </c>
      <c r="E147">
        <f>VLOOKUP(B147,'[1]Base de datos'!$B:$E,3,FALSE)</f>
        <v>2838</v>
      </c>
      <c r="F147">
        <f>VLOOKUP(B147,'[1]Base de datos'!$B:$E,4,FALSE)</f>
        <v>82.3</v>
      </c>
    </row>
    <row r="148" spans="1:6" ht="21" x14ac:dyDescent="0.35">
      <c r="A148" s="15"/>
      <c r="B148" s="23">
        <f t="shared" si="2"/>
        <v>200611146</v>
      </c>
      <c r="C148" s="17"/>
      <c r="D148" s="5" t="str">
        <f>VLOOKUP(B148,'[1]Base de datos'!$B:$F,2,FALSE)</f>
        <v>Pelicula PVC 35 mic. CH 611 mm</v>
      </c>
      <c r="E148">
        <f>VLOOKUP(B148,'[1]Base de datos'!$B:$E,3,FALSE)</f>
        <v>2818</v>
      </c>
      <c r="F148">
        <f>VLOOKUP(B148,'[1]Base de datos'!$B:$E,4,FALSE)</f>
        <v>79</v>
      </c>
    </row>
    <row r="149" spans="1:6" ht="21" x14ac:dyDescent="0.35">
      <c r="A149" s="15"/>
      <c r="B149" s="22">
        <f t="shared" si="2"/>
        <v>200611147</v>
      </c>
      <c r="C149" s="17"/>
      <c r="D149" s="5" t="str">
        <f>VLOOKUP(B149,'[1]Base de datos'!$B:$F,2,FALSE)</f>
        <v>Pelicula PVC 35 mic. CH 611 mm</v>
      </c>
      <c r="E149">
        <f>VLOOKUP(B149,'[1]Base de datos'!$B:$E,3,FALSE)</f>
        <v>2822</v>
      </c>
      <c r="F149">
        <f>VLOOKUP(B149,'[1]Base de datos'!$B:$E,4,FALSE)</f>
        <v>80.099999999999994</v>
      </c>
    </row>
    <row r="150" spans="1:6" ht="21" x14ac:dyDescent="0.35">
      <c r="A150" s="15"/>
      <c r="B150" s="23">
        <f t="shared" si="2"/>
        <v>200611148</v>
      </c>
      <c r="C150" s="17"/>
      <c r="D150" s="5" t="str">
        <f>VLOOKUP(B150,'[1]Base de datos'!$B:$F,2,FALSE)</f>
        <v>Pelicula PVC 35 mic. CH 611 mm</v>
      </c>
      <c r="E150">
        <f>VLOOKUP(B150,'[1]Base de datos'!$B:$E,3,FALSE)</f>
        <v>2822</v>
      </c>
      <c r="F150">
        <f>VLOOKUP(B150,'[1]Base de datos'!$B:$E,4,FALSE)</f>
        <v>80.7</v>
      </c>
    </row>
    <row r="151" spans="1:6" ht="21" x14ac:dyDescent="0.35">
      <c r="A151" s="15"/>
      <c r="B151" s="22">
        <f t="shared" si="2"/>
        <v>200611149</v>
      </c>
      <c r="C151" s="17"/>
      <c r="D151" s="5" t="str">
        <f>VLOOKUP(B151,'[1]Base de datos'!$B:$F,2,FALSE)</f>
        <v>Pelicula PVC 35 mic. CH 611 mm</v>
      </c>
      <c r="E151">
        <f>VLOOKUP(B151,'[1]Base de datos'!$B:$E,3,FALSE)</f>
        <v>2813</v>
      </c>
      <c r="F151">
        <f>VLOOKUP(B151,'[1]Base de datos'!$B:$E,4,FALSE)</f>
        <v>79.599999999999994</v>
      </c>
    </row>
    <row r="152" spans="1:6" ht="21" x14ac:dyDescent="0.35">
      <c r="A152" s="15"/>
      <c r="B152" s="23">
        <f t="shared" si="2"/>
        <v>200611150</v>
      </c>
      <c r="C152" s="17"/>
      <c r="D152" s="5" t="str">
        <f>VLOOKUP(B152,'[1]Base de datos'!$B:$F,2,FALSE)</f>
        <v>Pelicula PVC 35 mic. CH 611 mm</v>
      </c>
      <c r="E152">
        <f>VLOOKUP(B152,'[1]Base de datos'!$B:$E,3,FALSE)</f>
        <v>2813</v>
      </c>
      <c r="F152">
        <f>VLOOKUP(B152,'[1]Base de datos'!$B:$E,4,FALSE)</f>
        <v>80.900000000000006</v>
      </c>
    </row>
    <row r="153" spans="1:6" ht="21" x14ac:dyDescent="0.35">
      <c r="A153" s="15"/>
      <c r="B153" s="22">
        <v>200677001</v>
      </c>
      <c r="C153" s="17"/>
      <c r="D153" s="5" t="str">
        <f>VLOOKUP(B153,'[1]Base de datos'!$B:$F,2,FALSE)</f>
        <v>Pelicula  PVC 35 mic. CH  667 mm</v>
      </c>
      <c r="E153">
        <f>VLOOKUP(B153,'[1]Base de datos'!$B:$E,3,FALSE)</f>
        <v>2818</v>
      </c>
      <c r="F153">
        <f>VLOOKUP(B153,'[1]Base de datos'!$B:$E,4,FALSE)</f>
        <v>89.3</v>
      </c>
    </row>
    <row r="154" spans="1:6" ht="21" x14ac:dyDescent="0.35">
      <c r="A154" s="15"/>
      <c r="B154" s="23">
        <f>+B153+1</f>
        <v>200677002</v>
      </c>
      <c r="C154" s="17"/>
      <c r="D154" s="5" t="str">
        <f>VLOOKUP(B154,'[1]Base de datos'!$B:$F,2,FALSE)</f>
        <v>Pelicula  PVC 35 mic. CH  667 mm</v>
      </c>
      <c r="E154">
        <f>VLOOKUP(B154,'[1]Base de datos'!$B:$E,3,FALSE)</f>
        <v>2818</v>
      </c>
      <c r="F154">
        <f>VLOOKUP(B154,'[1]Base de datos'!$B:$E,4,FALSE)</f>
        <v>89.7</v>
      </c>
    </row>
    <row r="155" spans="1:6" ht="21" x14ac:dyDescent="0.35">
      <c r="A155" s="15"/>
      <c r="B155" s="22">
        <f t="shared" ref="B155:B218" si="3">+B154+1</f>
        <v>200677003</v>
      </c>
      <c r="C155" s="17"/>
      <c r="D155" s="5" t="str">
        <f>VLOOKUP(B155,'[1]Base de datos'!$B:$F,2,FALSE)</f>
        <v>Pelicula  PVC 35 mic. CH  667 mm</v>
      </c>
      <c r="E155">
        <f>VLOOKUP(B155,'[1]Base de datos'!$B:$E,3,FALSE)</f>
        <v>2867</v>
      </c>
      <c r="F155">
        <f>VLOOKUP(B155,'[1]Base de datos'!$B:$E,4,FALSE)</f>
        <v>88.7</v>
      </c>
    </row>
    <row r="156" spans="1:6" ht="21" x14ac:dyDescent="0.35">
      <c r="A156" s="15"/>
      <c r="B156" s="23">
        <f t="shared" si="3"/>
        <v>200677004</v>
      </c>
      <c r="C156" s="17"/>
      <c r="D156" s="5" t="str">
        <f>VLOOKUP(B156,'[1]Base de datos'!$B:$F,2,FALSE)</f>
        <v>Pelicula  PVC 35 mic. CH  667 mm</v>
      </c>
      <c r="E156">
        <f>VLOOKUP(B156,'[1]Base de datos'!$B:$E,3,FALSE)</f>
        <v>2830</v>
      </c>
      <c r="F156">
        <f>VLOOKUP(B156,'[1]Base de datos'!$B:$E,4,FALSE)</f>
        <v>91.3</v>
      </c>
    </row>
    <row r="157" spans="1:6" ht="21" x14ac:dyDescent="0.35">
      <c r="A157" s="15"/>
      <c r="B157" s="22">
        <f t="shared" si="3"/>
        <v>200677005</v>
      </c>
      <c r="C157" s="17"/>
      <c r="D157" s="5" t="str">
        <f>VLOOKUP(B157,'[1]Base de datos'!$B:$F,2,FALSE)</f>
        <v>Pelicula  PVC 35 mic. CH  667 mm</v>
      </c>
      <c r="E157">
        <f>VLOOKUP(B157,'[1]Base de datos'!$B:$E,3,FALSE)</f>
        <v>2856</v>
      </c>
      <c r="F157">
        <f>VLOOKUP(B157,'[1]Base de datos'!$B:$E,4,FALSE)</f>
        <v>91.8</v>
      </c>
    </row>
    <row r="158" spans="1:6" ht="21" x14ac:dyDescent="0.35">
      <c r="A158" s="15"/>
      <c r="B158" s="23">
        <f t="shared" si="3"/>
        <v>200677006</v>
      </c>
      <c r="C158" s="17"/>
      <c r="D158" s="5" t="str">
        <f>VLOOKUP(B158,'[1]Base de datos'!$B:$F,2,FALSE)</f>
        <v>Pelicula  PVC 35 mic. CH  667 mm</v>
      </c>
      <c r="E158">
        <f>VLOOKUP(B158,'[1]Base de datos'!$B:$E,3,FALSE)</f>
        <v>2897</v>
      </c>
      <c r="F158">
        <f>VLOOKUP(B158,'[1]Base de datos'!$B:$E,4,FALSE)</f>
        <v>92.8</v>
      </c>
    </row>
    <row r="159" spans="1:6" ht="21" x14ac:dyDescent="0.35">
      <c r="A159" s="15"/>
      <c r="B159" s="22">
        <f t="shared" si="3"/>
        <v>200677007</v>
      </c>
      <c r="C159" s="17"/>
      <c r="D159" s="5" t="str">
        <f>VLOOKUP(B159,'[1]Base de datos'!$B:$F,2,FALSE)</f>
        <v>Pelicula  PVC 35 mic. CH  667 mm</v>
      </c>
      <c r="E159">
        <f>VLOOKUP(B159,'[1]Base de datos'!$B:$E,3,FALSE)</f>
        <v>2830</v>
      </c>
      <c r="F159">
        <f>VLOOKUP(B159,'[1]Base de datos'!$B:$E,4,FALSE)</f>
        <v>96.1</v>
      </c>
    </row>
    <row r="160" spans="1:6" ht="21" x14ac:dyDescent="0.35">
      <c r="A160" s="15"/>
      <c r="B160" s="23">
        <f t="shared" si="3"/>
        <v>200677008</v>
      </c>
      <c r="C160" s="17"/>
      <c r="D160" s="5" t="str">
        <f>VLOOKUP(B160,'[1]Base de datos'!$B:$F,2,FALSE)</f>
        <v>Pelicula  PVC 35 mic. CH  667 mm</v>
      </c>
      <c r="E160">
        <f>VLOOKUP(B160,'[1]Base de datos'!$B:$E,3,FALSE)</f>
        <v>2818</v>
      </c>
      <c r="F160">
        <f>VLOOKUP(B160,'[1]Base de datos'!$B:$E,4,FALSE)</f>
        <v>89.6</v>
      </c>
    </row>
    <row r="161" spans="1:6" ht="21" x14ac:dyDescent="0.35">
      <c r="A161" s="15"/>
      <c r="B161" s="22">
        <f t="shared" si="3"/>
        <v>200677009</v>
      </c>
      <c r="C161" s="17"/>
      <c r="D161" s="5" t="str">
        <f>VLOOKUP(B161,'[1]Base de datos'!$B:$F,2,FALSE)</f>
        <v>Pelicula  PVC 35 mic. CH  667 mm</v>
      </c>
      <c r="E161">
        <f>VLOOKUP(B161,'[1]Base de datos'!$B:$E,3,FALSE)</f>
        <v>2897</v>
      </c>
      <c r="F161">
        <f>VLOOKUP(B161,'[1]Base de datos'!$B:$E,4,FALSE)</f>
        <v>92</v>
      </c>
    </row>
    <row r="162" spans="1:6" ht="21" x14ac:dyDescent="0.35">
      <c r="A162" s="15"/>
      <c r="B162" s="23">
        <f t="shared" si="3"/>
        <v>200677010</v>
      </c>
      <c r="C162" s="17"/>
      <c r="D162" s="5" t="str">
        <f>VLOOKUP(B162,'[1]Base de datos'!$B:$F,2,FALSE)</f>
        <v>Pelicula  PVC 35 mic. CH  667 mm</v>
      </c>
      <c r="E162">
        <f>VLOOKUP(B162,'[1]Base de datos'!$B:$E,3,FALSE)</f>
        <v>2813</v>
      </c>
      <c r="F162">
        <f>VLOOKUP(B162,'[1]Base de datos'!$B:$E,4,FALSE)</f>
        <v>90.1</v>
      </c>
    </row>
    <row r="163" spans="1:6" ht="21" x14ac:dyDescent="0.35">
      <c r="A163" s="15"/>
      <c r="B163" s="22">
        <f t="shared" si="3"/>
        <v>200677011</v>
      </c>
      <c r="C163" s="17"/>
      <c r="D163" s="5" t="str">
        <f>VLOOKUP(B163,'[1]Base de datos'!$B:$F,2,FALSE)</f>
        <v>Pelicula  PVC 35 mic. CH  667 mm</v>
      </c>
      <c r="E163">
        <f>VLOOKUP(B163,'[1]Base de datos'!$B:$E,3,FALSE)</f>
        <v>2930</v>
      </c>
      <c r="F163">
        <f>VLOOKUP(B163,'[1]Base de datos'!$B:$E,4,FALSE)</f>
        <v>93.4</v>
      </c>
    </row>
    <row r="164" spans="1:6" ht="21" x14ac:dyDescent="0.35">
      <c r="A164" s="15"/>
      <c r="B164" s="23">
        <f t="shared" si="3"/>
        <v>200677012</v>
      </c>
      <c r="C164" s="17"/>
      <c r="D164" s="5" t="str">
        <f>VLOOKUP(B164,'[1]Base de datos'!$B:$F,2,FALSE)</f>
        <v>Pelicula  PVC 35 mic. CH  667 mm</v>
      </c>
      <c r="E164">
        <f>VLOOKUP(B164,'[1]Base de datos'!$B:$E,3,FALSE)</f>
        <v>2833</v>
      </c>
      <c r="F164">
        <f>VLOOKUP(B164,'[1]Base de datos'!$B:$E,4,FALSE)</f>
        <v>91.4</v>
      </c>
    </row>
    <row r="165" spans="1:6" ht="21" x14ac:dyDescent="0.35">
      <c r="A165" s="15"/>
      <c r="B165" s="22">
        <f t="shared" si="3"/>
        <v>200677013</v>
      </c>
      <c r="C165" s="17"/>
      <c r="D165" s="5" t="str">
        <f>VLOOKUP(B165,'[1]Base de datos'!$B:$F,2,FALSE)</f>
        <v>Pelicula  PVC 35 mic. CH  667 mm</v>
      </c>
      <c r="E165">
        <f>VLOOKUP(B165,'[1]Base de datos'!$B:$E,3,FALSE)</f>
        <v>2856</v>
      </c>
      <c r="F165">
        <f>VLOOKUP(B165,'[1]Base de datos'!$B:$E,4,FALSE)</f>
        <v>91.9</v>
      </c>
    </row>
    <row r="166" spans="1:6" ht="21" x14ac:dyDescent="0.35">
      <c r="A166" s="15"/>
      <c r="B166" s="23">
        <f t="shared" si="3"/>
        <v>200677014</v>
      </c>
      <c r="C166" s="17"/>
      <c r="D166" s="5" t="str">
        <f>VLOOKUP(B166,'[1]Base de datos'!$B:$F,2,FALSE)</f>
        <v>Pelicula  PVC 35 mic. CH  667 mm</v>
      </c>
      <c r="E166">
        <f>VLOOKUP(B166,'[1]Base de datos'!$B:$E,3,FALSE)</f>
        <v>2785</v>
      </c>
      <c r="F166">
        <f>VLOOKUP(B166,'[1]Base de datos'!$B:$E,4,FALSE)</f>
        <v>90</v>
      </c>
    </row>
    <row r="167" spans="1:6" ht="21" x14ac:dyDescent="0.35">
      <c r="A167" s="15"/>
      <c r="B167" s="22">
        <f t="shared" si="3"/>
        <v>200677015</v>
      </c>
      <c r="C167" s="17"/>
      <c r="D167" s="5" t="str">
        <f>VLOOKUP(B167,'[1]Base de datos'!$B:$F,2,FALSE)</f>
        <v>Pelicula  PVC 35 mic. CH  667 mm</v>
      </c>
      <c r="E167">
        <f>VLOOKUP(B167,'[1]Base de datos'!$B:$E,3,FALSE)</f>
        <v>2813</v>
      </c>
      <c r="F167">
        <f>VLOOKUP(B167,'[1]Base de datos'!$B:$E,4,FALSE)</f>
        <v>90</v>
      </c>
    </row>
    <row r="168" spans="1:6" ht="21" x14ac:dyDescent="0.35">
      <c r="A168" s="15"/>
      <c r="B168" s="23">
        <f t="shared" si="3"/>
        <v>200677016</v>
      </c>
      <c r="C168" s="17"/>
      <c r="D168" s="5" t="str">
        <f>VLOOKUP(B168,'[1]Base de datos'!$B:$F,2,FALSE)</f>
        <v>Pelicula  PVC 35 mic. CH  667 mm</v>
      </c>
      <c r="E168">
        <f>VLOOKUP(B168,'[1]Base de datos'!$B:$E,3,FALSE)</f>
        <v>2813</v>
      </c>
      <c r="F168">
        <f>VLOOKUP(B168,'[1]Base de datos'!$B:$E,4,FALSE)</f>
        <v>90</v>
      </c>
    </row>
    <row r="169" spans="1:6" ht="21" x14ac:dyDescent="0.35">
      <c r="A169" s="15"/>
      <c r="B169" s="22">
        <f t="shared" si="3"/>
        <v>200677017</v>
      </c>
      <c r="C169" s="17"/>
      <c r="D169" s="5" t="str">
        <f>VLOOKUP(B169,'[1]Base de datos'!$B:$F,2,FALSE)</f>
        <v>Pelicula  PVC 35 mic. CH  667 mm</v>
      </c>
      <c r="E169">
        <f>VLOOKUP(B169,'[1]Base de datos'!$B:$E,3,FALSE)</f>
        <v>2930</v>
      </c>
      <c r="F169">
        <f>VLOOKUP(B169,'[1]Base de datos'!$B:$E,4,FALSE)</f>
        <v>93.7</v>
      </c>
    </row>
    <row r="170" spans="1:6" ht="21" x14ac:dyDescent="0.35">
      <c r="A170" s="15"/>
      <c r="B170" s="23">
        <f t="shared" si="3"/>
        <v>200677018</v>
      </c>
      <c r="C170" s="17"/>
      <c r="D170" s="5" t="str">
        <f>VLOOKUP(B170,'[1]Base de datos'!$B:$F,2,FALSE)</f>
        <v>Pelicula  PVC 35 mic. CH  667 mm</v>
      </c>
      <c r="E170">
        <f>VLOOKUP(B170,'[1]Base de datos'!$B:$E,3,FALSE)</f>
        <v>2833</v>
      </c>
      <c r="F170">
        <f>VLOOKUP(B170,'[1]Base de datos'!$B:$E,4,FALSE)</f>
        <v>90.6</v>
      </c>
    </row>
    <row r="171" spans="1:6" ht="21" x14ac:dyDescent="0.35">
      <c r="A171" s="15"/>
      <c r="B171" s="22">
        <f t="shared" si="3"/>
        <v>200677019</v>
      </c>
      <c r="C171" s="17"/>
      <c r="D171" s="5" t="str">
        <f>VLOOKUP(B171,'[1]Base de datos'!$B:$F,2,FALSE)</f>
        <v>Pelicula  PVC 35 mic. CH  667 mm</v>
      </c>
      <c r="E171">
        <f>VLOOKUP(B171,'[1]Base de datos'!$B:$E,3,FALSE)</f>
        <v>2849</v>
      </c>
      <c r="F171">
        <f>VLOOKUP(B171,'[1]Base de datos'!$B:$E,4,FALSE)</f>
        <v>91.7</v>
      </c>
    </row>
    <row r="172" spans="1:6" ht="21" x14ac:dyDescent="0.35">
      <c r="A172" s="15"/>
      <c r="B172" s="23">
        <f t="shared" si="3"/>
        <v>200677020</v>
      </c>
      <c r="C172" s="17"/>
      <c r="D172" s="5" t="str">
        <f>VLOOKUP(B172,'[1]Base de datos'!$B:$F,2,FALSE)</f>
        <v>Pelicula  PVC 35 mic. CH  667 mm</v>
      </c>
      <c r="E172">
        <f>VLOOKUP(B172,'[1]Base de datos'!$B:$E,3,FALSE)</f>
        <v>2631</v>
      </c>
      <c r="F172">
        <f>VLOOKUP(B172,'[1]Base de datos'!$B:$E,4,FALSE)</f>
        <v>84.3</v>
      </c>
    </row>
    <row r="173" spans="1:6" ht="21" x14ac:dyDescent="0.35">
      <c r="A173" s="15"/>
      <c r="B173" s="22">
        <f t="shared" si="3"/>
        <v>200677021</v>
      </c>
      <c r="C173" s="17"/>
      <c r="D173" s="5" t="str">
        <f>VLOOKUP(B173,'[1]Base de datos'!$B:$F,2,FALSE)</f>
        <v>Pelicula  PVC 35 mic. CH  667 mm</v>
      </c>
      <c r="E173">
        <f>VLOOKUP(B173,'[1]Base de datos'!$B:$E,3,FALSE)</f>
        <v>2631</v>
      </c>
      <c r="F173">
        <f>VLOOKUP(B173,'[1]Base de datos'!$B:$E,4,FALSE)</f>
        <v>84.3</v>
      </c>
    </row>
    <row r="174" spans="1:6" ht="21" x14ac:dyDescent="0.35">
      <c r="A174" s="15"/>
      <c r="B174" s="23">
        <f t="shared" si="3"/>
        <v>200677022</v>
      </c>
      <c r="C174" s="17"/>
      <c r="D174" s="5" t="str">
        <f>VLOOKUP(B174,'[1]Base de datos'!$B:$F,2,FALSE)</f>
        <v>Pelicula  PVC 35 mic. CH  667 mm</v>
      </c>
      <c r="E174">
        <f>VLOOKUP(B174,'[1]Base de datos'!$B:$E,3,FALSE)</f>
        <v>2940</v>
      </c>
      <c r="F174">
        <f>VLOOKUP(B174,'[1]Base de datos'!$B:$E,4,FALSE)</f>
        <v>91.7</v>
      </c>
    </row>
    <row r="175" spans="1:6" ht="21" x14ac:dyDescent="0.35">
      <c r="A175" s="15"/>
      <c r="B175" s="22">
        <f t="shared" si="3"/>
        <v>200677023</v>
      </c>
      <c r="C175" s="17"/>
      <c r="D175" s="5" t="str">
        <f>VLOOKUP(B175,'[1]Base de datos'!$B:$F,2,FALSE)</f>
        <v>Pelicula  PVC 35 mic. CH  667 mm</v>
      </c>
      <c r="E175">
        <f>VLOOKUP(B175,'[1]Base de datos'!$B:$E,3,FALSE)</f>
        <v>2801</v>
      </c>
      <c r="F175">
        <f>VLOOKUP(B175,'[1]Base de datos'!$B:$E,4,FALSE)</f>
        <v>84.3</v>
      </c>
    </row>
    <row r="176" spans="1:6" ht="21" x14ac:dyDescent="0.35">
      <c r="A176" s="15"/>
      <c r="B176" s="23">
        <f t="shared" si="3"/>
        <v>200677024</v>
      </c>
      <c r="C176" s="17"/>
      <c r="D176" s="5" t="str">
        <f>VLOOKUP(B176,'[1]Base de datos'!$B:$F,2,FALSE)</f>
        <v>Pelicula  PVC 35 mic. CH  667 mm</v>
      </c>
      <c r="E176">
        <f>VLOOKUP(B176,'[1]Base de datos'!$B:$E,3,FALSE)</f>
        <v>2800</v>
      </c>
      <c r="F176">
        <f>VLOOKUP(B176,'[1]Base de datos'!$B:$E,4,FALSE)</f>
        <v>84.5</v>
      </c>
    </row>
    <row r="177" spans="1:6" ht="21" x14ac:dyDescent="0.35">
      <c r="A177" s="15"/>
      <c r="B177" s="22">
        <f t="shared" si="3"/>
        <v>200677025</v>
      </c>
      <c r="C177" s="17"/>
      <c r="D177" s="5" t="str">
        <f>VLOOKUP(B177,'[1]Base de datos'!$B:$F,2,FALSE)</f>
        <v>Pelicula  PVC 35 mic. CH  667 mm</v>
      </c>
      <c r="E177">
        <f>VLOOKUP(B177,'[1]Base de datos'!$B:$E,3,FALSE)</f>
        <v>2796</v>
      </c>
      <c r="F177">
        <f>VLOOKUP(B177,'[1]Base de datos'!$B:$E,4,FALSE)</f>
        <v>88.5</v>
      </c>
    </row>
    <row r="178" spans="1:6" ht="21" x14ac:dyDescent="0.35">
      <c r="A178" s="15"/>
      <c r="B178" s="23">
        <f t="shared" si="3"/>
        <v>200677026</v>
      </c>
      <c r="C178" s="17"/>
      <c r="D178" s="5" t="str">
        <f>VLOOKUP(B178,'[1]Base de datos'!$B:$F,2,FALSE)</f>
        <v>Pelicula  PVC 35 mic. CH  667 mm</v>
      </c>
      <c r="E178">
        <f>VLOOKUP(B178,'[1]Base de datos'!$B:$E,3,FALSE)</f>
        <v>2826</v>
      </c>
      <c r="F178">
        <f>VLOOKUP(B178,'[1]Base de datos'!$B:$E,4,FALSE)</f>
        <v>91.4</v>
      </c>
    </row>
    <row r="179" spans="1:6" ht="21" x14ac:dyDescent="0.35">
      <c r="A179" s="15"/>
      <c r="B179" s="22">
        <f t="shared" si="3"/>
        <v>200677027</v>
      </c>
      <c r="C179" s="17"/>
      <c r="D179" s="5" t="str">
        <f>VLOOKUP(B179,'[1]Base de datos'!$B:$F,2,FALSE)</f>
        <v>Pelicula  PVC 35 mic. CH  667 mm</v>
      </c>
      <c r="E179">
        <f>VLOOKUP(B179,'[1]Base de datos'!$B:$E,3,FALSE)</f>
        <v>2796</v>
      </c>
      <c r="F179">
        <f>VLOOKUP(B179,'[1]Base de datos'!$B:$E,4,FALSE)</f>
        <v>88</v>
      </c>
    </row>
    <row r="180" spans="1:6" ht="21" x14ac:dyDescent="0.35">
      <c r="A180" s="15"/>
      <c r="B180" s="23">
        <f t="shared" si="3"/>
        <v>200677028</v>
      </c>
      <c r="C180" s="17"/>
      <c r="D180" s="5" t="str">
        <f>VLOOKUP(B180,'[1]Base de datos'!$B:$F,2,FALSE)</f>
        <v>Pelicula  PVC 35 mic. CH  667 mm</v>
      </c>
      <c r="E180">
        <f>VLOOKUP(B180,'[1]Base de datos'!$B:$E,3,FALSE)</f>
        <v>2680</v>
      </c>
      <c r="F180">
        <f>VLOOKUP(B180,'[1]Base de datos'!$B:$E,4,FALSE)</f>
        <v>84</v>
      </c>
    </row>
    <row r="181" spans="1:6" ht="21" x14ac:dyDescent="0.35">
      <c r="A181" s="15"/>
      <c r="B181" s="22">
        <f t="shared" si="3"/>
        <v>200677029</v>
      </c>
      <c r="C181" s="17"/>
      <c r="D181" s="5" t="str">
        <f>VLOOKUP(B181,'[1]Base de datos'!$B:$F,2,FALSE)</f>
        <v>Pelicula  PVC 35 mic. CH  667 mm</v>
      </c>
      <c r="E181">
        <f>VLOOKUP(B181,'[1]Base de datos'!$B:$E,3,FALSE)</f>
        <v>2680</v>
      </c>
      <c r="F181">
        <f>VLOOKUP(B181,'[1]Base de datos'!$B:$E,4,FALSE)</f>
        <v>84.5</v>
      </c>
    </row>
    <row r="182" spans="1:6" ht="21" x14ac:dyDescent="0.35">
      <c r="A182" s="15"/>
      <c r="B182" s="23">
        <f t="shared" si="3"/>
        <v>200677030</v>
      </c>
      <c r="C182" s="17"/>
      <c r="D182" s="5" t="str">
        <f>VLOOKUP(B182,'[1]Base de datos'!$B:$F,2,FALSE)</f>
        <v>Pelicula  PVC 35 mic. CH  667 mm</v>
      </c>
      <c r="E182">
        <f>VLOOKUP(B182,'[1]Base de datos'!$B:$E,3,FALSE)</f>
        <v>2846</v>
      </c>
      <c r="F182">
        <f>VLOOKUP(B182,'[1]Base de datos'!$B:$E,4,FALSE)</f>
        <v>89.7</v>
      </c>
    </row>
    <row r="183" spans="1:6" ht="21" x14ac:dyDescent="0.35">
      <c r="A183" s="15"/>
      <c r="B183" s="22">
        <f t="shared" si="3"/>
        <v>200677031</v>
      </c>
      <c r="C183" s="17"/>
      <c r="D183" s="5" t="str">
        <f>VLOOKUP(B183,'[1]Base de datos'!$B:$F,2,FALSE)</f>
        <v>Pelicula  PVC 35 mic. CH  667 mm</v>
      </c>
      <c r="E183">
        <f>VLOOKUP(B183,'[1]Base de datos'!$B:$E,3,FALSE)</f>
        <v>2835</v>
      </c>
      <c r="F183">
        <f>VLOOKUP(B183,'[1]Base de datos'!$B:$E,4,FALSE)</f>
        <v>89.6</v>
      </c>
    </row>
    <row r="184" spans="1:6" ht="21" x14ac:dyDescent="0.35">
      <c r="A184" s="15"/>
      <c r="B184" s="23">
        <f t="shared" si="3"/>
        <v>200677032</v>
      </c>
      <c r="C184" s="17"/>
      <c r="D184" s="5" t="str">
        <f>VLOOKUP(B184,'[1]Base de datos'!$B:$F,2,FALSE)</f>
        <v>Pelicula  PVC 35 mic. CH  667 mm</v>
      </c>
      <c r="E184">
        <f>VLOOKUP(B184,'[1]Base de datos'!$B:$E,3,FALSE)</f>
        <v>2913</v>
      </c>
      <c r="F184">
        <f>VLOOKUP(B184,'[1]Base de datos'!$B:$E,4,FALSE)</f>
        <v>90</v>
      </c>
    </row>
    <row r="185" spans="1:6" ht="21" x14ac:dyDescent="0.35">
      <c r="A185" s="15"/>
      <c r="B185" s="22">
        <f t="shared" si="3"/>
        <v>200677033</v>
      </c>
      <c r="C185" s="17"/>
      <c r="D185" s="5" t="str">
        <f>VLOOKUP(B185,'[1]Base de datos'!$B:$F,2,FALSE)</f>
        <v>Pelicula  PVC 35 mic. CH  667 mm</v>
      </c>
      <c r="E185">
        <f>VLOOKUP(B185,'[1]Base de datos'!$B:$E,3,FALSE)</f>
        <v>2846</v>
      </c>
      <c r="F185">
        <f>VLOOKUP(B185,'[1]Base de datos'!$B:$E,4,FALSE)</f>
        <v>89.7</v>
      </c>
    </row>
    <row r="186" spans="1:6" ht="21" x14ac:dyDescent="0.35">
      <c r="A186" s="15"/>
      <c r="B186" s="23">
        <f t="shared" si="3"/>
        <v>200677034</v>
      </c>
      <c r="C186" s="17"/>
      <c r="D186" s="5" t="str">
        <f>VLOOKUP(B186,'[1]Base de datos'!$B:$F,2,FALSE)</f>
        <v>Pelicula  PVC 35 mic. CH  667 mm</v>
      </c>
      <c r="E186">
        <f>VLOOKUP(B186,'[1]Base de datos'!$B:$E,3,FALSE)</f>
        <v>2813</v>
      </c>
      <c r="F186">
        <f>VLOOKUP(B186,'[1]Base de datos'!$B:$E,4,FALSE)</f>
        <v>90.1</v>
      </c>
    </row>
    <row r="187" spans="1:6" ht="21" x14ac:dyDescent="0.35">
      <c r="A187" s="15"/>
      <c r="B187" s="22">
        <f t="shared" si="3"/>
        <v>200677035</v>
      </c>
      <c r="C187" s="17"/>
      <c r="D187" s="5" t="str">
        <f>VLOOKUP(B187,'[1]Base de datos'!$B:$F,2,FALSE)</f>
        <v>Pelicula  PVC 35 mic. CH  667 mm</v>
      </c>
      <c r="E187">
        <f>VLOOKUP(B187,'[1]Base de datos'!$B:$E,3,FALSE)</f>
        <v>2913</v>
      </c>
      <c r="F187">
        <f>VLOOKUP(B187,'[1]Base de datos'!$B:$E,4,FALSE)</f>
        <v>90.2</v>
      </c>
    </row>
    <row r="188" spans="1:6" ht="21" x14ac:dyDescent="0.35">
      <c r="A188" s="15"/>
      <c r="B188" s="23">
        <f t="shared" si="3"/>
        <v>200677036</v>
      </c>
      <c r="C188" s="17"/>
      <c r="D188" s="5" t="str">
        <f>VLOOKUP(B188,'[1]Base de datos'!$B:$F,2,FALSE)</f>
        <v>Pelicula  PVC 35 mic. CH  667 mm</v>
      </c>
      <c r="E188">
        <f>VLOOKUP(B188,'[1]Base de datos'!$B:$E,3,FALSE)</f>
        <v>2850</v>
      </c>
      <c r="F188">
        <f>VLOOKUP(B188,'[1]Base de datos'!$B:$E,4,FALSE)</f>
        <v>90.6</v>
      </c>
    </row>
    <row r="189" spans="1:6" ht="21" x14ac:dyDescent="0.35">
      <c r="A189" s="15"/>
      <c r="B189" s="22">
        <f t="shared" si="3"/>
        <v>200677037</v>
      </c>
      <c r="C189" s="17"/>
      <c r="D189" s="5" t="str">
        <f>VLOOKUP(B189,'[1]Base de datos'!$B:$F,2,FALSE)</f>
        <v>Pelicula  PVC 35 mic. CH  667 mm</v>
      </c>
      <c r="E189">
        <f>VLOOKUP(B189,'[1]Base de datos'!$B:$E,3,FALSE)</f>
        <v>2850</v>
      </c>
      <c r="F189">
        <f>VLOOKUP(B189,'[1]Base de datos'!$B:$E,4,FALSE)</f>
        <v>90.2</v>
      </c>
    </row>
    <row r="190" spans="1:6" ht="21" x14ac:dyDescent="0.35">
      <c r="A190" s="15"/>
      <c r="B190" s="23">
        <f t="shared" si="3"/>
        <v>200677038</v>
      </c>
      <c r="C190" s="17"/>
      <c r="D190" s="5" t="str">
        <f>VLOOKUP(B190,'[1]Base de datos'!$B:$F,2,FALSE)</f>
        <v>Pelicula  PVC 35 mic. CH  667 mm</v>
      </c>
      <c r="E190">
        <f>VLOOKUP(B190,'[1]Base de datos'!$B:$E,3,FALSE)</f>
        <v>3012</v>
      </c>
      <c r="F190">
        <f>VLOOKUP(B190,'[1]Base de datos'!$B:$E,4,FALSE)</f>
        <v>92.3</v>
      </c>
    </row>
    <row r="191" spans="1:6" ht="21" x14ac:dyDescent="0.35">
      <c r="A191" s="15"/>
      <c r="B191" s="22">
        <f t="shared" si="3"/>
        <v>200677039</v>
      </c>
      <c r="C191" s="17"/>
      <c r="D191" s="5" t="str">
        <f>VLOOKUP(B191,'[1]Base de datos'!$B:$F,2,FALSE)</f>
        <v>Pelicula  PVC 35 mic. CH  667 mm</v>
      </c>
      <c r="E191">
        <f>VLOOKUP(B191,'[1]Base de datos'!$B:$E,3,FALSE)</f>
        <v>2845</v>
      </c>
      <c r="F191">
        <f>VLOOKUP(B191,'[1]Base de datos'!$B:$E,4,FALSE)</f>
        <v>92.5</v>
      </c>
    </row>
    <row r="192" spans="1:6" ht="21" x14ac:dyDescent="0.35">
      <c r="A192" s="15"/>
      <c r="B192" s="23">
        <f t="shared" si="3"/>
        <v>200677040</v>
      </c>
      <c r="C192" s="17"/>
      <c r="D192" s="5" t="str">
        <f>VLOOKUP(B192,'[1]Base de datos'!$B:$F,2,FALSE)</f>
        <v>Pelicula  PVC 35 mic. CH  667 mm</v>
      </c>
      <c r="E192">
        <f>VLOOKUP(B192,'[1]Base de datos'!$B:$E,3,FALSE)</f>
        <v>2826</v>
      </c>
      <c r="F192">
        <f>VLOOKUP(B192,'[1]Base de datos'!$B:$E,4,FALSE)</f>
        <v>88.6</v>
      </c>
    </row>
    <row r="193" spans="1:6" ht="21" x14ac:dyDescent="0.35">
      <c r="A193" s="15"/>
      <c r="B193" s="22">
        <f t="shared" si="3"/>
        <v>200677041</v>
      </c>
      <c r="C193" s="17"/>
      <c r="D193" s="5" t="str">
        <f>VLOOKUP(B193,'[1]Base de datos'!$B:$F,2,FALSE)</f>
        <v>Pelicula  PVC 35 mic. CH  667 mm</v>
      </c>
      <c r="E193">
        <f>VLOOKUP(B193,'[1]Base de datos'!$B:$E,3,FALSE)</f>
        <v>2840</v>
      </c>
      <c r="F193">
        <f>VLOOKUP(B193,'[1]Base de datos'!$B:$E,4,FALSE)</f>
        <v>87</v>
      </c>
    </row>
    <row r="194" spans="1:6" ht="21" x14ac:dyDescent="0.35">
      <c r="A194" s="15"/>
      <c r="B194" s="23">
        <f t="shared" si="3"/>
        <v>200677042</v>
      </c>
      <c r="C194" s="17"/>
      <c r="D194" s="5" t="str">
        <f>VLOOKUP(B194,'[1]Base de datos'!$B:$F,2,FALSE)</f>
        <v>Pelicula  PVC 35 mic. CH  667 mm</v>
      </c>
      <c r="E194">
        <f>VLOOKUP(B194,'[1]Base de datos'!$B:$E,3,FALSE)</f>
        <v>2826</v>
      </c>
      <c r="F194">
        <f>VLOOKUP(B194,'[1]Base de datos'!$B:$E,4,FALSE)</f>
        <v>88.8</v>
      </c>
    </row>
    <row r="195" spans="1:6" ht="21" x14ac:dyDescent="0.35">
      <c r="A195" s="15"/>
      <c r="B195" s="22">
        <f t="shared" si="3"/>
        <v>200677043</v>
      </c>
      <c r="C195" s="17"/>
      <c r="D195" s="5" t="str">
        <f>VLOOKUP(B195,'[1]Base de datos'!$B:$F,2,FALSE)</f>
        <v>Pelicula  PVC 35 mic. CH  667 mm</v>
      </c>
      <c r="E195">
        <f>VLOOKUP(B195,'[1]Base de datos'!$B:$E,3,FALSE)</f>
        <v>2864</v>
      </c>
      <c r="F195">
        <f>VLOOKUP(B195,'[1]Base de datos'!$B:$E,4,FALSE)</f>
        <v>91.4</v>
      </c>
    </row>
    <row r="196" spans="1:6" ht="21" x14ac:dyDescent="0.35">
      <c r="A196" s="15"/>
      <c r="B196" s="23">
        <f t="shared" si="3"/>
        <v>200677044</v>
      </c>
      <c r="C196" s="17"/>
      <c r="D196" s="5" t="str">
        <f>VLOOKUP(B196,'[1]Base de datos'!$B:$F,2,FALSE)</f>
        <v>Pelicula  PVC 35 mic. CH  667 mm</v>
      </c>
      <c r="E196">
        <f>VLOOKUP(B196,'[1]Base de datos'!$B:$E,3,FALSE)</f>
        <v>2864</v>
      </c>
      <c r="F196">
        <f>VLOOKUP(B196,'[1]Base de datos'!$B:$E,4,FALSE)</f>
        <v>91.1</v>
      </c>
    </row>
    <row r="197" spans="1:6" ht="21" x14ac:dyDescent="0.35">
      <c r="A197" s="15"/>
      <c r="B197" s="22">
        <f t="shared" si="3"/>
        <v>200677045</v>
      </c>
      <c r="C197" s="17"/>
      <c r="D197" s="5" t="str">
        <f>VLOOKUP(B197,'[1]Base de datos'!$B:$F,2,FALSE)</f>
        <v>Pelicula  PVC 35 mic. CH  667 mm</v>
      </c>
      <c r="E197">
        <f>VLOOKUP(B197,'[1]Base de datos'!$B:$E,3,FALSE)</f>
        <v>2840</v>
      </c>
      <c r="F197">
        <f>VLOOKUP(B197,'[1]Base de datos'!$B:$E,4,FALSE)</f>
        <v>86.8</v>
      </c>
    </row>
    <row r="198" spans="1:6" ht="21" x14ac:dyDescent="0.35">
      <c r="A198" s="15"/>
      <c r="B198" s="23">
        <f t="shared" si="3"/>
        <v>200677046</v>
      </c>
      <c r="C198" s="17"/>
      <c r="D198" s="5" t="str">
        <f>VLOOKUP(B198,'[1]Base de datos'!$B:$F,2,FALSE)</f>
        <v>Pelicula  PVC 35 mic. CH  667 mm</v>
      </c>
      <c r="E198">
        <f>VLOOKUP(B198,'[1]Base de datos'!$B:$E,3,FALSE)</f>
        <v>2855</v>
      </c>
      <c r="F198">
        <f>VLOOKUP(B198,'[1]Base de datos'!$B:$E,4,FALSE)</f>
        <v>90.6</v>
      </c>
    </row>
    <row r="199" spans="1:6" ht="21" x14ac:dyDescent="0.35">
      <c r="A199" s="15"/>
      <c r="B199" s="22">
        <f t="shared" si="3"/>
        <v>200677047</v>
      </c>
      <c r="C199" s="17"/>
      <c r="D199" s="5" t="str">
        <f>VLOOKUP(B199,'[1]Base de datos'!$B:$F,2,FALSE)</f>
        <v>Pelicula  PVC 35 mic. CH  667 mm</v>
      </c>
      <c r="E199">
        <f>VLOOKUP(B199,'[1]Base de datos'!$B:$E,3,FALSE)</f>
        <v>2849</v>
      </c>
      <c r="F199">
        <f>VLOOKUP(B199,'[1]Base de datos'!$B:$E,4,FALSE)</f>
        <v>91.3</v>
      </c>
    </row>
    <row r="200" spans="1:6" ht="21" x14ac:dyDescent="0.35">
      <c r="A200" s="15"/>
      <c r="B200" s="23">
        <f t="shared" si="3"/>
        <v>200677048</v>
      </c>
      <c r="C200" s="17"/>
      <c r="D200" s="5" t="str">
        <f>VLOOKUP(B200,'[1]Base de datos'!$B:$F,2,FALSE)</f>
        <v>Pelicula  PVC 35 mic. CH  667 mm</v>
      </c>
      <c r="E200">
        <f>VLOOKUP(B200,'[1]Base de datos'!$B:$E,3,FALSE)</f>
        <v>2831</v>
      </c>
      <c r="F200">
        <f>VLOOKUP(B200,'[1]Base de datos'!$B:$E,4,FALSE)</f>
        <v>90</v>
      </c>
    </row>
    <row r="201" spans="1:6" ht="21" x14ac:dyDescent="0.35">
      <c r="A201" s="15"/>
      <c r="B201" s="22">
        <f t="shared" si="3"/>
        <v>200677049</v>
      </c>
      <c r="C201" s="17"/>
      <c r="D201" s="5" t="str">
        <f>VLOOKUP(B201,'[1]Base de datos'!$B:$F,2,FALSE)</f>
        <v>Pelicula  PVC 35 mic. CH  667 mm</v>
      </c>
      <c r="E201">
        <f>VLOOKUP(B201,'[1]Base de datos'!$B:$E,3,FALSE)</f>
        <v>2840</v>
      </c>
      <c r="F201">
        <f>VLOOKUP(B201,'[1]Base de datos'!$B:$E,4,FALSE)</f>
        <v>90.2</v>
      </c>
    </row>
    <row r="202" spans="1:6" ht="21" x14ac:dyDescent="0.35">
      <c r="A202" s="15"/>
      <c r="B202" s="23">
        <f t="shared" si="3"/>
        <v>200677050</v>
      </c>
      <c r="C202" s="17"/>
      <c r="D202" s="5" t="str">
        <f>VLOOKUP(B202,'[1]Base de datos'!$B:$F,2,FALSE)</f>
        <v>Pelicula  PVC 35 mic. CH  667 mm</v>
      </c>
      <c r="E202">
        <f>VLOOKUP(B202,'[1]Base de datos'!$B:$E,3,FALSE)</f>
        <v>2840</v>
      </c>
      <c r="F202">
        <f>VLOOKUP(B202,'[1]Base de datos'!$B:$E,4,FALSE)</f>
        <v>90</v>
      </c>
    </row>
    <row r="203" spans="1:6" ht="21" x14ac:dyDescent="0.35">
      <c r="A203" s="15"/>
      <c r="B203" s="22">
        <f t="shared" si="3"/>
        <v>200677051</v>
      </c>
      <c r="C203" s="17"/>
      <c r="D203" s="5" t="str">
        <f>VLOOKUP(B203,'[1]Base de datos'!$B:$F,2,FALSE)</f>
        <v>Pelicula  PVC 35 mic. CH  667 mm</v>
      </c>
      <c r="E203">
        <f>VLOOKUP(B203,'[1]Base de datos'!$B:$E,3,FALSE)</f>
        <v>2680</v>
      </c>
      <c r="F203">
        <f>VLOOKUP(B203,'[1]Base de datos'!$B:$E,4,FALSE)</f>
        <v>83.9</v>
      </c>
    </row>
    <row r="204" spans="1:6" ht="21" x14ac:dyDescent="0.35">
      <c r="A204" s="15"/>
      <c r="B204" s="23">
        <f t="shared" si="3"/>
        <v>200677052</v>
      </c>
      <c r="C204" s="17"/>
      <c r="D204" s="5" t="str">
        <f>VLOOKUP(B204,'[1]Base de datos'!$B:$F,2,FALSE)</f>
        <v>Pelicula  PVC 35 mic. CH  667 mm</v>
      </c>
      <c r="E204">
        <f>VLOOKUP(B204,'[1]Base de datos'!$B:$E,3,FALSE)</f>
        <v>2850</v>
      </c>
      <c r="F204">
        <f>VLOOKUP(B204,'[1]Base de datos'!$B:$E,4,FALSE)</f>
        <v>90.5</v>
      </c>
    </row>
    <row r="205" spans="1:6" ht="21" x14ac:dyDescent="0.35">
      <c r="A205" s="15"/>
      <c r="B205" s="22">
        <f t="shared" si="3"/>
        <v>200677053</v>
      </c>
      <c r="C205" s="17"/>
      <c r="D205" s="5" t="str">
        <f>VLOOKUP(B205,'[1]Base de datos'!$B:$F,2,FALSE)</f>
        <v>Pelicula  PVC 35 mic. CH  667 mm</v>
      </c>
      <c r="E205">
        <f>VLOOKUP(B205,'[1]Base de datos'!$B:$E,3,FALSE)</f>
        <v>2831</v>
      </c>
      <c r="F205">
        <f>VLOOKUP(B205,'[1]Base de datos'!$B:$E,4,FALSE)</f>
        <v>88.7</v>
      </c>
    </row>
    <row r="206" spans="1:6" ht="21" x14ac:dyDescent="0.35">
      <c r="A206" s="15"/>
      <c r="B206" s="23">
        <f t="shared" si="3"/>
        <v>200677054</v>
      </c>
      <c r="C206" s="17"/>
      <c r="D206" s="5" t="str">
        <f>VLOOKUP(B206,'[1]Base de datos'!$B:$F,2,FALSE)</f>
        <v>Pelicula  PVC 35 mic. CH  667 mm</v>
      </c>
      <c r="E206">
        <f>VLOOKUP(B206,'[1]Base de datos'!$B:$E,3,FALSE)</f>
        <v>2855</v>
      </c>
      <c r="F206">
        <f>VLOOKUP(B206,'[1]Base de datos'!$B:$E,4,FALSE)</f>
        <v>90.4</v>
      </c>
    </row>
    <row r="207" spans="1:6" ht="21" x14ac:dyDescent="0.35">
      <c r="A207" s="15"/>
      <c r="B207" s="22">
        <f t="shared" si="3"/>
        <v>200677055</v>
      </c>
      <c r="C207" s="17"/>
      <c r="D207" s="5" t="str">
        <f>VLOOKUP(B207,'[1]Base de datos'!$B:$F,2,FALSE)</f>
        <v>Pelicula  PVC 35 mic. CH  667 mm</v>
      </c>
      <c r="E207">
        <f>VLOOKUP(B207,'[1]Base de datos'!$B:$E,3,FALSE)</f>
        <v>2862</v>
      </c>
      <c r="F207">
        <f>VLOOKUP(B207,'[1]Base de datos'!$B:$E,4,FALSE)</f>
        <v>88.3</v>
      </c>
    </row>
    <row r="208" spans="1:6" ht="21" x14ac:dyDescent="0.35">
      <c r="A208" s="15"/>
      <c r="B208" s="23">
        <f t="shared" si="3"/>
        <v>200677056</v>
      </c>
      <c r="C208" s="17"/>
      <c r="D208" s="5" t="str">
        <f>VLOOKUP(B208,'[1]Base de datos'!$B:$F,2,FALSE)</f>
        <v>Pelicula  PVC 35 mic. CH  667 mm</v>
      </c>
      <c r="E208">
        <f>VLOOKUP(B208,'[1]Base de datos'!$B:$E,3,FALSE)</f>
        <v>2831</v>
      </c>
      <c r="F208">
        <f>VLOOKUP(B208,'[1]Base de datos'!$B:$E,4,FALSE)</f>
        <v>92</v>
      </c>
    </row>
    <row r="209" spans="1:6" ht="21" x14ac:dyDescent="0.35">
      <c r="A209" s="15"/>
      <c r="B209" s="22">
        <f t="shared" si="3"/>
        <v>200677057</v>
      </c>
      <c r="C209" s="17"/>
      <c r="D209" s="5" t="str">
        <f>VLOOKUP(B209,'[1]Base de datos'!$B:$F,2,FALSE)</f>
        <v>Pelicula  PVC 35 mic. CH  667 mm</v>
      </c>
      <c r="E209">
        <f>VLOOKUP(B209,'[1]Base de datos'!$B:$E,3,FALSE)</f>
        <v>2813</v>
      </c>
      <c r="F209">
        <f>VLOOKUP(B209,'[1]Base de datos'!$B:$E,4,FALSE)</f>
        <v>89.8</v>
      </c>
    </row>
    <row r="210" spans="1:6" ht="21" x14ac:dyDescent="0.35">
      <c r="A210" s="15"/>
      <c r="B210" s="23">
        <f t="shared" si="3"/>
        <v>200677058</v>
      </c>
      <c r="C210" s="17"/>
      <c r="D210" s="5" t="str">
        <f>VLOOKUP(B210,'[1]Base de datos'!$B:$F,2,FALSE)</f>
        <v>Pelicula  PVC 35 mic. CH  667 mm</v>
      </c>
      <c r="E210">
        <f>VLOOKUP(B210,'[1]Base de datos'!$B:$E,3,FALSE)</f>
        <v>2820</v>
      </c>
      <c r="F210">
        <f>VLOOKUP(B210,'[1]Base de datos'!$B:$E,4,FALSE)</f>
        <v>90.1</v>
      </c>
    </row>
    <row r="211" spans="1:6" ht="21" x14ac:dyDescent="0.35">
      <c r="A211" s="15"/>
      <c r="B211" s="22">
        <f t="shared" si="3"/>
        <v>200677059</v>
      </c>
      <c r="C211" s="17"/>
      <c r="D211" s="5" t="str">
        <f>VLOOKUP(B211,'[1]Base de datos'!$B:$F,2,FALSE)</f>
        <v>Pelicula  PVC 35 mic. CH  667 mm</v>
      </c>
      <c r="E211">
        <f>VLOOKUP(B211,'[1]Base de datos'!$B:$E,3,FALSE)</f>
        <v>2840</v>
      </c>
      <c r="F211">
        <f>VLOOKUP(B211,'[1]Base de datos'!$B:$E,4,FALSE)</f>
        <v>91</v>
      </c>
    </row>
    <row r="212" spans="1:6" ht="21" x14ac:dyDescent="0.35">
      <c r="A212" s="15"/>
      <c r="B212" s="23">
        <f t="shared" si="3"/>
        <v>200677060</v>
      </c>
      <c r="C212" s="17"/>
      <c r="D212" s="5" t="str">
        <f>VLOOKUP(B212,'[1]Base de datos'!$B:$F,2,FALSE)</f>
        <v>Pelicula  PVC 35 mic. CH  667 mm</v>
      </c>
      <c r="E212">
        <f>VLOOKUP(B212,'[1]Base de datos'!$B:$E,3,FALSE)</f>
        <v>2840</v>
      </c>
      <c r="F212">
        <f>VLOOKUP(B212,'[1]Base de datos'!$B:$E,4,FALSE)</f>
        <v>91.4</v>
      </c>
    </row>
    <row r="213" spans="1:6" ht="21" x14ac:dyDescent="0.35">
      <c r="A213" s="15"/>
      <c r="B213" s="22">
        <f t="shared" si="3"/>
        <v>200677061</v>
      </c>
      <c r="C213" s="17"/>
      <c r="D213" s="5" t="str">
        <f>VLOOKUP(B213,'[1]Base de datos'!$B:$F,2,FALSE)</f>
        <v>Pelicula  PVC 35 mic. CH  667 mm</v>
      </c>
      <c r="E213">
        <f>VLOOKUP(B213,'[1]Base de datos'!$B:$E,3,FALSE)</f>
        <v>2820</v>
      </c>
      <c r="F213">
        <f>VLOOKUP(B213,'[1]Base de datos'!$B:$E,4,FALSE)</f>
        <v>90.3</v>
      </c>
    </row>
    <row r="214" spans="1:6" ht="21" x14ac:dyDescent="0.35">
      <c r="A214" s="15"/>
      <c r="B214" s="23">
        <f t="shared" si="3"/>
        <v>200677062</v>
      </c>
      <c r="C214" s="17"/>
      <c r="D214" s="5" t="str">
        <f>VLOOKUP(B214,'[1]Base de datos'!$B:$F,2,FALSE)</f>
        <v>Pelicula  PVC 35 mic. CH  667 mm</v>
      </c>
      <c r="E214">
        <f>VLOOKUP(B214,'[1]Base de datos'!$B:$E,3,FALSE)</f>
        <v>2831</v>
      </c>
      <c r="F214">
        <f>VLOOKUP(B214,'[1]Base de datos'!$B:$E,4,FALSE)</f>
        <v>91.5</v>
      </c>
    </row>
    <row r="215" spans="1:6" ht="21" x14ac:dyDescent="0.35">
      <c r="A215" s="15"/>
      <c r="B215" s="22">
        <f t="shared" si="3"/>
        <v>200677063</v>
      </c>
      <c r="C215" s="17"/>
      <c r="D215" s="5" t="str">
        <f>VLOOKUP(B215,'[1]Base de datos'!$B:$F,2,FALSE)</f>
        <v>Pelicula  PVC 35 mic. CH  667 mm</v>
      </c>
      <c r="E215">
        <f>VLOOKUP(B215,'[1]Base de datos'!$B:$E,3,FALSE)</f>
        <v>2845</v>
      </c>
      <c r="F215">
        <f>VLOOKUP(B215,'[1]Base de datos'!$B:$E,4,FALSE)</f>
        <v>92.2</v>
      </c>
    </row>
    <row r="216" spans="1:6" ht="21" x14ac:dyDescent="0.35">
      <c r="A216" s="15"/>
      <c r="B216" s="23">
        <f t="shared" si="3"/>
        <v>200677064</v>
      </c>
      <c r="C216" s="17"/>
      <c r="D216" s="5" t="str">
        <f>VLOOKUP(B216,'[1]Base de datos'!$B:$F,2,FALSE)</f>
        <v>Pelicula  PVC 35 mic. CH  667 mm</v>
      </c>
      <c r="E216">
        <f>VLOOKUP(B216,'[1]Base de datos'!$B:$E,3,FALSE)</f>
        <v>2835</v>
      </c>
      <c r="F216">
        <f>VLOOKUP(B216,'[1]Base de datos'!$B:$E,4,FALSE)</f>
        <v>89.4</v>
      </c>
    </row>
    <row r="217" spans="1:6" ht="21" x14ac:dyDescent="0.35">
      <c r="A217" s="15"/>
      <c r="B217" s="22">
        <f t="shared" si="3"/>
        <v>200677065</v>
      </c>
      <c r="C217" s="17"/>
      <c r="D217" s="5" t="str">
        <f>VLOOKUP(B217,'[1]Base de datos'!$B:$F,2,FALSE)</f>
        <v>Pelicula  PVC 35 mic. CH  667 mm</v>
      </c>
      <c r="E217">
        <f>VLOOKUP(B217,'[1]Base de datos'!$B:$E,3,FALSE)</f>
        <v>2837</v>
      </c>
      <c r="F217">
        <f>VLOOKUP(B217,'[1]Base de datos'!$B:$E,4,FALSE)</f>
        <v>89</v>
      </c>
    </row>
    <row r="218" spans="1:6" ht="21" x14ac:dyDescent="0.35">
      <c r="A218" s="15"/>
      <c r="B218" s="23">
        <f t="shared" si="3"/>
        <v>200677066</v>
      </c>
      <c r="C218" s="17"/>
      <c r="D218" s="5" t="str">
        <f>VLOOKUP(B218,'[1]Base de datos'!$B:$F,2,FALSE)</f>
        <v>Pelicula  PVC 35 mic. CH  667 mm</v>
      </c>
      <c r="E218">
        <f>VLOOKUP(B218,'[1]Base de datos'!$B:$E,3,FALSE)</f>
        <v>2830</v>
      </c>
      <c r="F218">
        <f>VLOOKUP(B218,'[1]Base de datos'!$B:$E,4,FALSE)</f>
        <v>90</v>
      </c>
    </row>
    <row r="219" spans="1:6" ht="21" x14ac:dyDescent="0.35">
      <c r="A219" s="15"/>
      <c r="B219" s="22">
        <f t="shared" ref="B219:B228" si="4">+B218+1</f>
        <v>200677067</v>
      </c>
      <c r="C219" s="17"/>
      <c r="D219" s="5" t="str">
        <f>VLOOKUP(B219,'[1]Base de datos'!$B:$F,2,FALSE)</f>
        <v>Pelicula  PVC 35 mic. CH  667 mm</v>
      </c>
      <c r="E219">
        <f>VLOOKUP(B219,'[1]Base de datos'!$B:$E,3,FALSE)</f>
        <v>2818</v>
      </c>
      <c r="F219">
        <f>VLOOKUP(B219,'[1]Base de datos'!$B:$E,4,FALSE)</f>
        <v>89.6</v>
      </c>
    </row>
    <row r="220" spans="1:6" ht="21" x14ac:dyDescent="0.35">
      <c r="A220" s="15"/>
      <c r="B220" s="23">
        <f t="shared" si="4"/>
        <v>200677068</v>
      </c>
      <c r="C220" s="17"/>
      <c r="D220" s="5" t="str">
        <f>VLOOKUP(B220,'[1]Base de datos'!$B:$F,2,FALSE)</f>
        <v>Pelicula  PVC 35 mic. CH  667 mm</v>
      </c>
      <c r="E220">
        <f>VLOOKUP(B220,'[1]Base de datos'!$B:$E,3,FALSE)</f>
        <v>2890</v>
      </c>
      <c r="F220">
        <f>VLOOKUP(B220,'[1]Base de datos'!$B:$E,4,FALSE)</f>
        <v>90.4</v>
      </c>
    </row>
    <row r="221" spans="1:6" ht="21" x14ac:dyDescent="0.35">
      <c r="A221" s="15"/>
      <c r="B221" s="22">
        <f t="shared" si="4"/>
        <v>200677069</v>
      </c>
      <c r="C221" s="17"/>
      <c r="D221" s="5" t="str">
        <f>VLOOKUP(B221,'[1]Base de datos'!$B:$F,2,FALSE)</f>
        <v>Pelicula  PVC 35 mic. CH  667 mm</v>
      </c>
      <c r="E221">
        <f>VLOOKUP(B221,'[1]Base de datos'!$B:$E,3,FALSE)</f>
        <v>2990</v>
      </c>
      <c r="F221">
        <f>VLOOKUP(B221,'[1]Base de datos'!$B:$E,4,FALSE)</f>
        <v>91.2</v>
      </c>
    </row>
    <row r="222" spans="1:6" ht="21" x14ac:dyDescent="0.35">
      <c r="A222" s="15"/>
      <c r="B222" s="23">
        <f t="shared" si="4"/>
        <v>200677070</v>
      </c>
      <c r="C222" s="17"/>
      <c r="D222" s="5" t="str">
        <f>VLOOKUP(B222,'[1]Base de datos'!$B:$F,2,FALSE)</f>
        <v>Pelicula  PVC 35 mic. CH  667 mm</v>
      </c>
      <c r="E222">
        <f>VLOOKUP(B222,'[1]Base de datos'!$B:$E,3,FALSE)</f>
        <v>2848</v>
      </c>
      <c r="F222">
        <f>VLOOKUP(B222,'[1]Base de datos'!$B:$E,4,FALSE)</f>
        <v>92.2</v>
      </c>
    </row>
    <row r="223" spans="1:6" ht="21" x14ac:dyDescent="0.35">
      <c r="A223" s="15"/>
      <c r="B223" s="22">
        <f t="shared" si="4"/>
        <v>200677071</v>
      </c>
      <c r="C223" s="17"/>
      <c r="D223" s="5" t="str">
        <f>VLOOKUP(B223,'[1]Base de datos'!$B:$F,2,FALSE)</f>
        <v>Pelicula  PVC 35 mic. CH  667 mm</v>
      </c>
      <c r="E223">
        <f>VLOOKUP(B223,'[1]Base de datos'!$B:$E,3,FALSE)</f>
        <v>2848</v>
      </c>
      <c r="F223">
        <f>VLOOKUP(B223,'[1]Base de datos'!$B:$E,4,FALSE)</f>
        <v>92.2</v>
      </c>
    </row>
    <row r="224" spans="1:6" ht="21" x14ac:dyDescent="0.35">
      <c r="A224" s="15"/>
      <c r="B224" s="23">
        <f t="shared" si="4"/>
        <v>200677072</v>
      </c>
      <c r="C224" s="17"/>
      <c r="D224" s="5" t="str">
        <f>VLOOKUP(B224,'[1]Base de datos'!$B:$F,2,FALSE)</f>
        <v>Pelicula  PVC 35 mic. CH  667 mm</v>
      </c>
      <c r="E224">
        <f>VLOOKUP(B224,'[1]Base de datos'!$B:$E,3,FALSE)</f>
        <v>2990</v>
      </c>
      <c r="F224">
        <f>VLOOKUP(B224,'[1]Base de datos'!$B:$E,4,FALSE)</f>
        <v>91.4</v>
      </c>
    </row>
    <row r="225" spans="1:6" ht="21" x14ac:dyDescent="0.35">
      <c r="A225" s="15"/>
      <c r="B225" s="22">
        <f t="shared" si="4"/>
        <v>200677073</v>
      </c>
      <c r="C225" s="17"/>
      <c r="D225" s="5" t="str">
        <f>VLOOKUP(B225,'[1]Base de datos'!$B:$F,2,FALSE)</f>
        <v>Pelicula  PVC 35 mic. CH  667 mm</v>
      </c>
      <c r="E225">
        <f>VLOOKUP(B225,'[1]Base de datos'!$B:$E,3,FALSE)</f>
        <v>2940</v>
      </c>
      <c r="F225">
        <f>VLOOKUP(B225,'[1]Base de datos'!$B:$E,4,FALSE)</f>
        <v>92.1</v>
      </c>
    </row>
    <row r="226" spans="1:6" ht="21" x14ac:dyDescent="0.35">
      <c r="A226" s="15"/>
      <c r="B226" s="23">
        <f t="shared" si="4"/>
        <v>200677074</v>
      </c>
      <c r="C226" s="17"/>
      <c r="D226" s="5" t="str">
        <f>VLOOKUP(B226,'[1]Base de datos'!$B:$F,2,FALSE)</f>
        <v>Pelicula  PVC 35 mic. CH  667 mm</v>
      </c>
      <c r="E226">
        <f>VLOOKUP(B226,'[1]Base de datos'!$B:$E,3,FALSE)</f>
        <v>2835</v>
      </c>
      <c r="F226">
        <f>VLOOKUP(B226,'[1]Base de datos'!$B:$E,4,FALSE)</f>
        <v>89.3</v>
      </c>
    </row>
    <row r="227" spans="1:6" ht="21" x14ac:dyDescent="0.35">
      <c r="A227" s="15"/>
      <c r="B227" s="22">
        <f t="shared" si="4"/>
        <v>200677075</v>
      </c>
      <c r="C227" s="17"/>
      <c r="D227" s="5" t="str">
        <f>VLOOKUP(B227,'[1]Base de datos'!$B:$F,2,FALSE)</f>
        <v>Pelicula  PVC 35 mic. CH  667 mm</v>
      </c>
      <c r="E227">
        <f>VLOOKUP(B227,'[1]Base de datos'!$B:$E,3,FALSE)</f>
        <v>2835</v>
      </c>
      <c r="F227">
        <f>VLOOKUP(B227,'[1]Base de datos'!$B:$E,4,FALSE)</f>
        <v>89.3</v>
      </c>
    </row>
    <row r="228" spans="1:6" ht="21" x14ac:dyDescent="0.35">
      <c r="A228" s="15"/>
      <c r="B228" s="23">
        <f t="shared" si="4"/>
        <v>200677076</v>
      </c>
      <c r="C228" s="17"/>
      <c r="D228" s="5" t="str">
        <f>VLOOKUP(B228,'[1]Base de datos'!$B:$F,2,FALSE)</f>
        <v>Pelicula  PVC 35 mic. CH  667 mm</v>
      </c>
      <c r="E228">
        <f>VLOOKUP(B228,'[1]Base de datos'!$B:$E,3,FALSE)</f>
        <v>2907</v>
      </c>
      <c r="F228">
        <f>VLOOKUP(B228,'[1]Base de datos'!$B:$E,4,FALSE)</f>
        <v>92.7</v>
      </c>
    </row>
    <row r="229" spans="1:6" ht="21" x14ac:dyDescent="0.35">
      <c r="A229" s="15"/>
      <c r="B229" s="22">
        <v>200700001</v>
      </c>
      <c r="C229" s="17"/>
      <c r="D229" s="5" t="str">
        <f>VLOOKUP(B229,'[1]Base de datos'!$B:$F,2,FALSE)</f>
        <v>Pet-G  pelicula  45 mic. CH 667 mm</v>
      </c>
      <c r="E229">
        <f>VLOOKUP(B229,'[1]Base de datos'!$B:$E,3,FALSE)</f>
        <v>2271</v>
      </c>
      <c r="F229">
        <f>VLOOKUP(B229,'[1]Base de datos'!$B:$E,4,FALSE)</f>
        <v>92.5</v>
      </c>
    </row>
    <row r="230" spans="1:6" ht="21" x14ac:dyDescent="0.35">
      <c r="A230" s="15"/>
      <c r="B230" s="23">
        <f>+B229+1</f>
        <v>200700002</v>
      </c>
      <c r="C230" s="17"/>
      <c r="D230" s="5" t="str">
        <f>VLOOKUP(B230,'[1]Base de datos'!$B:$F,2,FALSE)</f>
        <v>Pet-G  pelicula  45 mic. CH 667 mm</v>
      </c>
      <c r="E230">
        <f>VLOOKUP(B230,'[1]Base de datos'!$B:$E,3,FALSE)</f>
        <v>2245</v>
      </c>
      <c r="F230">
        <f>VLOOKUP(B230,'[1]Base de datos'!$B:$E,4,FALSE)</f>
        <v>91</v>
      </c>
    </row>
    <row r="231" spans="1:6" ht="21" x14ac:dyDescent="0.35">
      <c r="A231" s="15"/>
      <c r="B231" s="22">
        <f t="shared" ref="B231:B261" si="5">+B230+1</f>
        <v>200700003</v>
      </c>
      <c r="C231" s="17"/>
      <c r="D231" s="5" t="str">
        <f>VLOOKUP(B231,'[1]Base de datos'!$B:$F,2,FALSE)</f>
        <v>Pet-G  pelicula  45 mic. CH 667 mm</v>
      </c>
      <c r="E231">
        <f>VLOOKUP(B231,'[1]Base de datos'!$B:$E,3,FALSE)</f>
        <v>2271</v>
      </c>
      <c r="F231">
        <f>VLOOKUP(B231,'[1]Base de datos'!$B:$E,4,FALSE)</f>
        <v>93.2</v>
      </c>
    </row>
    <row r="232" spans="1:6" ht="21" x14ac:dyDescent="0.35">
      <c r="A232" s="15"/>
      <c r="B232" s="23">
        <f t="shared" si="5"/>
        <v>200700004</v>
      </c>
      <c r="C232" s="17"/>
      <c r="D232" s="5" t="str">
        <f>VLOOKUP(B232,'[1]Base de datos'!$B:$F,2,FALSE)</f>
        <v>Pet-G  pelicula  45 mic. CH 667 mm</v>
      </c>
      <c r="E232">
        <f>VLOOKUP(B232,'[1]Base de datos'!$B:$E,3,FALSE)</f>
        <v>2176</v>
      </c>
      <c r="F232">
        <f>VLOOKUP(B232,'[1]Base de datos'!$B:$E,4,FALSE)</f>
        <v>89.1</v>
      </c>
    </row>
    <row r="233" spans="1:6" ht="21" x14ac:dyDescent="0.35">
      <c r="A233" s="15"/>
      <c r="B233" s="22">
        <f t="shared" si="5"/>
        <v>200700005</v>
      </c>
      <c r="C233" s="17"/>
      <c r="D233" s="5" t="str">
        <f>VLOOKUP(B233,'[1]Base de datos'!$B:$F,2,FALSE)</f>
        <v>Pet-G  pelicula  45 mic. CH 667 mm</v>
      </c>
      <c r="E233">
        <f>VLOOKUP(B233,'[1]Base de datos'!$B:$E,3,FALSE)</f>
        <v>2246</v>
      </c>
      <c r="F233">
        <f>VLOOKUP(B233,'[1]Base de datos'!$B:$E,4,FALSE)</f>
        <v>91.7</v>
      </c>
    </row>
    <row r="234" spans="1:6" ht="21" x14ac:dyDescent="0.35">
      <c r="A234" s="15"/>
      <c r="B234" s="23">
        <f t="shared" si="5"/>
        <v>200700006</v>
      </c>
      <c r="C234" s="17"/>
      <c r="D234" s="5" t="str">
        <f>VLOOKUP(B234,'[1]Base de datos'!$B:$F,2,FALSE)</f>
        <v>Pet-G  pelicula  45 mic. CH 667 mm</v>
      </c>
      <c r="E234">
        <f>VLOOKUP(B234,'[1]Base de datos'!$B:$E,3,FALSE)</f>
        <v>2246</v>
      </c>
      <c r="F234">
        <f>VLOOKUP(B234,'[1]Base de datos'!$B:$E,4,FALSE)</f>
        <v>90.7</v>
      </c>
    </row>
    <row r="235" spans="1:6" ht="21" x14ac:dyDescent="0.35">
      <c r="A235" s="15"/>
      <c r="B235" s="22">
        <f t="shared" si="5"/>
        <v>200700007</v>
      </c>
      <c r="C235" s="17"/>
      <c r="D235" s="5" t="str">
        <f>VLOOKUP(B235,'[1]Base de datos'!$B:$F,2,FALSE)</f>
        <v>Pet-G  pelicula  45 mic. CH 667 mm</v>
      </c>
      <c r="E235">
        <f>VLOOKUP(B235,'[1]Base de datos'!$B:$E,3,FALSE)</f>
        <v>2272</v>
      </c>
      <c r="F235">
        <f>VLOOKUP(B235,'[1]Base de datos'!$B:$E,4,FALSE)</f>
        <v>92.2</v>
      </c>
    </row>
    <row r="236" spans="1:6" ht="21" x14ac:dyDescent="0.35">
      <c r="A236" s="15"/>
      <c r="B236" s="23">
        <f t="shared" si="5"/>
        <v>200700008</v>
      </c>
      <c r="C236" s="17"/>
      <c r="D236" s="5" t="str">
        <f>VLOOKUP(B236,'[1]Base de datos'!$B:$F,2,FALSE)</f>
        <v>Pet-G  pelicula  45 mic. CH 667 mm</v>
      </c>
      <c r="E236">
        <f>VLOOKUP(B236,'[1]Base de datos'!$B:$E,3,FALSE)</f>
        <v>2248</v>
      </c>
      <c r="F236">
        <f>VLOOKUP(B236,'[1]Base de datos'!$B:$E,4,FALSE)</f>
        <v>91.6</v>
      </c>
    </row>
    <row r="237" spans="1:6" ht="21" x14ac:dyDescent="0.35">
      <c r="A237" s="15"/>
      <c r="B237" s="22">
        <f t="shared" si="5"/>
        <v>200700009</v>
      </c>
      <c r="C237" s="17"/>
      <c r="D237" s="5" t="str">
        <f>VLOOKUP(B237,'[1]Base de datos'!$B:$F,2,FALSE)</f>
        <v>Pet-G  pelicula  45 mic. CH 667 mm</v>
      </c>
      <c r="E237">
        <f>VLOOKUP(B237,'[1]Base de datos'!$B:$E,3,FALSE)</f>
        <v>2248</v>
      </c>
      <c r="F237">
        <f>VLOOKUP(B237,'[1]Base de datos'!$B:$E,4,FALSE)</f>
        <v>92.4</v>
      </c>
    </row>
    <row r="238" spans="1:6" ht="21" x14ac:dyDescent="0.35">
      <c r="A238" s="15"/>
      <c r="B238" s="23">
        <f t="shared" si="5"/>
        <v>200700010</v>
      </c>
      <c r="C238" s="17"/>
      <c r="D238" s="5" t="str">
        <f>VLOOKUP(B238,'[1]Base de datos'!$B:$F,2,FALSE)</f>
        <v>Pet-G  pelicula  45 mic. CH 667 mm</v>
      </c>
      <c r="E238">
        <f>VLOOKUP(B238,'[1]Base de datos'!$B:$E,3,FALSE)</f>
        <v>2230</v>
      </c>
      <c r="F238">
        <f>VLOOKUP(B238,'[1]Base de datos'!$B:$E,4,FALSE)</f>
        <v>90.5</v>
      </c>
    </row>
    <row r="239" spans="1:6" ht="21" x14ac:dyDescent="0.35">
      <c r="A239" s="15"/>
      <c r="B239" s="22">
        <f t="shared" si="5"/>
        <v>200700011</v>
      </c>
      <c r="C239" s="17"/>
      <c r="D239" s="5" t="str">
        <f>VLOOKUP(B239,'[1]Base de datos'!$B:$F,2,FALSE)</f>
        <v>Pet-G  pelicula  45 mic. CH 667 mm</v>
      </c>
      <c r="E239">
        <f>VLOOKUP(B239,'[1]Base de datos'!$B:$E,3,FALSE)</f>
        <v>2230</v>
      </c>
      <c r="F239">
        <f>VLOOKUP(B239,'[1]Base de datos'!$B:$E,4,FALSE)</f>
        <v>91.1</v>
      </c>
    </row>
    <row r="240" spans="1:6" ht="21" x14ac:dyDescent="0.35">
      <c r="A240" s="15"/>
      <c r="B240" s="23">
        <f t="shared" si="5"/>
        <v>200700012</v>
      </c>
      <c r="C240" s="17"/>
      <c r="D240" s="5" t="str">
        <f>VLOOKUP(B240,'[1]Base de datos'!$B:$F,2,FALSE)</f>
        <v>Pet-G  pelicula  45 mic. CH 667 mm</v>
      </c>
      <c r="E240">
        <f>VLOOKUP(B240,'[1]Base de datos'!$B:$E,3,FALSE)</f>
        <v>2258</v>
      </c>
      <c r="F240">
        <f>VLOOKUP(B240,'[1]Base de datos'!$B:$E,4,FALSE)</f>
        <v>91.4</v>
      </c>
    </row>
    <row r="241" spans="1:6" ht="21" x14ac:dyDescent="0.35">
      <c r="A241" s="15"/>
      <c r="B241" s="22">
        <f t="shared" si="5"/>
        <v>200700013</v>
      </c>
      <c r="C241" s="17"/>
      <c r="D241" s="5" t="str">
        <f>VLOOKUP(B241,'[1]Base de datos'!$B:$F,2,FALSE)</f>
        <v>Pet-G  pelicula  45 mic. CH 667 mm</v>
      </c>
      <c r="E241">
        <f>VLOOKUP(B241,'[1]Base de datos'!$B:$E,3,FALSE)</f>
        <v>2210</v>
      </c>
      <c r="F241">
        <f>VLOOKUP(B241,'[1]Base de datos'!$B:$E,4,FALSE)</f>
        <v>89</v>
      </c>
    </row>
    <row r="242" spans="1:6" ht="21" x14ac:dyDescent="0.35">
      <c r="A242" s="15"/>
      <c r="B242" s="23">
        <f t="shared" si="5"/>
        <v>200700014</v>
      </c>
      <c r="C242" s="17"/>
      <c r="D242" s="5" t="str">
        <f>VLOOKUP(B242,'[1]Base de datos'!$B:$F,2,FALSE)</f>
        <v>Pet-G  pelicula  45 mic. CH 667 mm</v>
      </c>
      <c r="E242">
        <f>VLOOKUP(B242,'[1]Base de datos'!$B:$E,3,FALSE)</f>
        <v>2271</v>
      </c>
      <c r="F242">
        <f>VLOOKUP(B242,'[1]Base de datos'!$B:$E,4,FALSE)</f>
        <v>92.8</v>
      </c>
    </row>
    <row r="243" spans="1:6" ht="21" x14ac:dyDescent="0.35">
      <c r="A243" s="15"/>
      <c r="B243" s="22">
        <f t="shared" si="5"/>
        <v>200700015</v>
      </c>
      <c r="C243" s="17"/>
      <c r="D243" s="5" t="str">
        <f>VLOOKUP(B243,'[1]Base de datos'!$B:$F,2,FALSE)</f>
        <v>Pet-G  pelicula  45 mic. CH 667 mm</v>
      </c>
      <c r="E243">
        <f>VLOOKUP(B243,'[1]Base de datos'!$B:$E,3,FALSE)</f>
        <v>2253</v>
      </c>
      <c r="F243">
        <f>VLOOKUP(B243,'[1]Base de datos'!$B:$E,4,FALSE)</f>
        <v>91.5</v>
      </c>
    </row>
    <row r="244" spans="1:6" ht="21" x14ac:dyDescent="0.35">
      <c r="A244" s="15"/>
      <c r="B244" s="23">
        <f t="shared" si="5"/>
        <v>200700016</v>
      </c>
      <c r="C244" s="17"/>
      <c r="D244" s="5" t="str">
        <f>VLOOKUP(B244,'[1]Base de datos'!$B:$F,2,FALSE)</f>
        <v>Pet-G  pelicula  45 mic. CH 667 mm</v>
      </c>
      <c r="E244">
        <f>VLOOKUP(B244,'[1]Base de datos'!$B:$E,3,FALSE)</f>
        <v>2245</v>
      </c>
      <c r="F244">
        <f>VLOOKUP(B244,'[1]Base de datos'!$B:$E,4,FALSE)</f>
        <v>92.4</v>
      </c>
    </row>
    <row r="245" spans="1:6" ht="21" x14ac:dyDescent="0.35">
      <c r="A245" s="15"/>
      <c r="B245" s="22">
        <f t="shared" si="5"/>
        <v>200700017</v>
      </c>
      <c r="C245" s="17"/>
      <c r="D245" s="5" t="str">
        <f>VLOOKUP(B245,'[1]Base de datos'!$B:$F,2,FALSE)</f>
        <v>Pet-G  pelicula  45 mic. CH 667 mm</v>
      </c>
      <c r="E245">
        <f>VLOOKUP(B245,'[1]Base de datos'!$B:$E,3,FALSE)</f>
        <v>2272</v>
      </c>
      <c r="F245">
        <f>VLOOKUP(B245,'[1]Base de datos'!$B:$E,4,FALSE)</f>
        <v>93.3</v>
      </c>
    </row>
    <row r="246" spans="1:6" ht="21" x14ac:dyDescent="0.35">
      <c r="A246" s="15"/>
      <c r="B246" s="23">
        <f t="shared" si="5"/>
        <v>200700018</v>
      </c>
      <c r="C246" s="17"/>
      <c r="D246" s="5" t="str">
        <f>VLOOKUP(B246,'[1]Base de datos'!$B:$F,2,FALSE)</f>
        <v>Pet-G  pelicula  45 mic. CH 667 mm</v>
      </c>
      <c r="E246">
        <f>VLOOKUP(B246,'[1]Base de datos'!$B:$E,3,FALSE)</f>
        <v>2271</v>
      </c>
      <c r="F246">
        <f>VLOOKUP(B246,'[1]Base de datos'!$B:$E,4,FALSE)</f>
        <v>93.8</v>
      </c>
    </row>
    <row r="247" spans="1:6" ht="21" x14ac:dyDescent="0.35">
      <c r="A247" s="15"/>
      <c r="B247" s="22">
        <f t="shared" si="5"/>
        <v>200700019</v>
      </c>
      <c r="C247" s="17"/>
      <c r="D247" s="5" t="str">
        <f>VLOOKUP(B247,'[1]Base de datos'!$B:$F,2,FALSE)</f>
        <v>Pet-G  pelicula  45 mic. CH 667 mm</v>
      </c>
      <c r="E247">
        <f>VLOOKUP(B247,'[1]Base de datos'!$B:$E,3,FALSE)</f>
        <v>2250</v>
      </c>
      <c r="F247">
        <f>VLOOKUP(B247,'[1]Base de datos'!$B:$E,4,FALSE)</f>
        <v>92</v>
      </c>
    </row>
    <row r="248" spans="1:6" ht="21" x14ac:dyDescent="0.35">
      <c r="A248" s="15"/>
      <c r="B248" s="23">
        <f t="shared" si="5"/>
        <v>200700020</v>
      </c>
      <c r="C248" s="17"/>
      <c r="D248" s="5" t="str">
        <f>VLOOKUP(B248,'[1]Base de datos'!$B:$F,2,FALSE)</f>
        <v>Pet-G  pelicula  45 mic. CH 667 mm</v>
      </c>
      <c r="E248">
        <f>VLOOKUP(B248,'[1]Base de datos'!$B:$E,3,FALSE)</f>
        <v>2350</v>
      </c>
      <c r="F248">
        <f>VLOOKUP(B248,'[1]Base de datos'!$B:$E,4,FALSE)</f>
        <v>97.5</v>
      </c>
    </row>
    <row r="249" spans="1:6" ht="21" x14ac:dyDescent="0.35">
      <c r="A249" s="15"/>
      <c r="B249" s="22">
        <f t="shared" si="5"/>
        <v>200700021</v>
      </c>
      <c r="C249" s="17"/>
      <c r="D249" s="5" t="str">
        <f>VLOOKUP(B249,'[1]Base de datos'!$B:$F,2,FALSE)</f>
        <v>Pet-G  pelicula  45 mic. CH 667 mm</v>
      </c>
      <c r="E249">
        <f>VLOOKUP(B249,'[1]Base de datos'!$B:$E,3,FALSE)</f>
        <v>2176</v>
      </c>
      <c r="F249">
        <f>VLOOKUP(B249,'[1]Base de datos'!$B:$E,4,FALSE)</f>
        <v>88.1</v>
      </c>
    </row>
    <row r="250" spans="1:6" ht="21" x14ac:dyDescent="0.35">
      <c r="A250" s="15"/>
      <c r="B250" s="23">
        <f t="shared" si="5"/>
        <v>200700022</v>
      </c>
      <c r="C250" s="17"/>
      <c r="D250" s="5" t="str">
        <f>VLOOKUP(B250,'[1]Base de datos'!$B:$F,2,FALSE)</f>
        <v>Pet-G  pelicula  45 mic. CH 667 mm</v>
      </c>
      <c r="E250">
        <f>VLOOKUP(B250,'[1]Base de datos'!$B:$E,3,FALSE)</f>
        <v>2231</v>
      </c>
      <c r="F250">
        <f>VLOOKUP(B250,'[1]Base de datos'!$B:$E,4,FALSE)</f>
        <v>90.6</v>
      </c>
    </row>
    <row r="251" spans="1:6" ht="21" x14ac:dyDescent="0.35">
      <c r="A251" s="15"/>
      <c r="B251" s="22">
        <f t="shared" si="5"/>
        <v>200700023</v>
      </c>
      <c r="C251" s="17"/>
      <c r="D251" s="5" t="str">
        <f>VLOOKUP(B251,'[1]Base de datos'!$B:$F,2,FALSE)</f>
        <v>Pet-G  pelicula  45 mic. CH 667 mm</v>
      </c>
      <c r="E251">
        <f>VLOOKUP(B251,'[1]Base de datos'!$B:$E,3,FALSE)</f>
        <v>2210</v>
      </c>
      <c r="F251">
        <f>VLOOKUP(B251,'[1]Base de datos'!$B:$E,4,FALSE)</f>
        <v>89.5</v>
      </c>
    </row>
    <row r="252" spans="1:6" ht="21" x14ac:dyDescent="0.35">
      <c r="A252" s="15"/>
      <c r="B252" s="23">
        <f t="shared" si="5"/>
        <v>200700024</v>
      </c>
      <c r="C252" s="17"/>
      <c r="D252" s="5" t="str">
        <f>VLOOKUP(B252,'[1]Base de datos'!$B:$F,2,FALSE)</f>
        <v>Pet-G  pelicula  45 mic. CH 667 mm</v>
      </c>
      <c r="E252">
        <f>VLOOKUP(B252,'[1]Base de datos'!$B:$E,3,FALSE)</f>
        <v>2258</v>
      </c>
      <c r="F252">
        <f>VLOOKUP(B252,'[1]Base de datos'!$B:$E,4,FALSE)</f>
        <v>91.7</v>
      </c>
    </row>
    <row r="253" spans="1:6" ht="21" x14ac:dyDescent="0.35">
      <c r="A253" s="15"/>
      <c r="B253" s="22">
        <f t="shared" si="5"/>
        <v>200700025</v>
      </c>
      <c r="C253" s="17"/>
      <c r="D253" s="5" t="str">
        <f>VLOOKUP(B253,'[1]Base de datos'!$B:$F,2,FALSE)</f>
        <v>Pet-G  pelicula  45 mic. CH 667 mm</v>
      </c>
      <c r="E253">
        <f>VLOOKUP(B253,'[1]Base de datos'!$B:$E,3,FALSE)</f>
        <v>2350</v>
      </c>
      <c r="F253">
        <f>VLOOKUP(B253,'[1]Base de datos'!$B:$E,4,FALSE)</f>
        <v>92.5</v>
      </c>
    </row>
    <row r="254" spans="1:6" ht="21" x14ac:dyDescent="0.35">
      <c r="A254" s="15"/>
      <c r="B254" s="23">
        <f t="shared" si="5"/>
        <v>200700026</v>
      </c>
      <c r="C254" s="17"/>
      <c r="D254" s="5" t="str">
        <f>VLOOKUP(B254,'[1]Base de datos'!$B:$F,2,FALSE)</f>
        <v>Pet-G  pelicula  45 mic. CH 667 mm</v>
      </c>
      <c r="E254">
        <f>VLOOKUP(B254,'[1]Base de datos'!$B:$E,3,FALSE)</f>
        <v>2251</v>
      </c>
      <c r="F254">
        <f>VLOOKUP(B254,'[1]Base de datos'!$B:$E,4,FALSE)</f>
        <v>92.4</v>
      </c>
    </row>
    <row r="255" spans="1:6" ht="21" x14ac:dyDescent="0.35">
      <c r="A255" s="15"/>
      <c r="B255" s="22">
        <f t="shared" si="5"/>
        <v>200700027</v>
      </c>
      <c r="C255" s="17"/>
      <c r="D255" s="5" t="str">
        <f>VLOOKUP(B255,'[1]Base de datos'!$B:$F,2,FALSE)</f>
        <v>Pet-G  pelicula  45 mic. CH 667 mm</v>
      </c>
      <c r="E255">
        <f>VLOOKUP(B255,'[1]Base de datos'!$B:$E,3,FALSE)</f>
        <v>2150</v>
      </c>
      <c r="F255">
        <f>VLOOKUP(B255,'[1]Base de datos'!$B:$E,4,FALSE)</f>
        <v>88.5</v>
      </c>
    </row>
    <row r="256" spans="1:6" ht="21" x14ac:dyDescent="0.35">
      <c r="A256" s="15"/>
      <c r="B256" s="23">
        <f t="shared" si="5"/>
        <v>200700028</v>
      </c>
      <c r="C256" s="17"/>
      <c r="D256" s="5" t="str">
        <f>VLOOKUP(B256,'[1]Base de datos'!$B:$F,2,FALSE)</f>
        <v>Pet-G  pelicula  45 mic. CH 667 mm</v>
      </c>
      <c r="E256">
        <f>VLOOKUP(B256,'[1]Base de datos'!$B:$E,3,FALSE)</f>
        <v>2234</v>
      </c>
      <c r="F256">
        <f>VLOOKUP(B256,'[1]Base de datos'!$B:$E,4,FALSE)</f>
        <v>91.4</v>
      </c>
    </row>
    <row r="257" spans="1:6" ht="21" x14ac:dyDescent="0.35">
      <c r="A257" s="15"/>
      <c r="B257" s="22">
        <f t="shared" si="5"/>
        <v>200700029</v>
      </c>
      <c r="C257" s="17"/>
      <c r="D257" s="5" t="str">
        <f>VLOOKUP(B257,'[1]Base de datos'!$B:$F,2,FALSE)</f>
        <v>Pet-G  pelicula  45 mic. CH 667 mm</v>
      </c>
      <c r="E257">
        <f>VLOOKUP(B257,'[1]Base de datos'!$B:$E,3,FALSE)</f>
        <v>2103</v>
      </c>
      <c r="F257">
        <f>VLOOKUP(B257,'[1]Base de datos'!$B:$E,4,FALSE)</f>
        <v>83.4</v>
      </c>
    </row>
    <row r="258" spans="1:6" ht="21" x14ac:dyDescent="0.35">
      <c r="A258" s="15"/>
      <c r="B258" s="23">
        <f t="shared" si="5"/>
        <v>200700030</v>
      </c>
      <c r="C258" s="17"/>
      <c r="D258" s="5" t="str">
        <f>VLOOKUP(B258,'[1]Base de datos'!$B:$F,2,FALSE)</f>
        <v>Pet-G  pelicula  45 mic. CH 667 mm</v>
      </c>
      <c r="E258">
        <f>VLOOKUP(B258,'[1]Base de datos'!$B:$E,3,FALSE)</f>
        <v>2150</v>
      </c>
      <c r="F258">
        <f>VLOOKUP(B258,'[1]Base de datos'!$B:$E,4,FALSE)</f>
        <v>87.4</v>
      </c>
    </row>
    <row r="259" spans="1:6" ht="21" x14ac:dyDescent="0.35">
      <c r="A259" s="15"/>
      <c r="B259" s="22">
        <f t="shared" si="5"/>
        <v>200700031</v>
      </c>
      <c r="C259" s="17"/>
      <c r="D259" s="5" t="str">
        <f>VLOOKUP(B259,'[1]Base de datos'!$B:$F,2,FALSE)</f>
        <v>Pet-G  pelicula  45 mic. CH 667 mm</v>
      </c>
      <c r="E259">
        <f>VLOOKUP(B259,'[1]Base de datos'!$B:$E,3,FALSE)</f>
        <v>2103</v>
      </c>
      <c r="F259">
        <f>VLOOKUP(B259,'[1]Base de datos'!$B:$E,4,FALSE)</f>
        <v>84.3</v>
      </c>
    </row>
    <row r="260" spans="1:6" ht="21" x14ac:dyDescent="0.35">
      <c r="A260" s="15"/>
      <c r="B260" s="23">
        <f t="shared" si="5"/>
        <v>200700032</v>
      </c>
      <c r="C260" s="17"/>
      <c r="D260" s="5" t="str">
        <f>VLOOKUP(B260,'[1]Base de datos'!$B:$F,2,FALSE)</f>
        <v>Pet-G  pelicula  45 mic. CH 667 mm</v>
      </c>
      <c r="E260">
        <f>VLOOKUP(B260,'[1]Base de datos'!$B:$E,3,FALSE)</f>
        <v>2231</v>
      </c>
      <c r="F260">
        <f>VLOOKUP(B260,'[1]Base de datos'!$B:$E,4,FALSE)</f>
        <v>91.2</v>
      </c>
    </row>
    <row r="261" spans="1:6" ht="21" x14ac:dyDescent="0.35">
      <c r="A261" s="15"/>
      <c r="B261" s="22">
        <f t="shared" si="5"/>
        <v>200700033</v>
      </c>
      <c r="C261" s="17"/>
      <c r="D261" s="5" t="str">
        <f>VLOOKUP(B261,'[1]Base de datos'!$B:$F,2,FALSE)</f>
        <v>Pet-G  pelicula  45 mic. CH 667 mm</v>
      </c>
      <c r="E261">
        <f>VLOOKUP(B261,'[1]Base de datos'!$B:$E,3,FALSE)</f>
        <v>2234</v>
      </c>
      <c r="F261">
        <f>VLOOKUP(B261,'[1]Base de datos'!$B:$E,4,FALSE)</f>
        <v>92.3</v>
      </c>
    </row>
    <row r="262" spans="1:6" x14ac:dyDescent="0.25">
      <c r="A262" s="15"/>
      <c r="B262" s="24">
        <v>300670001</v>
      </c>
      <c r="C262" s="17"/>
      <c r="D262" s="5" t="str">
        <f>VLOOKUP(B262,'[1]Base de datos'!$B:$F,2,FALSE)</f>
        <v>Pet-G  pelicula  40 mic. CH 667 mm</v>
      </c>
      <c r="E262">
        <f>VLOOKUP(B262,'[1]Base de datos'!$B:$E,3,FALSE)</f>
        <v>2200</v>
      </c>
      <c r="F262">
        <f>VLOOKUP(B262,'[1]Base de datos'!$B:$E,4,FALSE)</f>
        <v>77</v>
      </c>
    </row>
    <row r="263" spans="1:6" x14ac:dyDescent="0.25">
      <c r="A263" s="15"/>
      <c r="B263" s="24">
        <v>300670002</v>
      </c>
      <c r="C263" s="17"/>
      <c r="D263" s="5" t="str">
        <f>VLOOKUP(B263,'[1]Base de datos'!$B:$F,2,FALSE)</f>
        <v>Pet-G  pelicula  40 mic. CH 667 mm</v>
      </c>
      <c r="E263">
        <f>VLOOKUP(B263,'[1]Base de datos'!$B:$E,3,FALSE)</f>
        <v>2200</v>
      </c>
      <c r="F263">
        <f>VLOOKUP(B263,'[1]Base de datos'!$B:$E,4,FALSE)</f>
        <v>77</v>
      </c>
    </row>
    <row r="264" spans="1:6" x14ac:dyDescent="0.25">
      <c r="A264" s="15"/>
      <c r="B264" s="24">
        <v>300670003</v>
      </c>
      <c r="C264" s="17"/>
      <c r="D264" s="5" t="str">
        <f>VLOOKUP(B264,'[1]Base de datos'!$B:$F,2,FALSE)</f>
        <v>Pet-G  pelicula  40 mic. CH 667 mm</v>
      </c>
      <c r="E264">
        <f>VLOOKUP(B264,'[1]Base de datos'!$B:$E,3,FALSE)</f>
        <v>2200</v>
      </c>
      <c r="F264">
        <f>VLOOKUP(B264,'[1]Base de datos'!$B:$E,4,FALSE)</f>
        <v>77</v>
      </c>
    </row>
    <row r="265" spans="1:6" x14ac:dyDescent="0.25">
      <c r="B265" s="24">
        <v>300670004</v>
      </c>
      <c r="C265" s="17"/>
      <c r="D265" s="5" t="str">
        <f>VLOOKUP(B265,'[1]Base de datos'!$B:$F,2,FALSE)</f>
        <v>Pet-G  pelicula  40 mic. CH 667 mm</v>
      </c>
      <c r="E265">
        <f>VLOOKUP(B265,'[1]Base de datos'!$B:$E,3,FALSE)</f>
        <v>2200</v>
      </c>
      <c r="F265">
        <f>VLOOKUP(B265,'[1]Base de datos'!$B:$E,4,FALSE)</f>
        <v>77</v>
      </c>
    </row>
    <row r="266" spans="1:6" x14ac:dyDescent="0.25">
      <c r="B266" s="24">
        <v>300670005</v>
      </c>
      <c r="C266" s="17"/>
      <c r="D266" s="5" t="str">
        <f>VLOOKUP(B266,'[1]Base de datos'!$B:$F,2,FALSE)</f>
        <v>Pet-G  pelicula  40 mic. CH 667 mm</v>
      </c>
      <c r="E266">
        <f>VLOOKUP(B266,'[1]Base de datos'!$B:$E,3,FALSE)</f>
        <v>2200</v>
      </c>
      <c r="F266">
        <f>VLOOKUP(B266,'[1]Base de datos'!$B:$E,4,FALSE)</f>
        <v>77</v>
      </c>
    </row>
    <row r="267" spans="1:6" x14ac:dyDescent="0.25">
      <c r="B267" s="24">
        <v>300670006</v>
      </c>
      <c r="C267" s="17"/>
      <c r="D267" s="5" t="str">
        <f>VLOOKUP(B267,'[1]Base de datos'!$B:$F,2,FALSE)</f>
        <v>Pet-G  pelicula  40 mic. CH 667 mm</v>
      </c>
      <c r="E267">
        <f>VLOOKUP(B267,'[1]Base de datos'!$B:$E,3,FALSE)</f>
        <v>2200</v>
      </c>
      <c r="F267">
        <f>VLOOKUP(B267,'[1]Base de datos'!$B:$E,4,FALSE)</f>
        <v>77</v>
      </c>
    </row>
    <row r="268" spans="1:6" x14ac:dyDescent="0.25">
      <c r="B268" s="24">
        <v>300670007</v>
      </c>
      <c r="C268" s="17"/>
      <c r="D268" s="5" t="str">
        <f>VLOOKUP(B268,'[1]Base de datos'!$B:$F,2,FALSE)</f>
        <v>Pet-G  pelicula  40 mic. CH 667 mm</v>
      </c>
      <c r="E268">
        <f>VLOOKUP(B268,'[1]Base de datos'!$B:$E,3,FALSE)</f>
        <v>2200</v>
      </c>
      <c r="F268">
        <f>VLOOKUP(B268,'[1]Base de datos'!$B:$E,4,FALSE)</f>
        <v>77</v>
      </c>
    </row>
    <row r="269" spans="1:6" x14ac:dyDescent="0.25">
      <c r="B269" s="24">
        <v>300670008</v>
      </c>
      <c r="C269" s="17"/>
      <c r="D269" s="5" t="str">
        <f>VLOOKUP(B269,'[1]Base de datos'!$B:$F,2,FALSE)</f>
        <v>Pet-G  pelicula  40 mic. CH 667 mm</v>
      </c>
      <c r="E269">
        <f>VLOOKUP(B269,'[1]Base de datos'!$B:$E,3,FALSE)</f>
        <v>2200</v>
      </c>
      <c r="F269">
        <f>VLOOKUP(B269,'[1]Base de datos'!$B:$E,4,FALSE)</f>
        <v>77</v>
      </c>
    </row>
    <row r="270" spans="1:6" x14ac:dyDescent="0.25">
      <c r="B270" s="24">
        <v>300670009</v>
      </c>
      <c r="C270" s="17"/>
      <c r="D270" s="5" t="str">
        <f>VLOOKUP(B270,'[1]Base de datos'!$B:$F,2,FALSE)</f>
        <v>Pet-G  pelicula  40 mic. CH 667 mm</v>
      </c>
      <c r="E270">
        <f>VLOOKUP(B270,'[1]Base de datos'!$B:$E,3,FALSE)</f>
        <v>2200</v>
      </c>
      <c r="F270">
        <f>VLOOKUP(B270,'[1]Base de datos'!$B:$E,4,FALSE)</f>
        <v>77</v>
      </c>
    </row>
    <row r="271" spans="1:6" x14ac:dyDescent="0.25">
      <c r="B271" s="24">
        <v>300670010</v>
      </c>
      <c r="C271" s="17"/>
      <c r="D271" s="5" t="str">
        <f>VLOOKUP(B271,'[1]Base de datos'!$B:$F,2,FALSE)</f>
        <v>Pet-G  pelicula  40 mic. CH 667 mm</v>
      </c>
      <c r="E271">
        <f>VLOOKUP(B271,'[1]Base de datos'!$B:$E,3,FALSE)</f>
        <v>2200</v>
      </c>
      <c r="F271">
        <f>VLOOKUP(B271,'[1]Base de datos'!$B:$E,4,FALSE)</f>
        <v>77</v>
      </c>
    </row>
    <row r="272" spans="1:6" x14ac:dyDescent="0.25">
      <c r="B272" s="24">
        <v>300670011</v>
      </c>
      <c r="C272" s="17"/>
      <c r="D272" s="5" t="str">
        <f>VLOOKUP(B272,'[1]Base de datos'!$B:$F,2,FALSE)</f>
        <v>Pet-G  pelicula  40 mic. CH 667 mm</v>
      </c>
      <c r="E272">
        <f>VLOOKUP(B272,'[1]Base de datos'!$B:$E,3,FALSE)</f>
        <v>2200</v>
      </c>
      <c r="F272">
        <f>VLOOKUP(B272,'[1]Base de datos'!$B:$E,4,FALSE)</f>
        <v>77</v>
      </c>
    </row>
    <row r="273" spans="2:6" x14ac:dyDescent="0.25">
      <c r="B273" s="24">
        <v>300670012</v>
      </c>
      <c r="C273" s="17"/>
      <c r="D273" s="5" t="str">
        <f>VLOOKUP(B273,'[1]Base de datos'!$B:$F,2,FALSE)</f>
        <v>Pet-G  pelicula  40 mic. CH 667 mm</v>
      </c>
      <c r="E273">
        <f>VLOOKUP(B273,'[1]Base de datos'!$B:$E,3,FALSE)</f>
        <v>2200</v>
      </c>
      <c r="F273">
        <f>VLOOKUP(B273,'[1]Base de datos'!$B:$E,4,FALSE)</f>
        <v>77</v>
      </c>
    </row>
    <row r="274" spans="2:6" x14ac:dyDescent="0.25">
      <c r="B274" s="24">
        <v>300670013</v>
      </c>
      <c r="C274" s="17"/>
      <c r="D274" s="5" t="str">
        <f>VLOOKUP(B274,'[1]Base de datos'!$B:$F,2,FALSE)</f>
        <v>Pet-G  pelicula  40 mic. CH 667 mm</v>
      </c>
      <c r="E274">
        <f>VLOOKUP(B274,'[1]Base de datos'!$B:$E,3,FALSE)</f>
        <v>2200</v>
      </c>
      <c r="F274">
        <f>VLOOKUP(B274,'[1]Base de datos'!$B:$E,4,FALSE)</f>
        <v>77</v>
      </c>
    </row>
    <row r="275" spans="2:6" x14ac:dyDescent="0.25">
      <c r="B275" s="24">
        <v>300670014</v>
      </c>
      <c r="C275" s="17"/>
      <c r="D275" s="5" t="str">
        <f>VLOOKUP(B275,'[1]Base de datos'!$B:$F,2,FALSE)</f>
        <v>Pet-G  pelicula  40 mic. CH 667 mm</v>
      </c>
      <c r="E275">
        <f>VLOOKUP(B275,'[1]Base de datos'!$B:$E,3,FALSE)</f>
        <v>2200</v>
      </c>
      <c r="F275">
        <f>VLOOKUP(B275,'[1]Base de datos'!$B:$E,4,FALSE)</f>
        <v>77</v>
      </c>
    </row>
    <row r="276" spans="2:6" x14ac:dyDescent="0.25">
      <c r="B276" s="24">
        <v>300670015</v>
      </c>
      <c r="C276" s="17"/>
      <c r="D276" s="5" t="str">
        <f>VLOOKUP(B276,'[1]Base de datos'!$B:$F,2,FALSE)</f>
        <v>Pet-G  pelicula  40 mic. CH 667 mm</v>
      </c>
      <c r="E276">
        <f>VLOOKUP(B276,'[1]Base de datos'!$B:$E,3,FALSE)</f>
        <v>2200</v>
      </c>
      <c r="F276">
        <f>VLOOKUP(B276,'[1]Base de datos'!$B:$E,4,FALSE)</f>
        <v>77</v>
      </c>
    </row>
    <row r="277" spans="2:6" x14ac:dyDescent="0.25">
      <c r="B277" s="24">
        <v>300670016</v>
      </c>
      <c r="C277" s="17"/>
      <c r="D277" s="5" t="str">
        <f>VLOOKUP(B277,'[1]Base de datos'!$B:$F,2,FALSE)</f>
        <v>Pet-G  pelicula  40 mic. CH 667 mm</v>
      </c>
      <c r="E277">
        <f>VLOOKUP(B277,'[1]Base de datos'!$B:$E,3,FALSE)</f>
        <v>2200</v>
      </c>
      <c r="F277">
        <f>VLOOKUP(B277,'[1]Base de datos'!$B:$E,4,FALSE)</f>
        <v>77</v>
      </c>
    </row>
    <row r="278" spans="2:6" x14ac:dyDescent="0.25">
      <c r="B278" s="24">
        <v>300670017</v>
      </c>
      <c r="C278" s="17"/>
      <c r="D278" s="5" t="str">
        <f>VLOOKUP(B278,'[1]Base de datos'!$B:$F,2,FALSE)</f>
        <v>Pet-G  pelicula  40 mic. CH 667 mm</v>
      </c>
      <c r="E278">
        <f>VLOOKUP(B278,'[1]Base de datos'!$B:$E,3,FALSE)</f>
        <v>2200</v>
      </c>
      <c r="F278">
        <f>VLOOKUP(B278,'[1]Base de datos'!$B:$E,4,FALSE)</f>
        <v>77</v>
      </c>
    </row>
    <row r="279" spans="2:6" x14ac:dyDescent="0.25">
      <c r="B279" s="24">
        <v>300670018</v>
      </c>
      <c r="C279" s="17"/>
      <c r="D279" s="5" t="str">
        <f>VLOOKUP(B279,'[1]Base de datos'!$B:$F,2,FALSE)</f>
        <v>Pet-G  pelicula  40 mic. CH 667 mm</v>
      </c>
      <c r="E279">
        <f>VLOOKUP(B279,'[1]Base de datos'!$B:$E,3,FALSE)</f>
        <v>2200</v>
      </c>
      <c r="F279">
        <f>VLOOKUP(B279,'[1]Base de datos'!$B:$E,4,FALSE)</f>
        <v>77</v>
      </c>
    </row>
    <row r="280" spans="2:6" x14ac:dyDescent="0.25">
      <c r="B280" s="24">
        <v>300670019</v>
      </c>
      <c r="C280" s="17"/>
      <c r="D280" s="5" t="str">
        <f>VLOOKUP(B280,'[1]Base de datos'!$B:$F,2,FALSE)</f>
        <v>Pet-G  pelicula  40 mic. CH 667 mm</v>
      </c>
      <c r="E280">
        <f>VLOOKUP(B280,'[1]Base de datos'!$B:$E,3,FALSE)</f>
        <v>2200</v>
      </c>
      <c r="F280">
        <f>VLOOKUP(B280,'[1]Base de datos'!$B:$E,4,FALSE)</f>
        <v>77</v>
      </c>
    </row>
    <row r="281" spans="2:6" x14ac:dyDescent="0.25">
      <c r="B281" s="24">
        <v>300670020</v>
      </c>
      <c r="C281" s="17"/>
      <c r="D281" s="5" t="str">
        <f>VLOOKUP(B281,'[1]Base de datos'!$B:$F,2,FALSE)</f>
        <v>Pet-G  pelicula  40 mic. CH 667 mm</v>
      </c>
      <c r="E281">
        <f>VLOOKUP(B281,'[1]Base de datos'!$B:$E,3,FALSE)</f>
        <v>2200</v>
      </c>
      <c r="F281">
        <f>VLOOKUP(B281,'[1]Base de datos'!$B:$E,4,FALSE)</f>
        <v>77</v>
      </c>
    </row>
    <row r="282" spans="2:6" x14ac:dyDescent="0.25">
      <c r="B282" s="24">
        <v>300670021</v>
      </c>
      <c r="C282" s="17"/>
      <c r="D282" s="5" t="str">
        <f>VLOOKUP(B282,'[1]Base de datos'!$B:$F,2,FALSE)</f>
        <v>Pet-G  pelicula  40 mic. CH 667 mm</v>
      </c>
      <c r="E282">
        <f>VLOOKUP(B282,'[1]Base de datos'!$B:$E,3,FALSE)</f>
        <v>2200</v>
      </c>
      <c r="F282">
        <f>VLOOKUP(B282,'[1]Base de datos'!$B:$E,4,FALSE)</f>
        <v>77</v>
      </c>
    </row>
    <row r="283" spans="2:6" x14ac:dyDescent="0.25">
      <c r="B283" s="24">
        <v>300670022</v>
      </c>
      <c r="C283" s="17"/>
      <c r="D283" s="5" t="str">
        <f>VLOOKUP(B283,'[1]Base de datos'!$B:$F,2,FALSE)</f>
        <v>Pet-G  pelicula  40 mic. CH 667 mm</v>
      </c>
      <c r="E283">
        <f>VLOOKUP(B283,'[1]Base de datos'!$B:$E,3,FALSE)</f>
        <v>2200</v>
      </c>
      <c r="F283">
        <f>VLOOKUP(B283,'[1]Base de datos'!$B:$E,4,FALSE)</f>
        <v>77</v>
      </c>
    </row>
    <row r="284" spans="2:6" x14ac:dyDescent="0.25">
      <c r="B284" s="24">
        <v>300670023</v>
      </c>
      <c r="C284" s="17"/>
      <c r="D284" s="5" t="str">
        <f>VLOOKUP(B284,'[1]Base de datos'!$B:$F,2,FALSE)</f>
        <v>Pet-G  pelicula  40 mic. CH 667 mm</v>
      </c>
      <c r="E284">
        <f>VLOOKUP(B284,'[1]Base de datos'!$B:$E,3,FALSE)</f>
        <v>2200</v>
      </c>
      <c r="F284">
        <f>VLOOKUP(B284,'[1]Base de datos'!$B:$E,4,FALSE)</f>
        <v>77</v>
      </c>
    </row>
    <row r="285" spans="2:6" x14ac:dyDescent="0.25">
      <c r="B285" s="24">
        <v>300670024</v>
      </c>
      <c r="C285" s="17"/>
      <c r="D285" s="5" t="str">
        <f>VLOOKUP(B285,'[1]Base de datos'!$B:$F,2,FALSE)</f>
        <v>Pet-G  pelicula  40 mic. CH 667 mm</v>
      </c>
      <c r="E285">
        <f>VLOOKUP(B285,'[1]Base de datos'!$B:$E,3,FALSE)</f>
        <v>2200</v>
      </c>
      <c r="F285">
        <f>VLOOKUP(B285,'[1]Base de datos'!$B:$E,4,FALSE)</f>
        <v>77</v>
      </c>
    </row>
    <row r="286" spans="2:6" x14ac:dyDescent="0.25">
      <c r="B286" s="24">
        <v>300670025</v>
      </c>
      <c r="C286" s="17"/>
      <c r="D286" s="5" t="str">
        <f>VLOOKUP(B286,'[1]Base de datos'!$B:$F,2,FALSE)</f>
        <v>Pet-G  pelicula  40 mic. CH 667 mm</v>
      </c>
      <c r="E286">
        <f>VLOOKUP(B286,'[1]Base de datos'!$B:$E,3,FALSE)</f>
        <v>2200</v>
      </c>
      <c r="F286">
        <f>VLOOKUP(B286,'[1]Base de datos'!$B:$E,4,FALSE)</f>
        <v>77</v>
      </c>
    </row>
    <row r="287" spans="2:6" x14ac:dyDescent="0.25">
      <c r="B287" s="24">
        <v>300670026</v>
      </c>
      <c r="C287" s="17"/>
      <c r="D287" s="5" t="str">
        <f>VLOOKUP(B287,'[1]Base de datos'!$B:$F,2,FALSE)</f>
        <v>Pet-G  pelicula  40 mic. CH 667 mm</v>
      </c>
      <c r="E287">
        <f>VLOOKUP(B287,'[1]Base de datos'!$B:$E,3,FALSE)</f>
        <v>2200</v>
      </c>
      <c r="F287">
        <f>VLOOKUP(B287,'[1]Base de datos'!$B:$E,4,FALSE)</f>
        <v>77</v>
      </c>
    </row>
    <row r="288" spans="2:6" x14ac:dyDescent="0.25">
      <c r="B288" s="24">
        <v>300670027</v>
      </c>
      <c r="C288" s="17"/>
      <c r="D288" s="5" t="str">
        <f>VLOOKUP(B288,'[1]Base de datos'!$B:$F,2,FALSE)</f>
        <v>Pet-G  pelicula  40 mic. CH 667 mm</v>
      </c>
      <c r="E288">
        <f>VLOOKUP(B288,'[1]Base de datos'!$B:$E,3,FALSE)</f>
        <v>2200</v>
      </c>
      <c r="F288">
        <f>VLOOKUP(B288,'[1]Base de datos'!$B:$E,4,FALSE)</f>
        <v>77</v>
      </c>
    </row>
    <row r="289" spans="2:6" x14ac:dyDescent="0.25">
      <c r="B289" s="24">
        <v>300670028</v>
      </c>
      <c r="C289" s="17"/>
      <c r="D289" s="5" t="str">
        <f>VLOOKUP(B289,'[1]Base de datos'!$B:$F,2,FALSE)</f>
        <v>Pet-G  pelicula  40 mic. CH 667 mm</v>
      </c>
      <c r="E289">
        <f>VLOOKUP(B289,'[1]Base de datos'!$B:$E,3,FALSE)</f>
        <v>2200</v>
      </c>
      <c r="F289">
        <f>VLOOKUP(B289,'[1]Base de datos'!$B:$E,4,FALSE)</f>
        <v>77</v>
      </c>
    </row>
    <row r="290" spans="2:6" x14ac:dyDescent="0.25">
      <c r="B290" s="24">
        <v>300670029</v>
      </c>
      <c r="C290" s="17"/>
      <c r="D290" s="5" t="str">
        <f>VLOOKUP(B290,'[1]Base de datos'!$B:$F,2,FALSE)</f>
        <v>Pet-G  pelicula  40 mic. CH 667 mm</v>
      </c>
      <c r="E290">
        <f>VLOOKUP(B290,'[1]Base de datos'!$B:$E,3,FALSE)</f>
        <v>2200</v>
      </c>
      <c r="F290">
        <f>VLOOKUP(B290,'[1]Base de datos'!$B:$E,4,FALSE)</f>
        <v>77</v>
      </c>
    </row>
    <row r="291" spans="2:6" x14ac:dyDescent="0.25">
      <c r="B291" s="24">
        <v>300670030</v>
      </c>
      <c r="C291" s="17"/>
      <c r="D291" s="5" t="str">
        <f>VLOOKUP(B291,'[1]Base de datos'!$B:$F,2,FALSE)</f>
        <v>Pet-G  pelicula  40 mic. CH 667 mm</v>
      </c>
      <c r="E291">
        <f>VLOOKUP(B291,'[1]Base de datos'!$B:$E,3,FALSE)</f>
        <v>2200</v>
      </c>
      <c r="F291">
        <f>VLOOKUP(B291,'[1]Base de datos'!$B:$E,4,FALSE)</f>
        <v>77</v>
      </c>
    </row>
    <row r="292" spans="2:6" x14ac:dyDescent="0.25">
      <c r="B292" s="24">
        <v>300670031</v>
      </c>
      <c r="C292" s="17"/>
      <c r="D292" s="5" t="str">
        <f>VLOOKUP(B292,'[1]Base de datos'!$B:$F,2,FALSE)</f>
        <v>Pet-G  pelicula  40 mic. CH 667 mm</v>
      </c>
      <c r="E292">
        <f>VLOOKUP(B292,'[1]Base de datos'!$B:$E,3,FALSE)</f>
        <v>2200</v>
      </c>
      <c r="F292">
        <f>VLOOKUP(B292,'[1]Base de datos'!$B:$E,4,FALSE)</f>
        <v>77</v>
      </c>
    </row>
    <row r="293" spans="2:6" x14ac:dyDescent="0.25">
      <c r="B293" s="24">
        <v>300670032</v>
      </c>
      <c r="C293" s="17"/>
      <c r="D293" s="5" t="str">
        <f>VLOOKUP(B293,'[1]Base de datos'!$B:$F,2,FALSE)</f>
        <v>Pet-G  pelicula  40 mic. CH 667 mm</v>
      </c>
      <c r="E293">
        <f>VLOOKUP(B293,'[1]Base de datos'!$B:$E,3,FALSE)</f>
        <v>2200</v>
      </c>
      <c r="F293">
        <f>VLOOKUP(B293,'[1]Base de datos'!$B:$E,4,FALSE)</f>
        <v>77</v>
      </c>
    </row>
    <row r="294" spans="2:6" x14ac:dyDescent="0.25">
      <c r="B294" s="24">
        <v>300670033</v>
      </c>
      <c r="C294" s="17"/>
      <c r="D294" s="5" t="str">
        <f>VLOOKUP(B294,'[1]Base de datos'!$B:$F,2,FALSE)</f>
        <v>Pet-G  pelicula  40 mic. CH 667 mm</v>
      </c>
      <c r="E294">
        <f>VLOOKUP(B294,'[1]Base de datos'!$B:$E,3,FALSE)</f>
        <v>2200</v>
      </c>
      <c r="F294">
        <f>VLOOKUP(B294,'[1]Base de datos'!$B:$E,4,FALSE)</f>
        <v>77</v>
      </c>
    </row>
    <row r="295" spans="2:6" x14ac:dyDescent="0.25">
      <c r="B295" s="24">
        <v>300670034</v>
      </c>
      <c r="C295" s="17"/>
      <c r="D295" s="5" t="str">
        <f>VLOOKUP(B295,'[1]Base de datos'!$B:$F,2,FALSE)</f>
        <v>Pet-G  pelicula  40 mic. CH 667 mm</v>
      </c>
      <c r="E295">
        <f>VLOOKUP(B295,'[1]Base de datos'!$B:$E,3,FALSE)</f>
        <v>2200</v>
      </c>
      <c r="F295">
        <f>VLOOKUP(B295,'[1]Base de datos'!$B:$E,4,FALSE)</f>
        <v>77</v>
      </c>
    </row>
    <row r="296" spans="2:6" x14ac:dyDescent="0.25">
      <c r="B296" s="24">
        <v>300670035</v>
      </c>
      <c r="C296" s="17"/>
      <c r="D296" s="5" t="str">
        <f>VLOOKUP(B296,'[1]Base de datos'!$B:$F,2,FALSE)</f>
        <v>Pet-G  pelicula  40 mic. CH 667 mm</v>
      </c>
      <c r="E296">
        <f>VLOOKUP(B296,'[1]Base de datos'!$B:$E,3,FALSE)</f>
        <v>2200</v>
      </c>
      <c r="F296">
        <f>VLOOKUP(B296,'[1]Base de datos'!$B:$E,4,FALSE)</f>
        <v>77</v>
      </c>
    </row>
    <row r="297" spans="2:6" x14ac:dyDescent="0.25">
      <c r="B297" s="24">
        <v>300670036</v>
      </c>
      <c r="C297" s="17"/>
      <c r="D297" s="5" t="str">
        <f>VLOOKUP(B297,'[1]Base de datos'!$B:$F,2,FALSE)</f>
        <v>Pet-G  pelicula  40 mic. CH 667 mm</v>
      </c>
      <c r="E297">
        <f>VLOOKUP(B297,'[1]Base de datos'!$B:$E,3,FALSE)</f>
        <v>2200</v>
      </c>
      <c r="F297">
        <f>VLOOKUP(B297,'[1]Base de datos'!$B:$E,4,FALSE)</f>
        <v>77</v>
      </c>
    </row>
    <row r="298" spans="2:6" x14ac:dyDescent="0.25">
      <c r="B298" s="24">
        <v>300670037</v>
      </c>
      <c r="C298" s="17"/>
      <c r="D298" s="5" t="str">
        <f>VLOOKUP(B298,'[1]Base de datos'!$B:$F,2,FALSE)</f>
        <v>Pet-G  pelicula  40 mic. CH 667 mm</v>
      </c>
      <c r="E298">
        <f>VLOOKUP(B298,'[1]Base de datos'!$B:$E,3,FALSE)</f>
        <v>2200</v>
      </c>
      <c r="F298">
        <f>VLOOKUP(B298,'[1]Base de datos'!$B:$E,4,FALSE)</f>
        <v>77</v>
      </c>
    </row>
    <row r="299" spans="2:6" x14ac:dyDescent="0.25">
      <c r="B299" s="24">
        <v>300670038</v>
      </c>
      <c r="C299" s="17"/>
      <c r="D299" s="5" t="str">
        <f>VLOOKUP(B299,'[1]Base de datos'!$B:$F,2,FALSE)</f>
        <v>Pet-G  pelicula  40 mic. CH 667 mm</v>
      </c>
      <c r="E299">
        <f>VLOOKUP(B299,'[1]Base de datos'!$B:$E,3,FALSE)</f>
        <v>2200</v>
      </c>
      <c r="F299">
        <f>VLOOKUP(B299,'[1]Base de datos'!$B:$E,4,FALSE)</f>
        <v>77</v>
      </c>
    </row>
    <row r="300" spans="2:6" x14ac:dyDescent="0.25">
      <c r="B300" s="24">
        <v>300670039</v>
      </c>
      <c r="C300" s="17"/>
      <c r="D300" s="5" t="str">
        <f>VLOOKUP(B300,'[1]Base de datos'!$B:$F,2,FALSE)</f>
        <v>Pet-G  pelicula  40 mic. CH 667 mm</v>
      </c>
      <c r="E300">
        <f>VLOOKUP(B300,'[1]Base de datos'!$B:$E,3,FALSE)</f>
        <v>2200</v>
      </c>
      <c r="F300">
        <f>VLOOKUP(B300,'[1]Base de datos'!$B:$E,4,FALSE)</f>
        <v>77</v>
      </c>
    </row>
    <row r="301" spans="2:6" x14ac:dyDescent="0.25">
      <c r="B301" s="24">
        <v>300670040</v>
      </c>
      <c r="C301" s="17"/>
      <c r="D301" s="5" t="str">
        <f>VLOOKUP(B301,'[1]Base de datos'!$B:$F,2,FALSE)</f>
        <v>Pet-G  pelicula  40 mic. CH 667 mm</v>
      </c>
      <c r="E301">
        <f>VLOOKUP(B301,'[1]Base de datos'!$B:$E,3,FALSE)</f>
        <v>2200</v>
      </c>
      <c r="F301">
        <f>VLOOKUP(B301,'[1]Base de datos'!$B:$E,4,FALSE)</f>
        <v>77</v>
      </c>
    </row>
    <row r="302" spans="2:6" x14ac:dyDescent="0.25">
      <c r="B302" s="24">
        <v>300670041</v>
      </c>
      <c r="C302" s="17"/>
      <c r="D302" s="5" t="str">
        <f>VLOOKUP(B302,'[1]Base de datos'!$B:$F,2,FALSE)</f>
        <v>Pet-G  pelicula  40 mic. CH 667 mm</v>
      </c>
      <c r="E302">
        <f>VLOOKUP(B302,'[1]Base de datos'!$B:$E,3,FALSE)</f>
        <v>2200</v>
      </c>
      <c r="F302">
        <f>VLOOKUP(B302,'[1]Base de datos'!$B:$E,4,FALSE)</f>
        <v>77</v>
      </c>
    </row>
    <row r="303" spans="2:6" x14ac:dyDescent="0.25">
      <c r="B303" s="24">
        <v>300670042</v>
      </c>
      <c r="C303" s="17"/>
      <c r="D303" s="5" t="str">
        <f>VLOOKUP(B303,'[1]Base de datos'!$B:$F,2,FALSE)</f>
        <v>Pet-G  pelicula  40 mic. CH 667 mm</v>
      </c>
      <c r="E303">
        <f>VLOOKUP(B303,'[1]Base de datos'!$B:$E,3,FALSE)</f>
        <v>2200</v>
      </c>
      <c r="F303">
        <f>VLOOKUP(B303,'[1]Base de datos'!$B:$E,4,FALSE)</f>
        <v>77</v>
      </c>
    </row>
    <row r="304" spans="2:6" x14ac:dyDescent="0.25">
      <c r="B304" s="24">
        <v>300670043</v>
      </c>
      <c r="C304" s="17"/>
      <c r="D304" s="5" t="str">
        <f>VLOOKUP(B304,'[1]Base de datos'!$B:$F,2,FALSE)</f>
        <v>Pet-G  pelicula  40 mic. CH 667 mm</v>
      </c>
      <c r="E304">
        <f>VLOOKUP(B304,'[1]Base de datos'!$B:$E,3,FALSE)</f>
        <v>2200</v>
      </c>
      <c r="F304">
        <f>VLOOKUP(B304,'[1]Base de datos'!$B:$E,4,FALSE)</f>
        <v>77</v>
      </c>
    </row>
    <row r="305" spans="2:6" x14ac:dyDescent="0.25">
      <c r="B305" s="24">
        <v>300670044</v>
      </c>
      <c r="C305" s="17"/>
      <c r="D305" s="5" t="str">
        <f>VLOOKUP(B305,'[1]Base de datos'!$B:$F,2,FALSE)</f>
        <v>Pet-G  pelicula  40 mic. CH 667 mm</v>
      </c>
      <c r="E305">
        <f>VLOOKUP(B305,'[1]Base de datos'!$B:$E,3,FALSE)</f>
        <v>2200</v>
      </c>
      <c r="F305">
        <f>VLOOKUP(B305,'[1]Base de datos'!$B:$E,4,FALSE)</f>
        <v>77</v>
      </c>
    </row>
    <row r="306" spans="2:6" x14ac:dyDescent="0.25">
      <c r="B306" s="24">
        <v>300670045</v>
      </c>
      <c r="C306" s="17"/>
      <c r="D306" s="5" t="str">
        <f>VLOOKUP(B306,'[1]Base de datos'!$B:$F,2,FALSE)</f>
        <v>Pet-G  pelicula  40 mic. CH 667 mm</v>
      </c>
      <c r="E306">
        <f>VLOOKUP(B306,'[1]Base de datos'!$B:$E,3,FALSE)</f>
        <v>2200</v>
      </c>
      <c r="F306">
        <f>VLOOKUP(B306,'[1]Base de datos'!$B:$E,4,FALSE)</f>
        <v>77</v>
      </c>
    </row>
    <row r="307" spans="2:6" x14ac:dyDescent="0.25">
      <c r="B307" s="24">
        <v>300670046</v>
      </c>
      <c r="C307" s="17"/>
      <c r="D307" s="5" t="str">
        <f>VLOOKUP(B307,'[1]Base de datos'!$B:$F,2,FALSE)</f>
        <v>Pet-G  pelicula  40 mic. CH 667 mm</v>
      </c>
      <c r="E307">
        <f>VLOOKUP(B307,'[1]Base de datos'!$B:$E,3,FALSE)</f>
        <v>2200</v>
      </c>
      <c r="F307">
        <f>VLOOKUP(B307,'[1]Base de datos'!$B:$E,4,FALSE)</f>
        <v>77</v>
      </c>
    </row>
    <row r="308" spans="2:6" x14ac:dyDescent="0.25">
      <c r="B308" s="24">
        <v>300670047</v>
      </c>
      <c r="C308" s="17"/>
      <c r="D308" s="5" t="str">
        <f>VLOOKUP(B308,'[1]Base de datos'!$B:$F,2,FALSE)</f>
        <v>Pet-G  pelicula  40 mic. CH 667 mm</v>
      </c>
      <c r="E308">
        <f>VLOOKUP(B308,'[1]Base de datos'!$B:$E,3,FALSE)</f>
        <v>2200</v>
      </c>
      <c r="F308">
        <f>VLOOKUP(B308,'[1]Base de datos'!$B:$E,4,FALSE)</f>
        <v>77</v>
      </c>
    </row>
    <row r="309" spans="2:6" x14ac:dyDescent="0.25">
      <c r="B309" s="24">
        <v>300670048</v>
      </c>
      <c r="C309" s="17"/>
      <c r="D309" s="5" t="str">
        <f>VLOOKUP(B309,'[1]Base de datos'!$B:$F,2,FALSE)</f>
        <v>Pet-G  pelicula  40 mic. CH 667 mm</v>
      </c>
      <c r="E309">
        <f>VLOOKUP(B309,'[1]Base de datos'!$B:$E,3,FALSE)</f>
        <v>2200</v>
      </c>
      <c r="F309">
        <f>VLOOKUP(B309,'[1]Base de datos'!$B:$E,4,FALSE)</f>
        <v>77</v>
      </c>
    </row>
    <row r="310" spans="2:6" x14ac:dyDescent="0.25">
      <c r="B310" s="24">
        <v>300670049</v>
      </c>
      <c r="C310" s="17"/>
      <c r="D310" s="5" t="str">
        <f>VLOOKUP(B310,'[1]Base de datos'!$B:$F,2,FALSE)</f>
        <v>Pet-G  pelicula  40 mic. CH 667 mm</v>
      </c>
      <c r="E310">
        <f>VLOOKUP(B310,'[1]Base de datos'!$B:$E,3,FALSE)</f>
        <v>2200</v>
      </c>
      <c r="F310">
        <f>VLOOKUP(B310,'[1]Base de datos'!$B:$E,4,FALSE)</f>
        <v>77</v>
      </c>
    </row>
    <row r="311" spans="2:6" x14ac:dyDescent="0.25">
      <c r="B311" s="24">
        <v>300670050</v>
      </c>
      <c r="C311" s="17"/>
      <c r="D311" s="5" t="str">
        <f>VLOOKUP(B311,'[1]Base de datos'!$B:$F,2,FALSE)</f>
        <v>Pet-G  pelicula  40 mic. CH 667 mm</v>
      </c>
      <c r="E311">
        <f>VLOOKUP(B311,'[1]Base de datos'!$B:$E,3,FALSE)</f>
        <v>2200</v>
      </c>
      <c r="F311">
        <f>VLOOKUP(B311,'[1]Base de datos'!$B:$E,4,FALSE)</f>
        <v>77</v>
      </c>
    </row>
    <row r="312" spans="2:6" x14ac:dyDescent="0.25">
      <c r="B312" s="24">
        <v>300670051</v>
      </c>
      <c r="C312" s="17"/>
      <c r="D312" s="5" t="str">
        <f>VLOOKUP(B312,'[1]Base de datos'!$B:$F,2,FALSE)</f>
        <v>Pet-G  pelicula  40 mic. CH 667 mm</v>
      </c>
      <c r="E312">
        <f>VLOOKUP(B312,'[1]Base de datos'!$B:$E,3,FALSE)</f>
        <v>2200</v>
      </c>
      <c r="F312">
        <f>VLOOKUP(B312,'[1]Base de datos'!$B:$E,4,FALSE)</f>
        <v>77</v>
      </c>
    </row>
    <row r="313" spans="2:6" x14ac:dyDescent="0.25">
      <c r="B313" s="24">
        <v>300670052</v>
      </c>
      <c r="C313" s="17"/>
      <c r="D313" s="5" t="str">
        <f>VLOOKUP(B313,'[1]Base de datos'!$B:$F,2,FALSE)</f>
        <v>Pet-G  pelicula  40 mic. CH 667 mm</v>
      </c>
      <c r="E313">
        <f>VLOOKUP(B313,'[1]Base de datos'!$B:$E,3,FALSE)</f>
        <v>2200</v>
      </c>
      <c r="F313">
        <f>VLOOKUP(B313,'[1]Base de datos'!$B:$E,4,FALSE)</f>
        <v>77</v>
      </c>
    </row>
    <row r="314" spans="2:6" x14ac:dyDescent="0.25">
      <c r="B314" s="24">
        <v>300670053</v>
      </c>
      <c r="C314" s="17"/>
      <c r="D314" s="5" t="str">
        <f>VLOOKUP(B314,'[1]Base de datos'!$B:$F,2,FALSE)</f>
        <v>Pet-G  pelicula  40 mic. CH 667 mm</v>
      </c>
      <c r="E314">
        <f>VLOOKUP(B314,'[1]Base de datos'!$B:$E,3,FALSE)</f>
        <v>2200</v>
      </c>
      <c r="F314">
        <f>VLOOKUP(B314,'[1]Base de datos'!$B:$E,4,FALSE)</f>
        <v>77</v>
      </c>
    </row>
    <row r="315" spans="2:6" x14ac:dyDescent="0.25">
      <c r="B315" s="24">
        <v>300670054</v>
      </c>
      <c r="C315" s="17"/>
      <c r="D315" s="5" t="str">
        <f>VLOOKUP(B315,'[1]Base de datos'!$B:$F,2,FALSE)</f>
        <v>Pet-G  pelicula  40 mic. CH 667 mm</v>
      </c>
      <c r="E315">
        <f>VLOOKUP(B315,'[1]Base de datos'!$B:$E,3,FALSE)</f>
        <v>2200</v>
      </c>
      <c r="F315">
        <f>VLOOKUP(B315,'[1]Base de datos'!$B:$E,4,FALSE)</f>
        <v>77</v>
      </c>
    </row>
    <row r="316" spans="2:6" x14ac:dyDescent="0.25">
      <c r="B316" s="24">
        <v>300670055</v>
      </c>
      <c r="C316" s="17"/>
      <c r="D316" s="5" t="str">
        <f>VLOOKUP(B316,'[1]Base de datos'!$B:$F,2,FALSE)</f>
        <v>Pet-G  pelicula  40 mic. CH 667 mm</v>
      </c>
      <c r="E316">
        <f>VLOOKUP(B316,'[1]Base de datos'!$B:$E,3,FALSE)</f>
        <v>2200</v>
      </c>
      <c r="F316">
        <f>VLOOKUP(B316,'[1]Base de datos'!$B:$E,4,FALSE)</f>
        <v>77</v>
      </c>
    </row>
    <row r="317" spans="2:6" x14ac:dyDescent="0.25">
      <c r="B317" s="24">
        <v>300670056</v>
      </c>
      <c r="C317" s="17"/>
      <c r="D317" s="5" t="str">
        <f>VLOOKUP(B317,'[1]Base de datos'!$B:$F,2,FALSE)</f>
        <v>Pet-G  pelicula  40 mic. CH 667 mm</v>
      </c>
      <c r="E317">
        <f>VLOOKUP(B317,'[1]Base de datos'!$B:$E,3,FALSE)</f>
        <v>2200</v>
      </c>
      <c r="F317">
        <f>VLOOKUP(B317,'[1]Base de datos'!$B:$E,4,FALSE)</f>
        <v>77</v>
      </c>
    </row>
    <row r="318" spans="2:6" x14ac:dyDescent="0.25">
      <c r="B318" s="24">
        <v>300670057</v>
      </c>
      <c r="C318" s="17"/>
      <c r="D318" s="5" t="str">
        <f>VLOOKUP(B318,'[1]Base de datos'!$B:$F,2,FALSE)</f>
        <v>Pet-G  pelicula  40 mic. CH 667 mm</v>
      </c>
      <c r="E318">
        <f>VLOOKUP(B318,'[1]Base de datos'!$B:$E,3,FALSE)</f>
        <v>2200</v>
      </c>
      <c r="F318">
        <f>VLOOKUP(B318,'[1]Base de datos'!$B:$E,4,FALSE)</f>
        <v>77</v>
      </c>
    </row>
    <row r="319" spans="2:6" x14ac:dyDescent="0.25">
      <c r="B319" s="24">
        <v>300670058</v>
      </c>
      <c r="C319" s="17"/>
      <c r="D319" s="5" t="str">
        <f>VLOOKUP(B319,'[1]Base de datos'!$B:$F,2,FALSE)</f>
        <v>Pet-G  pelicula  40 mic. CH 667 mm</v>
      </c>
      <c r="E319">
        <f>VLOOKUP(B319,'[1]Base de datos'!$B:$E,3,FALSE)</f>
        <v>2200</v>
      </c>
      <c r="F319">
        <f>VLOOKUP(B319,'[1]Base de datos'!$B:$E,4,FALSE)</f>
        <v>77</v>
      </c>
    </row>
    <row r="320" spans="2:6" x14ac:dyDescent="0.25">
      <c r="B320" s="24">
        <v>300670059</v>
      </c>
      <c r="C320" s="17"/>
      <c r="D320" s="5" t="str">
        <f>VLOOKUP(B320,'[1]Base de datos'!$B:$F,2,FALSE)</f>
        <v>Pet-G  pelicula  40 mic. CH 667 mm</v>
      </c>
      <c r="E320">
        <f>VLOOKUP(B320,'[1]Base de datos'!$B:$E,3,FALSE)</f>
        <v>2200</v>
      </c>
      <c r="F320">
        <f>VLOOKUP(B320,'[1]Base de datos'!$B:$E,4,FALSE)</f>
        <v>77</v>
      </c>
    </row>
    <row r="321" spans="2:6" x14ac:dyDescent="0.25">
      <c r="B321" s="24">
        <v>300670060</v>
      </c>
      <c r="C321" s="17"/>
      <c r="D321" s="5" t="e">
        <f>VLOOKUP(B321,'[1]Base de datos'!$B:$F,2,FALSE)</f>
        <v>#N/A</v>
      </c>
      <c r="E321" t="e">
        <f>VLOOKUP(B321,'[1]Base de datos'!$B:$E,3,FALSE)</f>
        <v>#N/A</v>
      </c>
      <c r="F321" t="e">
        <f>VLOOKUP(B321,'[1]Base de datos'!$B:$E,4,FALSE)</f>
        <v>#N/A</v>
      </c>
    </row>
    <row r="322" spans="2:6" x14ac:dyDescent="0.25">
      <c r="B322" s="24">
        <v>300670061</v>
      </c>
      <c r="C322" s="17"/>
      <c r="D322" s="5" t="e">
        <f>VLOOKUP(B322,'[1]Base de datos'!$B:$F,2,FALSE)</f>
        <v>#N/A</v>
      </c>
      <c r="E322" t="e">
        <f>VLOOKUP(B322,'[1]Base de datos'!$B:$E,3,FALSE)</f>
        <v>#N/A</v>
      </c>
      <c r="F322" t="e">
        <f>VLOOKUP(B322,'[1]Base de datos'!$B:$E,4,FALSE)</f>
        <v>#N/A</v>
      </c>
    </row>
    <row r="323" spans="2:6" x14ac:dyDescent="0.25">
      <c r="B323" s="24">
        <v>300670062</v>
      </c>
      <c r="C323" s="17"/>
      <c r="D323" s="5" t="e">
        <f>VLOOKUP(B323,'[1]Base de datos'!$B:$F,2,FALSE)</f>
        <v>#N/A</v>
      </c>
      <c r="E323" t="e">
        <f>VLOOKUP(B323,'[1]Base de datos'!$B:$E,3,FALSE)</f>
        <v>#N/A</v>
      </c>
      <c r="F323" t="e">
        <f>VLOOKUP(B323,'[1]Base de datos'!$B:$E,4,FALSE)</f>
        <v>#N/A</v>
      </c>
    </row>
    <row r="324" spans="2:6" x14ac:dyDescent="0.25">
      <c r="B324" s="24">
        <v>300670063</v>
      </c>
      <c r="C324" s="17"/>
      <c r="D324" s="5" t="e">
        <f>VLOOKUP(B324,'[1]Base de datos'!$B:$F,2,FALSE)</f>
        <v>#N/A</v>
      </c>
      <c r="E324" t="e">
        <f>VLOOKUP(B324,'[1]Base de datos'!$B:$E,3,FALSE)</f>
        <v>#N/A</v>
      </c>
      <c r="F324" t="e">
        <f>VLOOKUP(B324,'[1]Base de datos'!$B:$E,4,FALSE)</f>
        <v>#N/A</v>
      </c>
    </row>
    <row r="325" spans="2:6" x14ac:dyDescent="0.25">
      <c r="B325" s="24">
        <v>300670064</v>
      </c>
      <c r="C325" s="17"/>
      <c r="D325" s="5" t="e">
        <f>VLOOKUP(B325,'[1]Base de datos'!$B:$F,2,FALSE)</f>
        <v>#N/A</v>
      </c>
      <c r="E325" t="e">
        <f>VLOOKUP(B325,'[1]Base de datos'!$B:$E,3,FALSE)</f>
        <v>#N/A</v>
      </c>
      <c r="F325" t="e">
        <f>VLOOKUP(B325,'[1]Base de datos'!$B:$E,4,FALSE)</f>
        <v>#N/A</v>
      </c>
    </row>
    <row r="326" spans="2:6" x14ac:dyDescent="0.25">
      <c r="B326" s="24">
        <v>300670065</v>
      </c>
      <c r="C326" s="17"/>
      <c r="D326" s="5" t="e">
        <f>VLOOKUP(B326,'[1]Base de datos'!$B:$F,2,FALSE)</f>
        <v>#N/A</v>
      </c>
      <c r="E326" t="e">
        <f>VLOOKUP(B326,'[1]Base de datos'!$B:$E,3,FALSE)</f>
        <v>#N/A</v>
      </c>
      <c r="F326" t="e">
        <f>VLOOKUP(B326,'[1]Base de datos'!$B:$E,4,FALSE)</f>
        <v>#N/A</v>
      </c>
    </row>
    <row r="327" spans="2:6" x14ac:dyDescent="0.25">
      <c r="B327" s="24">
        <v>300670066</v>
      </c>
      <c r="C327" s="17"/>
      <c r="D327" s="5" t="e">
        <f>VLOOKUP(B327,'[1]Base de datos'!$B:$F,2,FALSE)</f>
        <v>#N/A</v>
      </c>
      <c r="E327" t="e">
        <f>VLOOKUP(B327,'[1]Base de datos'!$B:$E,3,FALSE)</f>
        <v>#N/A</v>
      </c>
      <c r="F327" t="e">
        <f>VLOOKUP(B327,'[1]Base de datos'!$B:$E,4,FALSE)</f>
        <v>#N/A</v>
      </c>
    </row>
    <row r="328" spans="2:6" x14ac:dyDescent="0.25">
      <c r="B328" s="24">
        <v>300670067</v>
      </c>
      <c r="C328" s="17"/>
      <c r="D328" s="5" t="e">
        <f>VLOOKUP(B328,'[1]Base de datos'!$B:$F,2,FALSE)</f>
        <v>#N/A</v>
      </c>
      <c r="E328" t="e">
        <f>VLOOKUP(B328,'[1]Base de datos'!$B:$E,3,FALSE)</f>
        <v>#N/A</v>
      </c>
      <c r="F328" t="e">
        <f>VLOOKUP(B328,'[1]Base de datos'!$B:$E,4,FALSE)</f>
        <v>#N/A</v>
      </c>
    </row>
    <row r="329" spans="2:6" x14ac:dyDescent="0.25">
      <c r="B329" s="24">
        <v>300670068</v>
      </c>
      <c r="C329" s="17"/>
      <c r="D329" s="5" t="e">
        <f>VLOOKUP(B329,'[1]Base de datos'!$B:$F,2,FALSE)</f>
        <v>#N/A</v>
      </c>
      <c r="E329" t="e">
        <f>VLOOKUP(B329,'[1]Base de datos'!$B:$E,3,FALSE)</f>
        <v>#N/A</v>
      </c>
      <c r="F329" t="e">
        <f>VLOOKUP(B329,'[1]Base de datos'!$B:$E,4,FALSE)</f>
        <v>#N/A</v>
      </c>
    </row>
    <row r="330" spans="2:6" x14ac:dyDescent="0.25">
      <c r="B330" s="24">
        <v>300670069</v>
      </c>
      <c r="C330" s="17"/>
      <c r="D330" s="5" t="e">
        <f>VLOOKUP(B330,'[1]Base de datos'!$B:$F,2,FALSE)</f>
        <v>#N/A</v>
      </c>
      <c r="E330" t="e">
        <f>VLOOKUP(B330,'[1]Base de datos'!$B:$E,3,FALSE)</f>
        <v>#N/A</v>
      </c>
      <c r="F330" t="e">
        <f>VLOOKUP(B330,'[1]Base de datos'!$B:$E,4,FALSE)</f>
        <v>#N/A</v>
      </c>
    </row>
    <row r="331" spans="2:6" x14ac:dyDescent="0.25">
      <c r="B331" s="24">
        <v>300670070</v>
      </c>
      <c r="C331" s="17"/>
      <c r="D331" s="5" t="e">
        <f>VLOOKUP(B331,'[1]Base de datos'!$B:$F,2,FALSE)</f>
        <v>#N/A</v>
      </c>
      <c r="E331" t="e">
        <f>VLOOKUP(B331,'[1]Base de datos'!$B:$E,3,FALSE)</f>
        <v>#N/A</v>
      </c>
      <c r="F331" t="e">
        <f>VLOOKUP(B331,'[1]Base de datos'!$B:$E,4,FALSE)</f>
        <v>#N/A</v>
      </c>
    </row>
    <row r="332" spans="2:6" x14ac:dyDescent="0.25">
      <c r="B332" s="24">
        <v>300670071</v>
      </c>
      <c r="C332" s="17"/>
      <c r="D332" s="5" t="e">
        <f>VLOOKUP(B332,'[1]Base de datos'!$B:$F,2,FALSE)</f>
        <v>#N/A</v>
      </c>
      <c r="E332" t="e">
        <f>VLOOKUP(B332,'[1]Base de datos'!$B:$E,3,FALSE)</f>
        <v>#N/A</v>
      </c>
      <c r="F332" t="e">
        <f>VLOOKUP(B332,'[1]Base de datos'!$B:$E,4,FALSE)</f>
        <v>#N/A</v>
      </c>
    </row>
    <row r="333" spans="2:6" x14ac:dyDescent="0.25">
      <c r="B333" s="24">
        <v>300670072</v>
      </c>
      <c r="C333" s="17"/>
      <c r="D333" s="5" t="e">
        <f>VLOOKUP(B333,'[1]Base de datos'!$B:$F,2,FALSE)</f>
        <v>#N/A</v>
      </c>
      <c r="E333" t="e">
        <f>VLOOKUP(B333,'[1]Base de datos'!$B:$E,3,FALSE)</f>
        <v>#N/A</v>
      </c>
      <c r="F333" t="e">
        <f>VLOOKUP(B333,'[1]Base de datos'!$B:$E,4,FALSE)</f>
        <v>#N/A</v>
      </c>
    </row>
    <row r="334" spans="2:6" x14ac:dyDescent="0.25">
      <c r="B334" s="24">
        <v>300670073</v>
      </c>
      <c r="C334" s="17"/>
      <c r="D334" s="5" t="e">
        <f>VLOOKUP(B334,'[1]Base de datos'!$B:$F,2,FALSE)</f>
        <v>#N/A</v>
      </c>
      <c r="E334" t="e">
        <f>VLOOKUP(B334,'[1]Base de datos'!$B:$E,3,FALSE)</f>
        <v>#N/A</v>
      </c>
      <c r="F334" t="e">
        <f>VLOOKUP(B334,'[1]Base de datos'!$B:$E,4,FALSE)</f>
        <v>#N/A</v>
      </c>
    </row>
    <row r="335" spans="2:6" x14ac:dyDescent="0.25">
      <c r="B335" s="24">
        <v>300670074</v>
      </c>
      <c r="C335" s="17"/>
      <c r="D335" s="5" t="e">
        <f>VLOOKUP(B335,'[1]Base de datos'!$B:$F,2,FALSE)</f>
        <v>#N/A</v>
      </c>
      <c r="E335" t="e">
        <f>VLOOKUP(B335,'[1]Base de datos'!$B:$E,3,FALSE)</f>
        <v>#N/A</v>
      </c>
      <c r="F335" t="e">
        <f>VLOOKUP(B335,'[1]Base de datos'!$B:$E,4,FALSE)</f>
        <v>#N/A</v>
      </c>
    </row>
    <row r="336" spans="2:6" x14ac:dyDescent="0.25">
      <c r="B336" s="24">
        <v>300670075</v>
      </c>
      <c r="C336" s="17"/>
      <c r="D336" s="5" t="e">
        <f>VLOOKUP(B336,'[1]Base de datos'!$B:$F,2,FALSE)</f>
        <v>#N/A</v>
      </c>
      <c r="E336" t="e">
        <f>VLOOKUP(B336,'[1]Base de datos'!$B:$E,3,FALSE)</f>
        <v>#N/A</v>
      </c>
      <c r="F336" t="e">
        <f>VLOOKUP(B336,'[1]Base de datos'!$B:$E,4,FALSE)</f>
        <v>#N/A</v>
      </c>
    </row>
    <row r="337" spans="2:6" x14ac:dyDescent="0.25">
      <c r="B337" s="24">
        <v>300670076</v>
      </c>
      <c r="C337" s="17"/>
      <c r="D337" s="5" t="e">
        <f>VLOOKUP(B337,'[1]Base de datos'!$B:$F,2,FALSE)</f>
        <v>#N/A</v>
      </c>
      <c r="E337" t="e">
        <f>VLOOKUP(B337,'[1]Base de datos'!$B:$E,3,FALSE)</f>
        <v>#N/A</v>
      </c>
      <c r="F337" t="e">
        <f>VLOOKUP(B337,'[1]Base de datos'!$B:$E,4,FALSE)</f>
        <v>#N/A</v>
      </c>
    </row>
    <row r="338" spans="2:6" x14ac:dyDescent="0.25">
      <c r="B338" s="24">
        <v>300670077</v>
      </c>
      <c r="C338" s="17"/>
      <c r="D338" s="5" t="e">
        <f>VLOOKUP(B338,'[1]Base de datos'!$B:$F,2,FALSE)</f>
        <v>#N/A</v>
      </c>
      <c r="E338" t="e">
        <f>VLOOKUP(B338,'[1]Base de datos'!$B:$E,3,FALSE)</f>
        <v>#N/A</v>
      </c>
      <c r="F338" t="e">
        <f>VLOOKUP(B338,'[1]Base de datos'!$B:$E,4,FALSE)</f>
        <v>#N/A</v>
      </c>
    </row>
    <row r="339" spans="2:6" x14ac:dyDescent="0.25">
      <c r="B339" s="24">
        <v>300670078</v>
      </c>
      <c r="C339" s="17"/>
      <c r="D339" s="5" t="e">
        <f>VLOOKUP(B339,'[1]Base de datos'!$B:$F,2,FALSE)</f>
        <v>#N/A</v>
      </c>
      <c r="E339" t="e">
        <f>VLOOKUP(B339,'[1]Base de datos'!$B:$E,3,FALSE)</f>
        <v>#N/A</v>
      </c>
      <c r="F339" t="e">
        <f>VLOOKUP(B339,'[1]Base de datos'!$B:$E,4,FALSE)</f>
        <v>#N/A</v>
      </c>
    </row>
    <row r="340" spans="2:6" x14ac:dyDescent="0.25">
      <c r="B340" s="24">
        <v>300670079</v>
      </c>
      <c r="C340" s="17"/>
      <c r="D340" s="5" t="e">
        <f>VLOOKUP(B340,'[1]Base de datos'!$B:$F,2,FALSE)</f>
        <v>#N/A</v>
      </c>
      <c r="E340" t="e">
        <f>VLOOKUP(B340,'[1]Base de datos'!$B:$E,3,FALSE)</f>
        <v>#N/A</v>
      </c>
      <c r="F340" t="e">
        <f>VLOOKUP(B340,'[1]Base de datos'!$B:$E,4,FALSE)</f>
        <v>#N/A</v>
      </c>
    </row>
    <row r="341" spans="2:6" x14ac:dyDescent="0.25">
      <c r="B341" s="24">
        <v>300670080</v>
      </c>
      <c r="C341" s="17"/>
      <c r="D341" s="5" t="e">
        <f>VLOOKUP(B341,'[1]Base de datos'!$B:$F,2,FALSE)</f>
        <v>#N/A</v>
      </c>
      <c r="E341" t="e">
        <f>VLOOKUP(B341,'[1]Base de datos'!$B:$E,3,FALSE)</f>
        <v>#N/A</v>
      </c>
      <c r="F341" t="e">
        <f>VLOOKUP(B341,'[1]Base de datos'!$B:$E,4,FALSE)</f>
        <v>#N/A</v>
      </c>
    </row>
    <row r="342" spans="2:6" x14ac:dyDescent="0.25">
      <c r="B342" s="24">
        <v>300670081</v>
      </c>
      <c r="C342" s="17"/>
      <c r="D342" s="5" t="e">
        <f>VLOOKUP(B342,'[1]Base de datos'!$B:$F,2,FALSE)</f>
        <v>#N/A</v>
      </c>
      <c r="E342" t="e">
        <f>VLOOKUP(B342,'[1]Base de datos'!$B:$E,3,FALSE)</f>
        <v>#N/A</v>
      </c>
      <c r="F342" t="e">
        <f>VLOOKUP(B342,'[1]Base de datos'!$B:$E,4,FALSE)</f>
        <v>#N/A</v>
      </c>
    </row>
    <row r="343" spans="2:6" x14ac:dyDescent="0.25">
      <c r="B343" s="24">
        <v>300670082</v>
      </c>
      <c r="C343" s="17"/>
      <c r="D343" s="5" t="e">
        <f>VLOOKUP(B343,'[1]Base de datos'!$B:$F,2,FALSE)</f>
        <v>#N/A</v>
      </c>
      <c r="E343" t="e">
        <f>VLOOKUP(B343,'[1]Base de datos'!$B:$E,3,FALSE)</f>
        <v>#N/A</v>
      </c>
      <c r="F343" t="e">
        <f>VLOOKUP(B343,'[1]Base de datos'!$B:$E,4,FALSE)</f>
        <v>#N/A</v>
      </c>
    </row>
    <row r="344" spans="2:6" x14ac:dyDescent="0.25">
      <c r="B344" s="24">
        <v>300670083</v>
      </c>
      <c r="C344" s="17"/>
      <c r="D344" s="5" t="e">
        <f>VLOOKUP(B344,'[1]Base de datos'!$B:$F,2,FALSE)</f>
        <v>#N/A</v>
      </c>
      <c r="E344" t="e">
        <f>VLOOKUP(B344,'[1]Base de datos'!$B:$E,3,FALSE)</f>
        <v>#N/A</v>
      </c>
      <c r="F344" t="e">
        <f>VLOOKUP(B344,'[1]Base de datos'!$B:$E,4,FALSE)</f>
        <v>#N/A</v>
      </c>
    </row>
    <row r="345" spans="2:6" x14ac:dyDescent="0.25">
      <c r="B345" s="24">
        <v>300670084</v>
      </c>
      <c r="C345" s="17"/>
      <c r="D345" s="5" t="e">
        <f>VLOOKUP(B345,'[1]Base de datos'!$B:$F,2,FALSE)</f>
        <v>#N/A</v>
      </c>
      <c r="E345" t="e">
        <f>VLOOKUP(B345,'[1]Base de datos'!$B:$E,3,FALSE)</f>
        <v>#N/A</v>
      </c>
      <c r="F345" t="e">
        <f>VLOOKUP(B345,'[1]Base de datos'!$B:$E,4,FALSE)</f>
        <v>#N/A</v>
      </c>
    </row>
    <row r="346" spans="2:6" x14ac:dyDescent="0.25">
      <c r="B346" s="24">
        <v>300670085</v>
      </c>
      <c r="C346" s="17"/>
      <c r="D346" s="5" t="e">
        <f>VLOOKUP(B346,'[1]Base de datos'!$B:$F,2,FALSE)</f>
        <v>#N/A</v>
      </c>
      <c r="E346" t="e">
        <f>VLOOKUP(B346,'[1]Base de datos'!$B:$E,3,FALSE)</f>
        <v>#N/A</v>
      </c>
      <c r="F346" t="e">
        <f>VLOOKUP(B346,'[1]Base de datos'!$B:$E,4,FALSE)</f>
        <v>#N/A</v>
      </c>
    </row>
    <row r="347" spans="2:6" x14ac:dyDescent="0.25">
      <c r="B347" s="24">
        <v>300670086</v>
      </c>
      <c r="C347" s="17"/>
      <c r="D347" s="5" t="e">
        <f>VLOOKUP(B347,'[1]Base de datos'!$B:$F,2,FALSE)</f>
        <v>#N/A</v>
      </c>
      <c r="E347" t="e">
        <f>VLOOKUP(B347,'[1]Base de datos'!$B:$E,3,FALSE)</f>
        <v>#N/A</v>
      </c>
      <c r="F347" t="e">
        <f>VLOOKUP(B347,'[1]Base de datos'!$B:$E,4,FALSE)</f>
        <v>#N/A</v>
      </c>
    </row>
    <row r="348" spans="2:6" x14ac:dyDescent="0.25">
      <c r="B348" s="24">
        <v>300670087</v>
      </c>
      <c r="C348" s="17"/>
      <c r="D348" s="5" t="e">
        <f>VLOOKUP(B348,'[1]Base de datos'!$B:$F,2,FALSE)</f>
        <v>#N/A</v>
      </c>
      <c r="E348" t="e">
        <f>VLOOKUP(B348,'[1]Base de datos'!$B:$E,3,FALSE)</f>
        <v>#N/A</v>
      </c>
      <c r="F348" t="e">
        <f>VLOOKUP(B348,'[1]Base de datos'!$B:$E,4,FALSE)</f>
        <v>#N/A</v>
      </c>
    </row>
    <row r="349" spans="2:6" x14ac:dyDescent="0.25">
      <c r="B349" s="24">
        <v>300670088</v>
      </c>
      <c r="C349" s="17"/>
      <c r="D349" s="5" t="e">
        <f>VLOOKUP(B349,'[1]Base de datos'!$B:$F,2,FALSE)</f>
        <v>#N/A</v>
      </c>
      <c r="E349" t="e">
        <f>VLOOKUP(B349,'[1]Base de datos'!$B:$E,3,FALSE)</f>
        <v>#N/A</v>
      </c>
      <c r="F349" t="e">
        <f>VLOOKUP(B349,'[1]Base de datos'!$B:$E,4,FALSE)</f>
        <v>#N/A</v>
      </c>
    </row>
    <row r="350" spans="2:6" x14ac:dyDescent="0.25">
      <c r="B350" s="24">
        <v>300670089</v>
      </c>
      <c r="C350" s="17"/>
      <c r="D350" s="5" t="e">
        <f>VLOOKUP(B350,'[1]Base de datos'!$B:$F,2,FALSE)</f>
        <v>#N/A</v>
      </c>
      <c r="E350" t="e">
        <f>VLOOKUP(B350,'[1]Base de datos'!$B:$E,3,FALSE)</f>
        <v>#N/A</v>
      </c>
      <c r="F350" t="e">
        <f>VLOOKUP(B350,'[1]Base de datos'!$B:$E,4,FALSE)</f>
        <v>#N/A</v>
      </c>
    </row>
    <row r="351" spans="2:6" x14ac:dyDescent="0.25">
      <c r="B351" s="24">
        <v>300670090</v>
      </c>
      <c r="C351" s="17"/>
      <c r="D351" s="5" t="e">
        <f>VLOOKUP(B351,'[1]Base de datos'!$B:$F,2,FALSE)</f>
        <v>#N/A</v>
      </c>
      <c r="E351" t="e">
        <f>VLOOKUP(B351,'[1]Base de datos'!$B:$E,3,FALSE)</f>
        <v>#N/A</v>
      </c>
      <c r="F351" t="e">
        <f>VLOOKUP(B351,'[1]Base de datos'!$B:$E,4,FALSE)</f>
        <v>#N/A</v>
      </c>
    </row>
    <row r="352" spans="2:6" x14ac:dyDescent="0.25">
      <c r="B352" s="24">
        <v>300670091</v>
      </c>
      <c r="C352" s="17"/>
      <c r="D352" s="5" t="e">
        <f>VLOOKUP(B352,'[1]Base de datos'!$B:$F,2,FALSE)</f>
        <v>#N/A</v>
      </c>
      <c r="E352" t="e">
        <f>VLOOKUP(B352,'[1]Base de datos'!$B:$E,3,FALSE)</f>
        <v>#N/A</v>
      </c>
      <c r="F352" t="e">
        <f>VLOOKUP(B352,'[1]Base de datos'!$B:$E,4,FALSE)</f>
        <v>#N/A</v>
      </c>
    </row>
    <row r="353" spans="2:6" x14ac:dyDescent="0.25">
      <c r="B353" s="24">
        <v>300670092</v>
      </c>
      <c r="C353" s="17"/>
      <c r="D353" s="5" t="e">
        <f>VLOOKUP(B353,'[1]Base de datos'!$B:$F,2,FALSE)</f>
        <v>#N/A</v>
      </c>
      <c r="E353" t="e">
        <f>VLOOKUP(B353,'[1]Base de datos'!$B:$E,3,FALSE)</f>
        <v>#N/A</v>
      </c>
      <c r="F353" t="e">
        <f>VLOOKUP(B353,'[1]Base de datos'!$B:$E,4,FALSE)</f>
        <v>#N/A</v>
      </c>
    </row>
    <row r="354" spans="2:6" x14ac:dyDescent="0.25">
      <c r="B354" s="24">
        <v>300670093</v>
      </c>
      <c r="C354" s="17"/>
      <c r="D354" s="5" t="e">
        <f>VLOOKUP(B354,'[1]Base de datos'!$B:$F,2,FALSE)</f>
        <v>#N/A</v>
      </c>
      <c r="E354" t="e">
        <f>VLOOKUP(B354,'[1]Base de datos'!$B:$E,3,FALSE)</f>
        <v>#N/A</v>
      </c>
      <c r="F354" t="e">
        <f>VLOOKUP(B354,'[1]Base de datos'!$B:$E,4,FALSE)</f>
        <v>#N/A</v>
      </c>
    </row>
    <row r="355" spans="2:6" x14ac:dyDescent="0.25">
      <c r="B355" s="24">
        <v>300670094</v>
      </c>
      <c r="C355" s="17"/>
      <c r="D355" s="5" t="e">
        <f>VLOOKUP(B355,'[1]Base de datos'!$B:$F,2,FALSE)</f>
        <v>#N/A</v>
      </c>
      <c r="E355" t="e">
        <f>VLOOKUP(B355,'[1]Base de datos'!$B:$E,3,FALSE)</f>
        <v>#N/A</v>
      </c>
      <c r="F355" t="e">
        <f>VLOOKUP(B355,'[1]Base de datos'!$B:$E,4,FALSE)</f>
        <v>#N/A</v>
      </c>
    </row>
    <row r="356" spans="2:6" x14ac:dyDescent="0.25">
      <c r="B356" s="24">
        <v>300670095</v>
      </c>
      <c r="C356" s="17"/>
      <c r="D356" s="5" t="e">
        <f>VLOOKUP(B356,'[1]Base de datos'!$B:$F,2,FALSE)</f>
        <v>#N/A</v>
      </c>
      <c r="E356" t="e">
        <f>VLOOKUP(B356,'[1]Base de datos'!$B:$E,3,FALSE)</f>
        <v>#N/A</v>
      </c>
      <c r="F356" t="e">
        <f>VLOOKUP(B356,'[1]Base de datos'!$B:$E,4,FALSE)</f>
        <v>#N/A</v>
      </c>
    </row>
    <row r="357" spans="2:6" x14ac:dyDescent="0.25">
      <c r="B357" s="24">
        <v>300670096</v>
      </c>
      <c r="C357" s="17"/>
      <c r="D357" s="5" t="e">
        <f>VLOOKUP(B357,'[1]Base de datos'!$B:$F,2,FALSE)</f>
        <v>#N/A</v>
      </c>
      <c r="E357" t="e">
        <f>VLOOKUP(B357,'[1]Base de datos'!$B:$E,3,FALSE)</f>
        <v>#N/A</v>
      </c>
      <c r="F357" t="e">
        <f>VLOOKUP(B357,'[1]Base de datos'!$B:$E,4,FALSE)</f>
        <v>#N/A</v>
      </c>
    </row>
    <row r="358" spans="2:6" x14ac:dyDescent="0.25">
      <c r="B358" s="24">
        <v>300670097</v>
      </c>
      <c r="C358" s="17"/>
      <c r="D358" s="5" t="e">
        <f>VLOOKUP(B358,'[1]Base de datos'!$B:$F,2,FALSE)</f>
        <v>#N/A</v>
      </c>
      <c r="E358" t="e">
        <f>VLOOKUP(B358,'[1]Base de datos'!$B:$E,3,FALSE)</f>
        <v>#N/A</v>
      </c>
      <c r="F358" t="e">
        <f>VLOOKUP(B358,'[1]Base de datos'!$B:$E,4,FALSE)</f>
        <v>#N/A</v>
      </c>
    </row>
    <row r="359" spans="2:6" x14ac:dyDescent="0.25">
      <c r="B359" s="24">
        <v>300670098</v>
      </c>
      <c r="C359" s="17"/>
      <c r="D359" s="5" t="e">
        <f>VLOOKUP(B359,'[1]Base de datos'!$B:$F,2,FALSE)</f>
        <v>#N/A</v>
      </c>
      <c r="E359" t="e">
        <f>VLOOKUP(B359,'[1]Base de datos'!$B:$E,3,FALSE)</f>
        <v>#N/A</v>
      </c>
      <c r="F359" t="e">
        <f>VLOOKUP(B359,'[1]Base de datos'!$B:$E,4,FALSE)</f>
        <v>#N/A</v>
      </c>
    </row>
    <row r="360" spans="2:6" x14ac:dyDescent="0.25">
      <c r="B360" s="24">
        <v>300670099</v>
      </c>
      <c r="C360" s="17"/>
      <c r="D360" s="5" t="e">
        <f>VLOOKUP(B360,'[1]Base de datos'!$B:$F,2,FALSE)</f>
        <v>#N/A</v>
      </c>
      <c r="E360" t="e">
        <f>VLOOKUP(B360,'[1]Base de datos'!$B:$E,3,FALSE)</f>
        <v>#N/A</v>
      </c>
      <c r="F360" t="e">
        <f>VLOOKUP(B360,'[1]Base de datos'!$B:$E,4,FALSE)</f>
        <v>#N/A</v>
      </c>
    </row>
    <row r="361" spans="2:6" x14ac:dyDescent="0.25">
      <c r="B361" s="24">
        <v>300670100</v>
      </c>
      <c r="C361" s="17"/>
      <c r="D361" s="5" t="e">
        <f>VLOOKUP(B361,'[1]Base de datos'!$B:$F,2,FALSE)</f>
        <v>#N/A</v>
      </c>
      <c r="E361" t="e">
        <f>VLOOKUP(B361,'[1]Base de datos'!$B:$E,3,FALSE)</f>
        <v>#N/A</v>
      </c>
      <c r="F361" t="e">
        <f>VLOOKUP(B361,'[1]Base de datos'!$B:$E,4,FALSE)</f>
        <v>#N/A</v>
      </c>
    </row>
    <row r="362" spans="2:6" x14ac:dyDescent="0.25">
      <c r="B362" s="24">
        <v>300670101</v>
      </c>
      <c r="C362" s="17"/>
      <c r="D362" s="5" t="e">
        <f>VLOOKUP(B362,'[1]Base de datos'!$B:$F,2,FALSE)</f>
        <v>#N/A</v>
      </c>
      <c r="E362" t="e">
        <f>VLOOKUP(B362,'[1]Base de datos'!$B:$E,3,FALSE)</f>
        <v>#N/A</v>
      </c>
      <c r="F362" t="e">
        <f>VLOOKUP(B362,'[1]Base de datos'!$B:$E,4,FALSE)</f>
        <v>#N/A</v>
      </c>
    </row>
    <row r="363" spans="2:6" x14ac:dyDescent="0.25">
      <c r="B363" s="24">
        <v>300670102</v>
      </c>
      <c r="C363" s="17"/>
      <c r="D363" s="5" t="e">
        <f>VLOOKUP(B363,'[1]Base de datos'!$B:$F,2,FALSE)</f>
        <v>#N/A</v>
      </c>
      <c r="E363" t="e">
        <f>VLOOKUP(B363,'[1]Base de datos'!$B:$E,3,FALSE)</f>
        <v>#N/A</v>
      </c>
      <c r="F363" t="e">
        <f>VLOOKUP(B363,'[1]Base de datos'!$B:$E,4,FALSE)</f>
        <v>#N/A</v>
      </c>
    </row>
    <row r="364" spans="2:6" x14ac:dyDescent="0.25">
      <c r="B364" s="24">
        <v>300670103</v>
      </c>
      <c r="C364" s="17"/>
      <c r="D364" s="5" t="e">
        <f>VLOOKUP(B364,'[1]Base de datos'!$B:$F,2,FALSE)</f>
        <v>#N/A</v>
      </c>
      <c r="E364" t="e">
        <f>VLOOKUP(B364,'[1]Base de datos'!$B:$E,3,FALSE)</f>
        <v>#N/A</v>
      </c>
      <c r="F364" t="e">
        <f>VLOOKUP(B364,'[1]Base de datos'!$B:$E,4,FALSE)</f>
        <v>#N/A</v>
      </c>
    </row>
    <row r="365" spans="2:6" x14ac:dyDescent="0.25">
      <c r="B365" s="24">
        <v>300670104</v>
      </c>
      <c r="C365" s="17"/>
      <c r="D365" s="5" t="e">
        <f>VLOOKUP(B365,'[1]Base de datos'!$B:$F,2,FALSE)</f>
        <v>#N/A</v>
      </c>
      <c r="E365" t="e">
        <f>VLOOKUP(B365,'[1]Base de datos'!$B:$E,3,FALSE)</f>
        <v>#N/A</v>
      </c>
      <c r="F365" t="e">
        <f>VLOOKUP(B365,'[1]Base de datos'!$B:$E,4,FALSE)</f>
        <v>#N/A</v>
      </c>
    </row>
    <row r="366" spans="2:6" x14ac:dyDescent="0.25">
      <c r="B366" s="24">
        <v>300670105</v>
      </c>
      <c r="C366" s="17"/>
      <c r="D366" s="5" t="e">
        <f>VLOOKUP(B366,'[1]Base de datos'!$B:$F,2,FALSE)</f>
        <v>#N/A</v>
      </c>
      <c r="E366" t="e">
        <f>VLOOKUP(B366,'[1]Base de datos'!$B:$E,3,FALSE)</f>
        <v>#N/A</v>
      </c>
      <c r="F366" t="e">
        <f>VLOOKUP(B366,'[1]Base de datos'!$B:$E,4,FALSE)</f>
        <v>#N/A</v>
      </c>
    </row>
    <row r="367" spans="2:6" x14ac:dyDescent="0.25">
      <c r="B367" s="24">
        <v>300670106</v>
      </c>
      <c r="C367" s="17"/>
      <c r="D367" s="5" t="e">
        <f>VLOOKUP(B367,'[1]Base de datos'!$B:$F,2,FALSE)</f>
        <v>#N/A</v>
      </c>
      <c r="E367" t="e">
        <f>VLOOKUP(B367,'[1]Base de datos'!$B:$E,3,FALSE)</f>
        <v>#N/A</v>
      </c>
      <c r="F367" t="e">
        <f>VLOOKUP(B367,'[1]Base de datos'!$B:$E,4,FALSE)</f>
        <v>#N/A</v>
      </c>
    </row>
    <row r="368" spans="2:6" x14ac:dyDescent="0.25">
      <c r="B368" s="24">
        <v>300670107</v>
      </c>
      <c r="C368" s="17"/>
      <c r="D368" s="5" t="e">
        <f>VLOOKUP(B368,'[1]Base de datos'!$B:$F,2,FALSE)</f>
        <v>#N/A</v>
      </c>
      <c r="E368" t="e">
        <f>VLOOKUP(B368,'[1]Base de datos'!$B:$E,3,FALSE)</f>
        <v>#N/A</v>
      </c>
      <c r="F368" t="e">
        <f>VLOOKUP(B368,'[1]Base de datos'!$B:$E,4,FALSE)</f>
        <v>#N/A</v>
      </c>
    </row>
    <row r="369" spans="2:6" x14ac:dyDescent="0.25">
      <c r="B369" s="24">
        <v>300670108</v>
      </c>
      <c r="C369" s="17"/>
      <c r="D369" s="5" t="e">
        <f>VLOOKUP(B369,'[1]Base de datos'!$B:$F,2,FALSE)</f>
        <v>#N/A</v>
      </c>
      <c r="E369" t="e">
        <f>VLOOKUP(B369,'[1]Base de datos'!$B:$E,3,FALSE)</f>
        <v>#N/A</v>
      </c>
      <c r="F369" t="e">
        <f>VLOOKUP(B369,'[1]Base de datos'!$B:$E,4,FALSE)</f>
        <v>#N/A</v>
      </c>
    </row>
    <row r="370" spans="2:6" x14ac:dyDescent="0.25">
      <c r="B370" s="24">
        <v>300670109</v>
      </c>
      <c r="C370" s="17"/>
      <c r="D370" s="5" t="e">
        <f>VLOOKUP(B370,'[1]Base de datos'!$B:$F,2,FALSE)</f>
        <v>#N/A</v>
      </c>
      <c r="E370" t="e">
        <f>VLOOKUP(B370,'[1]Base de datos'!$B:$E,3,FALSE)</f>
        <v>#N/A</v>
      </c>
      <c r="F370" t="e">
        <f>VLOOKUP(B370,'[1]Base de datos'!$B:$E,4,FALSE)</f>
        <v>#N/A</v>
      </c>
    </row>
    <row r="371" spans="2:6" x14ac:dyDescent="0.25">
      <c r="B371" s="24">
        <v>300670110</v>
      </c>
      <c r="C371" s="17"/>
      <c r="D371" s="5" t="e">
        <f>VLOOKUP(B371,'[1]Base de datos'!$B:$F,2,FALSE)</f>
        <v>#N/A</v>
      </c>
      <c r="E371" t="e">
        <f>VLOOKUP(B371,'[1]Base de datos'!$B:$E,3,FALSE)</f>
        <v>#N/A</v>
      </c>
      <c r="F371" t="e">
        <f>VLOOKUP(B371,'[1]Base de datos'!$B:$E,4,FALSE)</f>
        <v>#N/A</v>
      </c>
    </row>
    <row r="372" spans="2:6" x14ac:dyDescent="0.25">
      <c r="B372" s="24">
        <v>300670111</v>
      </c>
      <c r="C372" s="17"/>
      <c r="D372" s="5" t="e">
        <f>VLOOKUP(B372,'[1]Base de datos'!$B:$F,2,FALSE)</f>
        <v>#N/A</v>
      </c>
      <c r="E372" t="e">
        <f>VLOOKUP(B372,'[1]Base de datos'!$B:$E,3,FALSE)</f>
        <v>#N/A</v>
      </c>
      <c r="F372" t="e">
        <f>VLOOKUP(B372,'[1]Base de datos'!$B:$E,4,FALSE)</f>
        <v>#N/A</v>
      </c>
    </row>
    <row r="373" spans="2:6" x14ac:dyDescent="0.25">
      <c r="B373" s="24">
        <v>300670112</v>
      </c>
      <c r="C373" s="17"/>
      <c r="D373" s="5" t="e">
        <f>VLOOKUP(B373,'[1]Base de datos'!$B:$F,2,FALSE)</f>
        <v>#N/A</v>
      </c>
      <c r="E373" t="e">
        <f>VLOOKUP(B373,'[1]Base de datos'!$B:$E,3,FALSE)</f>
        <v>#N/A</v>
      </c>
      <c r="F373" t="e">
        <f>VLOOKUP(B373,'[1]Base de datos'!$B:$E,4,FALSE)</f>
        <v>#N/A</v>
      </c>
    </row>
    <row r="374" spans="2:6" x14ac:dyDescent="0.25">
      <c r="B374" s="24">
        <v>300670113</v>
      </c>
      <c r="C374" s="17"/>
      <c r="D374" s="5" t="e">
        <f>VLOOKUP(B374,'[1]Base de datos'!$B:$F,2,FALSE)</f>
        <v>#N/A</v>
      </c>
      <c r="E374" t="e">
        <f>VLOOKUP(B374,'[1]Base de datos'!$B:$E,3,FALSE)</f>
        <v>#N/A</v>
      </c>
      <c r="F374" t="e">
        <f>VLOOKUP(B374,'[1]Base de datos'!$B:$E,4,FALSE)</f>
        <v>#N/A</v>
      </c>
    </row>
    <row r="375" spans="2:6" x14ac:dyDescent="0.25">
      <c r="B375" s="24">
        <v>300670114</v>
      </c>
      <c r="C375" s="17"/>
      <c r="D375" s="5" t="e">
        <f>VLOOKUP(B375,'[1]Base de datos'!$B:$F,2,FALSE)</f>
        <v>#N/A</v>
      </c>
      <c r="E375" t="e">
        <f>VLOOKUP(B375,'[1]Base de datos'!$B:$E,3,FALSE)</f>
        <v>#N/A</v>
      </c>
      <c r="F375" t="e">
        <f>VLOOKUP(B375,'[1]Base de datos'!$B:$E,4,FALSE)</f>
        <v>#N/A</v>
      </c>
    </row>
    <row r="376" spans="2:6" x14ac:dyDescent="0.25">
      <c r="B376" s="24">
        <v>300670115</v>
      </c>
      <c r="C376" s="17"/>
      <c r="D376" s="5" t="e">
        <f>VLOOKUP(B376,'[1]Base de datos'!$B:$F,2,FALSE)</f>
        <v>#N/A</v>
      </c>
      <c r="E376" t="e">
        <f>VLOOKUP(B376,'[1]Base de datos'!$B:$E,3,FALSE)</f>
        <v>#N/A</v>
      </c>
      <c r="F376" t="e">
        <f>VLOOKUP(B376,'[1]Base de datos'!$B:$E,4,FALSE)</f>
        <v>#N/A</v>
      </c>
    </row>
    <row r="377" spans="2:6" x14ac:dyDescent="0.25">
      <c r="B377" s="24">
        <v>300670116</v>
      </c>
      <c r="C377" s="17"/>
      <c r="D377" s="5" t="e">
        <f>VLOOKUP(B377,'[1]Base de datos'!$B:$F,2,FALSE)</f>
        <v>#N/A</v>
      </c>
      <c r="E377" t="e">
        <f>VLOOKUP(B377,'[1]Base de datos'!$B:$E,3,FALSE)</f>
        <v>#N/A</v>
      </c>
      <c r="F377" t="e">
        <f>VLOOKUP(B377,'[1]Base de datos'!$B:$E,4,FALSE)</f>
        <v>#N/A</v>
      </c>
    </row>
    <row r="378" spans="2:6" x14ac:dyDescent="0.25">
      <c r="B378" s="24">
        <v>300670117</v>
      </c>
      <c r="C378" s="17"/>
      <c r="D378" s="5" t="e">
        <f>VLOOKUP(B378,'[1]Base de datos'!$B:$F,2,FALSE)</f>
        <v>#N/A</v>
      </c>
      <c r="E378" t="e">
        <f>VLOOKUP(B378,'[1]Base de datos'!$B:$E,3,FALSE)</f>
        <v>#N/A</v>
      </c>
      <c r="F378" t="e">
        <f>VLOOKUP(B378,'[1]Base de datos'!$B:$E,4,FALSE)</f>
        <v>#N/A</v>
      </c>
    </row>
    <row r="379" spans="2:6" x14ac:dyDescent="0.25">
      <c r="B379" s="24">
        <v>3012905201901</v>
      </c>
      <c r="C379" s="17"/>
      <c r="D379" s="5" t="e">
        <f>VLOOKUP(B379,'[1]Base de datos'!$B:$F,2,FALSE)</f>
        <v>#N/A</v>
      </c>
      <c r="E379" t="e">
        <f>VLOOKUP(B379,'[1]Base de datos'!$B:$E,3,FALSE)</f>
        <v>#N/A</v>
      </c>
      <c r="F379" t="e">
        <f>VLOOKUP(B379,'[1]Base de datos'!$B:$E,4,FALSE)</f>
        <v>#N/A</v>
      </c>
    </row>
    <row r="380" spans="2:6" x14ac:dyDescent="0.25">
      <c r="B380" s="24">
        <v>3012905201902</v>
      </c>
      <c r="C380" s="17"/>
      <c r="D380" s="5" t="e">
        <f>VLOOKUP(B380,'[1]Base de datos'!$B:$F,2,FALSE)</f>
        <v>#N/A</v>
      </c>
      <c r="E380" t="e">
        <f>VLOOKUP(B380,'[1]Base de datos'!$B:$E,3,FALSE)</f>
        <v>#N/A</v>
      </c>
      <c r="F380" t="e">
        <f>VLOOKUP(B380,'[1]Base de datos'!$B:$E,4,FALSE)</f>
        <v>#N/A</v>
      </c>
    </row>
    <row r="381" spans="2:6" x14ac:dyDescent="0.25">
      <c r="B381" s="24">
        <v>3012905201903</v>
      </c>
      <c r="C381" s="17"/>
      <c r="D381" s="5" t="e">
        <f>VLOOKUP(B381,'[1]Base de datos'!$B:$F,2,FALSE)</f>
        <v>#N/A</v>
      </c>
      <c r="E381" t="e">
        <f>VLOOKUP(B381,'[1]Base de datos'!$B:$E,3,FALSE)</f>
        <v>#N/A</v>
      </c>
      <c r="F381" t="e">
        <f>VLOOKUP(B381,'[1]Base de datos'!$B:$E,4,FALSE)</f>
        <v>#N/A</v>
      </c>
    </row>
    <row r="382" spans="2:6" x14ac:dyDescent="0.25">
      <c r="B382" s="24">
        <v>3012905201904</v>
      </c>
      <c r="C382" s="17"/>
      <c r="D382" s="5" t="e">
        <f>VLOOKUP(B382,'[1]Base de datos'!$B:$F,2,FALSE)</f>
        <v>#N/A</v>
      </c>
      <c r="E382" t="e">
        <f>VLOOKUP(B382,'[1]Base de datos'!$B:$E,3,FALSE)</f>
        <v>#N/A</v>
      </c>
      <c r="F382" t="e">
        <f>VLOOKUP(B382,'[1]Base de datos'!$B:$E,4,FALSE)</f>
        <v>#N/A</v>
      </c>
    </row>
    <row r="383" spans="2:6" x14ac:dyDescent="0.25">
      <c r="B383" s="24">
        <v>3012905201905</v>
      </c>
      <c r="C383" s="17"/>
      <c r="D383" s="5" t="e">
        <f>VLOOKUP(B383,'[1]Base de datos'!$B:$F,2,FALSE)</f>
        <v>#N/A</v>
      </c>
      <c r="E383" t="e">
        <f>VLOOKUP(B383,'[1]Base de datos'!$B:$E,3,FALSE)</f>
        <v>#N/A</v>
      </c>
      <c r="F383" t="e">
        <f>VLOOKUP(B383,'[1]Base de datos'!$B:$E,4,FALSE)</f>
        <v>#N/A</v>
      </c>
    </row>
    <row r="384" spans="2:6" x14ac:dyDescent="0.25">
      <c r="B384" s="24">
        <v>3012905201906</v>
      </c>
      <c r="C384" s="17"/>
      <c r="D384" s="5" t="e">
        <f>VLOOKUP(B384,'[1]Base de datos'!$B:$F,2,FALSE)</f>
        <v>#N/A</v>
      </c>
      <c r="E384" t="e">
        <f>VLOOKUP(B384,'[1]Base de datos'!$B:$E,3,FALSE)</f>
        <v>#N/A</v>
      </c>
      <c r="F384" t="e">
        <f>VLOOKUP(B384,'[1]Base de datos'!$B:$E,4,FALSE)</f>
        <v>#N/A</v>
      </c>
    </row>
    <row r="385" spans="2:6" x14ac:dyDescent="0.25">
      <c r="B385" s="24">
        <v>3012905201907</v>
      </c>
      <c r="C385" s="17"/>
      <c r="D385" s="5" t="e">
        <f>VLOOKUP(B385,'[1]Base de datos'!$B:$F,2,FALSE)</f>
        <v>#N/A</v>
      </c>
      <c r="E385" t="e">
        <f>VLOOKUP(B385,'[1]Base de datos'!$B:$E,3,FALSE)</f>
        <v>#N/A</v>
      </c>
      <c r="F385" t="e">
        <f>VLOOKUP(B385,'[1]Base de datos'!$B:$E,4,FALSE)</f>
        <v>#N/A</v>
      </c>
    </row>
    <row r="386" spans="2:6" x14ac:dyDescent="0.25">
      <c r="B386" s="24">
        <v>3012905201908</v>
      </c>
      <c r="C386" s="17"/>
      <c r="D386" s="5" t="e">
        <f>VLOOKUP(B386,'[1]Base de datos'!$B:$F,2,FALSE)</f>
        <v>#N/A</v>
      </c>
      <c r="E386" t="e">
        <f>VLOOKUP(B386,'[1]Base de datos'!$B:$E,3,FALSE)</f>
        <v>#N/A</v>
      </c>
      <c r="F386" t="e">
        <f>VLOOKUP(B386,'[1]Base de datos'!$B:$E,4,FALSE)</f>
        <v>#N/A</v>
      </c>
    </row>
    <row r="387" spans="2:6" x14ac:dyDescent="0.25">
      <c r="B387" s="24">
        <v>3012905201909</v>
      </c>
      <c r="C387" s="17"/>
      <c r="D387" s="5" t="e">
        <f>VLOOKUP(B387,'[1]Base de datos'!$B:$F,2,FALSE)</f>
        <v>#N/A</v>
      </c>
      <c r="E387" t="e">
        <f>VLOOKUP(B387,'[1]Base de datos'!$B:$E,3,FALSE)</f>
        <v>#N/A</v>
      </c>
      <c r="F387" t="e">
        <f>VLOOKUP(B387,'[1]Base de datos'!$B:$E,4,FALSE)</f>
        <v>#N/A</v>
      </c>
    </row>
    <row r="388" spans="2:6" x14ac:dyDescent="0.25">
      <c r="B388" s="24">
        <v>3012905201910</v>
      </c>
      <c r="C388" s="17"/>
      <c r="D388" s="5" t="e">
        <f>VLOOKUP(B388,'[1]Base de datos'!$B:$F,2,FALSE)</f>
        <v>#N/A</v>
      </c>
      <c r="E388" t="e">
        <f>VLOOKUP(B388,'[1]Base de datos'!$B:$E,3,FALSE)</f>
        <v>#N/A</v>
      </c>
      <c r="F388" t="e">
        <f>VLOOKUP(B388,'[1]Base de datos'!$B:$E,4,FALSE)</f>
        <v>#N/A</v>
      </c>
    </row>
    <row r="389" spans="2:6" x14ac:dyDescent="0.25">
      <c r="B389" s="24">
        <v>3012905201911</v>
      </c>
      <c r="C389" s="17"/>
      <c r="D389" s="5" t="e">
        <f>VLOOKUP(B389,'[1]Base de datos'!$B:$F,2,FALSE)</f>
        <v>#N/A</v>
      </c>
      <c r="E389" t="e">
        <f>VLOOKUP(B389,'[1]Base de datos'!$B:$E,3,FALSE)</f>
        <v>#N/A</v>
      </c>
      <c r="F389" t="e">
        <f>VLOOKUP(B389,'[1]Base de datos'!$B:$E,4,FALSE)</f>
        <v>#N/A</v>
      </c>
    </row>
    <row r="390" spans="2:6" x14ac:dyDescent="0.25">
      <c r="B390" s="24">
        <v>3012905201912</v>
      </c>
      <c r="C390" s="17"/>
      <c r="D390" s="5" t="e">
        <f>VLOOKUP(B390,'[1]Base de datos'!$B:$F,2,FALSE)</f>
        <v>#N/A</v>
      </c>
      <c r="E390" t="e">
        <f>VLOOKUP(B390,'[1]Base de datos'!$B:$E,3,FALSE)</f>
        <v>#N/A</v>
      </c>
      <c r="F390" t="e">
        <f>VLOOKUP(B390,'[1]Base de datos'!$B:$E,4,FALSE)</f>
        <v>#N/A</v>
      </c>
    </row>
    <row r="391" spans="2:6" x14ac:dyDescent="0.25">
      <c r="B391" s="24">
        <v>3012905201913</v>
      </c>
      <c r="C391" s="17"/>
      <c r="D391" s="5" t="e">
        <f>VLOOKUP(B391,'[1]Base de datos'!$B:$F,2,FALSE)</f>
        <v>#N/A</v>
      </c>
      <c r="E391" t="e">
        <f>VLOOKUP(B391,'[1]Base de datos'!$B:$E,3,FALSE)</f>
        <v>#N/A</v>
      </c>
      <c r="F391" t="e">
        <f>VLOOKUP(B391,'[1]Base de datos'!$B:$E,4,FALSE)</f>
        <v>#N/A</v>
      </c>
    </row>
    <row r="392" spans="2:6" x14ac:dyDescent="0.25">
      <c r="B392" s="24">
        <v>3012905201914</v>
      </c>
      <c r="C392" s="17"/>
      <c r="D392" s="5" t="e">
        <f>VLOOKUP(B392,'[1]Base de datos'!$B:$F,2,FALSE)</f>
        <v>#N/A</v>
      </c>
      <c r="E392" t="e">
        <f>VLOOKUP(B392,'[1]Base de datos'!$B:$E,3,FALSE)</f>
        <v>#N/A</v>
      </c>
      <c r="F392" t="e">
        <f>VLOOKUP(B392,'[1]Base de datos'!$B:$E,4,FALSE)</f>
        <v>#N/A</v>
      </c>
    </row>
    <row r="393" spans="2:6" x14ac:dyDescent="0.25">
      <c r="B393" s="24">
        <v>3012905201915</v>
      </c>
      <c r="C393" s="17"/>
      <c r="D393" s="5" t="e">
        <f>VLOOKUP(B393,'[1]Base de datos'!$B:$F,2,FALSE)</f>
        <v>#N/A</v>
      </c>
      <c r="E393" t="e">
        <f>VLOOKUP(B393,'[1]Base de datos'!$B:$E,3,FALSE)</f>
        <v>#N/A</v>
      </c>
      <c r="F393" t="e">
        <f>VLOOKUP(B393,'[1]Base de datos'!$B:$E,4,FALSE)</f>
        <v>#N/A</v>
      </c>
    </row>
    <row r="394" spans="2:6" x14ac:dyDescent="0.25">
      <c r="B394" s="24">
        <v>3012905201916</v>
      </c>
      <c r="C394" s="17"/>
      <c r="D394" s="5" t="e">
        <f>VLOOKUP(B394,'[1]Base de datos'!$B:$F,2,FALSE)</f>
        <v>#N/A</v>
      </c>
      <c r="E394" t="e">
        <f>VLOOKUP(B394,'[1]Base de datos'!$B:$E,3,FALSE)</f>
        <v>#N/A</v>
      </c>
      <c r="F394" t="e">
        <f>VLOOKUP(B394,'[1]Base de datos'!$B:$E,4,FALSE)</f>
        <v>#N/A</v>
      </c>
    </row>
    <row r="395" spans="2:6" x14ac:dyDescent="0.25">
      <c r="B395" s="24">
        <v>3012905201917</v>
      </c>
      <c r="C395" s="17"/>
      <c r="D395" s="5" t="e">
        <f>VLOOKUP(B395,'[1]Base de datos'!$B:$F,2,FALSE)</f>
        <v>#N/A</v>
      </c>
      <c r="E395" t="e">
        <f>VLOOKUP(B395,'[1]Base de datos'!$B:$E,3,FALSE)</f>
        <v>#N/A</v>
      </c>
      <c r="F395" t="e">
        <f>VLOOKUP(B395,'[1]Base de datos'!$B:$E,4,FALSE)</f>
        <v>#N/A</v>
      </c>
    </row>
    <row r="396" spans="2:6" x14ac:dyDescent="0.25">
      <c r="B396" s="24">
        <v>3012905201918</v>
      </c>
      <c r="C396" s="17"/>
      <c r="D396" s="5" t="e">
        <f>VLOOKUP(B396,'[1]Base de datos'!$B:$F,2,FALSE)</f>
        <v>#N/A</v>
      </c>
      <c r="E396" t="e">
        <f>VLOOKUP(B396,'[1]Base de datos'!$B:$E,3,FALSE)</f>
        <v>#N/A</v>
      </c>
      <c r="F396" t="e">
        <f>VLOOKUP(B396,'[1]Base de datos'!$B:$E,4,FALSE)</f>
        <v>#N/A</v>
      </c>
    </row>
    <row r="397" spans="2:6" x14ac:dyDescent="0.25">
      <c r="B397" s="24">
        <v>3012905201919</v>
      </c>
      <c r="C397" s="17"/>
      <c r="D397" s="5" t="e">
        <f>VLOOKUP(B397,'[1]Base de datos'!$B:$F,2,FALSE)</f>
        <v>#N/A</v>
      </c>
      <c r="E397" t="e">
        <f>VLOOKUP(B397,'[1]Base de datos'!$B:$E,3,FALSE)</f>
        <v>#N/A</v>
      </c>
      <c r="F397" t="e">
        <f>VLOOKUP(B397,'[1]Base de datos'!$B:$E,4,FALSE)</f>
        <v>#N/A</v>
      </c>
    </row>
    <row r="398" spans="2:6" x14ac:dyDescent="0.25">
      <c r="B398" s="24">
        <v>3012905201920</v>
      </c>
      <c r="C398" s="17"/>
      <c r="D398" s="5" t="e">
        <f>VLOOKUP(B398,'[1]Base de datos'!$B:$F,2,FALSE)</f>
        <v>#N/A</v>
      </c>
      <c r="E398" t="e">
        <f>VLOOKUP(B398,'[1]Base de datos'!$B:$E,3,FALSE)</f>
        <v>#N/A</v>
      </c>
      <c r="F398" t="e">
        <f>VLOOKUP(B398,'[1]Base de datos'!$B:$E,4,FALSE)</f>
        <v>#N/A</v>
      </c>
    </row>
    <row r="399" spans="2:6" x14ac:dyDescent="0.25">
      <c r="B399" s="24">
        <v>3012905201921</v>
      </c>
      <c r="C399" s="17"/>
      <c r="D399" s="5" t="e">
        <f>VLOOKUP(B399,'[1]Base de datos'!$B:$F,2,FALSE)</f>
        <v>#N/A</v>
      </c>
      <c r="E399" t="e">
        <f>VLOOKUP(B399,'[1]Base de datos'!$B:$E,3,FALSE)</f>
        <v>#N/A</v>
      </c>
      <c r="F399" t="e">
        <f>VLOOKUP(B399,'[1]Base de datos'!$B:$E,4,FALSE)</f>
        <v>#N/A</v>
      </c>
    </row>
    <row r="400" spans="2:6" x14ac:dyDescent="0.25">
      <c r="B400" s="24">
        <v>3012905201922</v>
      </c>
      <c r="C400" s="17"/>
      <c r="D400" s="5" t="e">
        <f>VLOOKUP(B400,'[1]Base de datos'!$B:$F,2,FALSE)</f>
        <v>#N/A</v>
      </c>
      <c r="E400" t="e">
        <f>VLOOKUP(B400,'[1]Base de datos'!$B:$E,3,FALSE)</f>
        <v>#N/A</v>
      </c>
      <c r="F400" t="e">
        <f>VLOOKUP(B400,'[1]Base de datos'!$B:$E,4,FALSE)</f>
        <v>#N/A</v>
      </c>
    </row>
    <row r="401" spans="2:6" x14ac:dyDescent="0.25">
      <c r="B401" s="24">
        <v>3012905201923</v>
      </c>
      <c r="C401" s="17"/>
      <c r="D401" s="5" t="e">
        <f>VLOOKUP(B401,'[1]Base de datos'!$B:$F,2,FALSE)</f>
        <v>#N/A</v>
      </c>
      <c r="E401" t="e">
        <f>VLOOKUP(B401,'[1]Base de datos'!$B:$E,3,FALSE)</f>
        <v>#N/A</v>
      </c>
      <c r="F401" t="e">
        <f>VLOOKUP(B401,'[1]Base de datos'!$B:$E,4,FALSE)</f>
        <v>#N/A</v>
      </c>
    </row>
    <row r="402" spans="2:6" x14ac:dyDescent="0.25">
      <c r="B402" s="24">
        <v>3012905201924</v>
      </c>
      <c r="C402" s="17"/>
      <c r="D402" s="5" t="e">
        <f>VLOOKUP(B402,'[1]Base de datos'!$B:$F,2,FALSE)</f>
        <v>#N/A</v>
      </c>
      <c r="E402" t="e">
        <f>VLOOKUP(B402,'[1]Base de datos'!$B:$E,3,FALSE)</f>
        <v>#N/A</v>
      </c>
      <c r="F402" t="e">
        <f>VLOOKUP(B402,'[1]Base de datos'!$B:$E,4,FALSE)</f>
        <v>#N/A</v>
      </c>
    </row>
    <row r="403" spans="2:6" x14ac:dyDescent="0.25">
      <c r="B403" s="24">
        <v>3012905201925</v>
      </c>
      <c r="C403" s="17"/>
      <c r="D403" s="5" t="e">
        <f>VLOOKUP(B403,'[1]Base de datos'!$B:$F,2,FALSE)</f>
        <v>#N/A</v>
      </c>
      <c r="E403" t="e">
        <f>VLOOKUP(B403,'[1]Base de datos'!$B:$E,3,FALSE)</f>
        <v>#N/A</v>
      </c>
      <c r="F403" t="e">
        <f>VLOOKUP(B403,'[1]Base de datos'!$B:$E,4,FALSE)</f>
        <v>#N/A</v>
      </c>
    </row>
    <row r="404" spans="2:6" x14ac:dyDescent="0.25">
      <c r="B404" s="24">
        <v>3012905201926</v>
      </c>
      <c r="C404" s="17"/>
      <c r="D404" s="5" t="e">
        <f>VLOOKUP(B404,'[1]Base de datos'!$B:$F,2,FALSE)</f>
        <v>#N/A</v>
      </c>
      <c r="E404" t="e">
        <f>VLOOKUP(B404,'[1]Base de datos'!$B:$E,3,FALSE)</f>
        <v>#N/A</v>
      </c>
      <c r="F404" t="e">
        <f>VLOOKUP(B404,'[1]Base de datos'!$B:$E,4,FALSE)</f>
        <v>#N/A</v>
      </c>
    </row>
    <row r="405" spans="2:6" x14ac:dyDescent="0.25">
      <c r="B405" s="24">
        <v>3012905201927</v>
      </c>
      <c r="C405" s="17"/>
      <c r="D405" s="5" t="e">
        <f>VLOOKUP(B405,'[1]Base de datos'!$B:$F,2,FALSE)</f>
        <v>#N/A</v>
      </c>
      <c r="E405" t="e">
        <f>VLOOKUP(B405,'[1]Base de datos'!$B:$E,3,FALSE)</f>
        <v>#N/A</v>
      </c>
      <c r="F405" t="e">
        <f>VLOOKUP(B405,'[1]Base de datos'!$B:$E,4,FALSE)</f>
        <v>#N/A</v>
      </c>
    </row>
    <row r="406" spans="2:6" x14ac:dyDescent="0.25">
      <c r="B406" s="24">
        <v>3012905201928</v>
      </c>
      <c r="C406" s="17"/>
      <c r="D406" s="5" t="e">
        <f>VLOOKUP(B406,'[1]Base de datos'!$B:$F,2,FALSE)</f>
        <v>#N/A</v>
      </c>
      <c r="E406" t="e">
        <f>VLOOKUP(B406,'[1]Base de datos'!$B:$E,3,FALSE)</f>
        <v>#N/A</v>
      </c>
      <c r="F406" t="e">
        <f>VLOOKUP(B406,'[1]Base de datos'!$B:$E,4,FALSE)</f>
        <v>#N/A</v>
      </c>
    </row>
    <row r="407" spans="2:6" x14ac:dyDescent="0.25">
      <c r="B407" s="24">
        <v>3012905201929</v>
      </c>
      <c r="C407" s="17"/>
      <c r="D407" s="5" t="e">
        <f>VLOOKUP(B407,'[1]Base de datos'!$B:$F,2,FALSE)</f>
        <v>#N/A</v>
      </c>
      <c r="E407" t="e">
        <f>VLOOKUP(B407,'[1]Base de datos'!$B:$E,3,FALSE)</f>
        <v>#N/A</v>
      </c>
      <c r="F407" t="e">
        <f>VLOOKUP(B407,'[1]Base de datos'!$B:$E,4,FALSE)</f>
        <v>#N/A</v>
      </c>
    </row>
    <row r="408" spans="2:6" x14ac:dyDescent="0.25">
      <c r="B408" s="24">
        <v>3012905201930</v>
      </c>
      <c r="C408" s="17"/>
      <c r="D408" s="5" t="e">
        <f>VLOOKUP(B408,'[1]Base de datos'!$B:$F,2,FALSE)</f>
        <v>#N/A</v>
      </c>
      <c r="E408" t="e">
        <f>VLOOKUP(B408,'[1]Base de datos'!$B:$E,3,FALSE)</f>
        <v>#N/A</v>
      </c>
      <c r="F408" t="e">
        <f>VLOOKUP(B408,'[1]Base de datos'!$B:$E,4,FALSE)</f>
        <v>#N/A</v>
      </c>
    </row>
    <row r="409" spans="2:6" x14ac:dyDescent="0.25">
      <c r="B409" s="24"/>
      <c r="C409" s="17"/>
      <c r="D409" s="5" t="e">
        <f>VLOOKUP(B409,'[1]Base de datos'!$B:$F,2,FALSE)</f>
        <v>#N/A</v>
      </c>
      <c r="E409" t="e">
        <f>VLOOKUP(B409,'[1]Base de datos'!$B:$E,3,FALSE)</f>
        <v>#N/A</v>
      </c>
      <c r="F409" t="e">
        <f>VLOOKUP(B409,'[1]Base de datos'!$B:$E,4,FALSE)</f>
        <v>#N/A</v>
      </c>
    </row>
    <row r="410" spans="2:6" x14ac:dyDescent="0.25">
      <c r="B410" s="24"/>
      <c r="C410" s="17"/>
      <c r="D410" s="5" t="e">
        <f>VLOOKUP(B410,'[1]Base de datos'!$B:$F,2,FALSE)</f>
        <v>#N/A</v>
      </c>
      <c r="E410" t="e">
        <f>VLOOKUP(B410,'[1]Base de datos'!$B:$E,3,FALSE)</f>
        <v>#N/A</v>
      </c>
      <c r="F410" t="e">
        <f>VLOOKUP(B410,'[1]Base de datos'!$B:$E,4,FALSE)</f>
        <v>#N/A</v>
      </c>
    </row>
    <row r="411" spans="2:6" x14ac:dyDescent="0.25">
      <c r="B411" s="24"/>
      <c r="C411" s="17"/>
      <c r="D411" s="5" t="e">
        <f>VLOOKUP(B411,'[1]Base de datos'!$B:$F,2,FALSE)</f>
        <v>#N/A</v>
      </c>
      <c r="E411" t="e">
        <f>VLOOKUP(B411,'[1]Base de datos'!$B:$E,3,FALSE)</f>
        <v>#N/A</v>
      </c>
      <c r="F411" t="e">
        <f>VLOOKUP(B411,'[1]Base de datos'!$B:$E,4,FALSE)</f>
        <v>#N/A</v>
      </c>
    </row>
    <row r="412" spans="2:6" x14ac:dyDescent="0.25">
      <c r="B412" s="24"/>
      <c r="C412" s="17"/>
      <c r="D412" s="5" t="e">
        <f>VLOOKUP(B412,'[1]Base de datos'!$B:$F,2,FALSE)</f>
        <v>#N/A</v>
      </c>
      <c r="E412" t="e">
        <f>VLOOKUP(B412,'[1]Base de datos'!$B:$E,3,FALSE)</f>
        <v>#N/A</v>
      </c>
      <c r="F412" t="e">
        <f>VLOOKUP(B412,'[1]Base de datos'!$B:$E,4,FALSE)</f>
        <v>#N/A</v>
      </c>
    </row>
    <row r="413" spans="2:6" x14ac:dyDescent="0.25">
      <c r="B413" s="24"/>
      <c r="C413" s="17"/>
      <c r="D413" s="5" t="e">
        <f>VLOOKUP(B413,'[1]Base de datos'!$B:$F,2,FALSE)</f>
        <v>#N/A</v>
      </c>
      <c r="E413" t="e">
        <f>VLOOKUP(B413,'[1]Base de datos'!$B:$E,3,FALSE)</f>
        <v>#N/A</v>
      </c>
      <c r="F413" t="e">
        <f>VLOOKUP(B413,'[1]Base de datos'!$B:$E,4,FALSE)</f>
        <v>#N/A</v>
      </c>
    </row>
    <row r="414" spans="2:6" x14ac:dyDescent="0.25">
      <c r="B414" s="24"/>
      <c r="C414" s="17"/>
      <c r="D414" s="5" t="e">
        <f>VLOOKUP(B414,'[1]Base de datos'!$B:$F,2,FALSE)</f>
        <v>#N/A</v>
      </c>
      <c r="E414" t="e">
        <f>VLOOKUP(B414,'[1]Base de datos'!$B:$E,3,FALSE)</f>
        <v>#N/A</v>
      </c>
      <c r="F414" t="e">
        <f>VLOOKUP(B414,'[1]Base de datos'!$B:$E,4,FALSE)</f>
        <v>#N/A</v>
      </c>
    </row>
    <row r="415" spans="2:6" x14ac:dyDescent="0.25">
      <c r="B415" s="24"/>
      <c r="C415" s="17"/>
      <c r="D415" s="5" t="e">
        <f>VLOOKUP(B415,'[1]Base de datos'!$B:$F,2,FALSE)</f>
        <v>#N/A</v>
      </c>
      <c r="E415" t="e">
        <f>VLOOKUP(B415,'[1]Base de datos'!$B:$E,3,FALSE)</f>
        <v>#N/A</v>
      </c>
      <c r="F415" t="e">
        <f>VLOOKUP(B415,'[1]Base de datos'!$B:$E,4,FALSE)</f>
        <v>#N/A</v>
      </c>
    </row>
    <row r="416" spans="2:6" x14ac:dyDescent="0.25">
      <c r="B416" s="24"/>
      <c r="C416" s="17"/>
      <c r="D416" s="5" t="e">
        <f>VLOOKUP(B416,'[1]Base de datos'!$B:$F,2,FALSE)</f>
        <v>#N/A</v>
      </c>
      <c r="E416" t="e">
        <f>VLOOKUP(B416,'[1]Base de datos'!$B:$E,3,FALSE)</f>
        <v>#N/A</v>
      </c>
      <c r="F416" t="e">
        <f>VLOOKUP(B416,'[1]Base de datos'!$B:$E,4,FALSE)</f>
        <v>#N/A</v>
      </c>
    </row>
    <row r="417" spans="2:6" x14ac:dyDescent="0.25">
      <c r="B417" s="24"/>
      <c r="C417" s="17"/>
      <c r="D417" s="5" t="e">
        <f>VLOOKUP(B417,'[1]Base de datos'!$B:$F,2,FALSE)</f>
        <v>#N/A</v>
      </c>
      <c r="E417" t="e">
        <f>VLOOKUP(B417,'[1]Base de datos'!$B:$E,3,FALSE)</f>
        <v>#N/A</v>
      </c>
      <c r="F417" t="e">
        <f>VLOOKUP(B417,'[1]Base de datos'!$B:$E,4,FALSE)</f>
        <v>#N/A</v>
      </c>
    </row>
    <row r="418" spans="2:6" x14ac:dyDescent="0.25">
      <c r="B418" s="24"/>
      <c r="C418" s="17"/>
      <c r="D418" s="5" t="e">
        <f>VLOOKUP(B418,'[1]Base de datos'!$B:$F,2,FALSE)</f>
        <v>#N/A</v>
      </c>
      <c r="E418" t="e">
        <f>VLOOKUP(B418,'[1]Base de datos'!$B:$E,3,FALSE)</f>
        <v>#N/A</v>
      </c>
      <c r="F418" t="e">
        <f>VLOOKUP(B418,'[1]Base de datos'!$B:$E,4,FALSE)</f>
        <v>#N/A</v>
      </c>
    </row>
    <row r="419" spans="2:6" x14ac:dyDescent="0.25">
      <c r="B419" s="24"/>
      <c r="C419" s="17"/>
      <c r="D419" s="5" t="e">
        <f>VLOOKUP(B419,'[1]Base de datos'!$B:$F,2,FALSE)</f>
        <v>#N/A</v>
      </c>
      <c r="E419" t="e">
        <f>VLOOKUP(B419,'[1]Base de datos'!$B:$E,3,FALSE)</f>
        <v>#N/A</v>
      </c>
      <c r="F419" t="e">
        <f>VLOOKUP(B419,'[1]Base de datos'!$B:$E,4,FALSE)</f>
        <v>#N/A</v>
      </c>
    </row>
    <row r="420" spans="2:6" x14ac:dyDescent="0.25">
      <c r="B420" s="24"/>
      <c r="C420" s="17"/>
      <c r="D420" s="5" t="e">
        <f>VLOOKUP(B420,'[1]Base de datos'!$B:$F,2,FALSE)</f>
        <v>#N/A</v>
      </c>
      <c r="E420" t="e">
        <f>VLOOKUP(B420,'[1]Base de datos'!$B:$E,3,FALSE)</f>
        <v>#N/A</v>
      </c>
      <c r="F420" t="e">
        <f>VLOOKUP(B420,'[1]Base de datos'!$B:$E,4,FALSE)</f>
        <v>#N/A</v>
      </c>
    </row>
    <row r="421" spans="2:6" x14ac:dyDescent="0.25">
      <c r="B421" s="24"/>
      <c r="C421" s="17"/>
      <c r="D421" s="5" t="e">
        <f>VLOOKUP(B421,'[1]Base de datos'!$B:$F,2,FALSE)</f>
        <v>#N/A</v>
      </c>
      <c r="E421" t="e">
        <f>VLOOKUP(B421,'[1]Base de datos'!$B:$E,3,FALSE)</f>
        <v>#N/A</v>
      </c>
      <c r="F421" t="e">
        <f>VLOOKUP(B421,'[1]Base de datos'!$B:$E,4,FALSE)</f>
        <v>#N/A</v>
      </c>
    </row>
    <row r="422" spans="2:6" x14ac:dyDescent="0.25">
      <c r="B422" s="24"/>
      <c r="C422" s="17"/>
      <c r="D422" s="5" t="e">
        <f>VLOOKUP(B422,'[1]Base de datos'!$B:$F,2,FALSE)</f>
        <v>#N/A</v>
      </c>
      <c r="E422" t="e">
        <f>VLOOKUP(B422,'[1]Base de datos'!$B:$E,3,FALSE)</f>
        <v>#N/A</v>
      </c>
      <c r="F422" t="e">
        <f>VLOOKUP(B422,'[1]Base de datos'!$B:$E,4,FALSE)</f>
        <v>#N/A</v>
      </c>
    </row>
    <row r="423" spans="2:6" x14ac:dyDescent="0.25">
      <c r="B423" s="24"/>
      <c r="C423" s="17"/>
      <c r="D423" s="5" t="e">
        <f>VLOOKUP(B423,'[1]Base de datos'!$B:$F,2,FALSE)</f>
        <v>#N/A</v>
      </c>
      <c r="E423" t="e">
        <f>VLOOKUP(B423,'[1]Base de datos'!$B:$E,3,FALSE)</f>
        <v>#N/A</v>
      </c>
      <c r="F423" t="e">
        <f>VLOOKUP(B423,'[1]Base de datos'!$B:$E,4,FALSE)</f>
        <v>#N/A</v>
      </c>
    </row>
    <row r="424" spans="2:6" x14ac:dyDescent="0.25">
      <c r="B424" s="24"/>
      <c r="C424" s="17"/>
      <c r="D424" s="5" t="e">
        <f>VLOOKUP(B424,'[1]Base de datos'!$B:$F,2,FALSE)</f>
        <v>#N/A</v>
      </c>
      <c r="E424" t="e">
        <f>VLOOKUP(B424,'[1]Base de datos'!$B:$E,3,FALSE)</f>
        <v>#N/A</v>
      </c>
      <c r="F424" t="e">
        <f>VLOOKUP(B424,'[1]Base de datos'!$B:$E,4,FALSE)</f>
        <v>#N/A</v>
      </c>
    </row>
    <row r="425" spans="2:6" x14ac:dyDescent="0.25">
      <c r="B425" s="24"/>
      <c r="C425" s="17"/>
      <c r="D425" s="5" t="e">
        <f>VLOOKUP(B425,'[1]Base de datos'!$B:$F,2,FALSE)</f>
        <v>#N/A</v>
      </c>
      <c r="E425" t="e">
        <f>VLOOKUP(B425,'[1]Base de datos'!$B:$E,3,FALSE)</f>
        <v>#N/A</v>
      </c>
      <c r="F425" t="e">
        <f>VLOOKUP(B425,'[1]Base de datos'!$B:$E,4,FALSE)</f>
        <v>#N/A</v>
      </c>
    </row>
    <row r="426" spans="2:6" x14ac:dyDescent="0.25">
      <c r="B426" s="24"/>
      <c r="C426" s="17"/>
      <c r="D426" s="5" t="e">
        <f>VLOOKUP(B426,'[1]Base de datos'!$B:$F,2,FALSE)</f>
        <v>#N/A</v>
      </c>
      <c r="E426" t="e">
        <f>VLOOKUP(B426,'[1]Base de datos'!$B:$E,3,FALSE)</f>
        <v>#N/A</v>
      </c>
      <c r="F426" t="e">
        <f>VLOOKUP(B426,'[1]Base de datos'!$B:$E,4,FALSE)</f>
        <v>#N/A</v>
      </c>
    </row>
    <row r="427" spans="2:6" x14ac:dyDescent="0.25">
      <c r="B427" s="24"/>
      <c r="C427" s="17"/>
      <c r="D427" s="5" t="e">
        <f>VLOOKUP(B427,'[1]Base de datos'!$B:$F,2,FALSE)</f>
        <v>#N/A</v>
      </c>
      <c r="E427" t="e">
        <f>VLOOKUP(B427,'[1]Base de datos'!$B:$E,3,FALSE)</f>
        <v>#N/A</v>
      </c>
      <c r="F427" t="e">
        <f>VLOOKUP(B427,'[1]Base de datos'!$B:$E,4,FALSE)</f>
        <v>#N/A</v>
      </c>
    </row>
    <row r="428" spans="2:6" x14ac:dyDescent="0.25">
      <c r="B428" s="24"/>
      <c r="C428" s="17"/>
      <c r="D428" s="5" t="e">
        <f>VLOOKUP(B428,'[1]Base de datos'!$B:$F,2,FALSE)</f>
        <v>#N/A</v>
      </c>
      <c r="E428" t="e">
        <f>VLOOKUP(B428,'[1]Base de datos'!$B:$E,3,FALSE)</f>
        <v>#N/A</v>
      </c>
      <c r="F428" t="e">
        <f>VLOOKUP(B428,'[1]Base de datos'!$B:$E,4,FALSE)</f>
        <v>#N/A</v>
      </c>
    </row>
    <row r="429" spans="2:6" x14ac:dyDescent="0.25">
      <c r="B429" s="24"/>
      <c r="C429" s="17"/>
      <c r="D429" s="5" t="e">
        <f>VLOOKUP(B429,'[1]Base de datos'!$B:$F,2,FALSE)</f>
        <v>#N/A</v>
      </c>
      <c r="E429" t="e">
        <f>VLOOKUP(B429,'[1]Base de datos'!$B:$E,3,FALSE)</f>
        <v>#N/A</v>
      </c>
      <c r="F429" t="e">
        <f>VLOOKUP(B429,'[1]Base de datos'!$B:$E,4,FALSE)</f>
        <v>#N/A</v>
      </c>
    </row>
    <row r="430" spans="2:6" x14ac:dyDescent="0.25">
      <c r="B430" s="24"/>
      <c r="C430" s="17"/>
      <c r="D430" s="5" t="e">
        <f>VLOOKUP(B430,'[1]Base de datos'!$B:$F,2,FALSE)</f>
        <v>#N/A</v>
      </c>
      <c r="E430" t="e">
        <f>VLOOKUP(B430,'[1]Base de datos'!$B:$E,3,FALSE)</f>
        <v>#N/A</v>
      </c>
      <c r="F430" t="e">
        <f>VLOOKUP(B430,'[1]Base de datos'!$B:$E,4,FALSE)</f>
        <v>#N/A</v>
      </c>
    </row>
    <row r="431" spans="2:6" x14ac:dyDescent="0.25">
      <c r="B431" s="24"/>
      <c r="C431" s="17"/>
      <c r="D431" s="5" t="e">
        <f>VLOOKUP(B431,'[1]Base de datos'!$B:$F,2,FALSE)</f>
        <v>#N/A</v>
      </c>
      <c r="E431" t="e">
        <f>VLOOKUP(B431,'[1]Base de datos'!$B:$E,3,FALSE)</f>
        <v>#N/A</v>
      </c>
      <c r="F431" t="e">
        <f>VLOOKUP(B431,'[1]Base de datos'!$B:$E,4,FALSE)</f>
        <v>#N/A</v>
      </c>
    </row>
    <row r="432" spans="2:6" x14ac:dyDescent="0.25">
      <c r="B432" s="24"/>
      <c r="C432" s="17"/>
      <c r="D432" s="5" t="e">
        <f>VLOOKUP(B432,'[1]Base de datos'!$B:$F,2,FALSE)</f>
        <v>#N/A</v>
      </c>
      <c r="E432" t="e">
        <f>VLOOKUP(B432,'[1]Base de datos'!$B:$E,3,FALSE)</f>
        <v>#N/A</v>
      </c>
      <c r="F432" t="e">
        <f>VLOOKUP(B432,'[1]Base de datos'!$B:$E,4,FALSE)</f>
        <v>#N/A</v>
      </c>
    </row>
    <row r="433" spans="2:6" x14ac:dyDescent="0.25">
      <c r="B433" s="24"/>
      <c r="C433" s="17"/>
      <c r="D433" s="5" t="e">
        <f>VLOOKUP(B433,'[1]Base de datos'!$B:$F,2,FALSE)</f>
        <v>#N/A</v>
      </c>
      <c r="E433" t="e">
        <f>VLOOKUP(B433,'[1]Base de datos'!$B:$E,3,FALSE)</f>
        <v>#N/A</v>
      </c>
      <c r="F433" t="e">
        <f>VLOOKUP(B433,'[1]Base de datos'!$B:$E,4,FALSE)</f>
        <v>#N/A</v>
      </c>
    </row>
    <row r="434" spans="2:6" x14ac:dyDescent="0.25">
      <c r="B434" s="24"/>
      <c r="C434" s="17"/>
      <c r="D434" s="5" t="e">
        <f>VLOOKUP(B434,'[1]Base de datos'!$B:$F,2,FALSE)</f>
        <v>#N/A</v>
      </c>
      <c r="E434" t="e">
        <f>VLOOKUP(B434,'[1]Base de datos'!$B:$E,3,FALSE)</f>
        <v>#N/A</v>
      </c>
      <c r="F434" t="e">
        <f>VLOOKUP(B434,'[1]Base de datos'!$B:$E,4,FALSE)</f>
        <v>#N/A</v>
      </c>
    </row>
    <row r="435" spans="2:6" x14ac:dyDescent="0.25">
      <c r="B435" s="24"/>
      <c r="C435" s="17"/>
      <c r="D435" s="5" t="e">
        <f>VLOOKUP(B435,'[1]Base de datos'!$B:$F,2,FALSE)</f>
        <v>#N/A</v>
      </c>
      <c r="E435" t="e">
        <f>VLOOKUP(B435,'[1]Base de datos'!$B:$E,3,FALSE)</f>
        <v>#N/A</v>
      </c>
      <c r="F435" t="e">
        <f>VLOOKUP(B435,'[1]Base de datos'!$B:$E,4,FALSE)</f>
        <v>#N/A</v>
      </c>
    </row>
    <row r="436" spans="2:6" x14ac:dyDescent="0.25">
      <c r="B436" s="24"/>
      <c r="C436" s="17"/>
      <c r="D436" s="5" t="e">
        <f>VLOOKUP(B436,'[1]Base de datos'!$B:$F,2,FALSE)</f>
        <v>#N/A</v>
      </c>
      <c r="E436" t="e">
        <f>VLOOKUP(B436,'[1]Base de datos'!$B:$E,3,FALSE)</f>
        <v>#N/A</v>
      </c>
      <c r="F436" t="e">
        <f>VLOOKUP(B436,'[1]Base de datos'!$B:$E,4,FALSE)</f>
        <v>#N/A</v>
      </c>
    </row>
    <row r="437" spans="2:6" x14ac:dyDescent="0.25">
      <c r="B437" s="24"/>
      <c r="C437" s="17"/>
      <c r="D437" s="5" t="e">
        <f>VLOOKUP(B437,'[1]Base de datos'!$B:$F,2,FALSE)</f>
        <v>#N/A</v>
      </c>
      <c r="E437" t="e">
        <f>VLOOKUP(B437,'[1]Base de datos'!$B:$E,3,FALSE)</f>
        <v>#N/A</v>
      </c>
      <c r="F437" t="e">
        <f>VLOOKUP(B437,'[1]Base de datos'!$B:$E,4,FALSE)</f>
        <v>#N/A</v>
      </c>
    </row>
    <row r="438" spans="2:6" x14ac:dyDescent="0.25">
      <c r="B438" s="24"/>
      <c r="C438" s="17"/>
      <c r="D438" s="5" t="e">
        <f>VLOOKUP(B438,'[1]Base de datos'!$B:$F,2,FALSE)</f>
        <v>#N/A</v>
      </c>
      <c r="E438" t="e">
        <f>VLOOKUP(B438,'[1]Base de datos'!$B:$E,3,FALSE)</f>
        <v>#N/A</v>
      </c>
      <c r="F438" t="e">
        <f>VLOOKUP(B438,'[1]Base de datos'!$B:$E,4,FALSE)</f>
        <v>#N/A</v>
      </c>
    </row>
    <row r="439" spans="2:6" x14ac:dyDescent="0.25">
      <c r="B439" s="24"/>
      <c r="C439" s="17"/>
      <c r="D439" s="5" t="e">
        <f>VLOOKUP(B439,'[1]Base de datos'!$B:$F,2,FALSE)</f>
        <v>#N/A</v>
      </c>
      <c r="E439" t="e">
        <f>VLOOKUP(B439,'[1]Base de datos'!$B:$E,3,FALSE)</f>
        <v>#N/A</v>
      </c>
      <c r="F439" t="e">
        <f>VLOOKUP(B439,'[1]Base de datos'!$B:$E,4,FALSE)</f>
        <v>#N/A</v>
      </c>
    </row>
    <row r="440" spans="2:6" x14ac:dyDescent="0.25">
      <c r="B440" s="24"/>
      <c r="C440" s="17"/>
      <c r="D440" s="5" t="e">
        <f>VLOOKUP(B440,'[1]Base de datos'!$B:$F,2,FALSE)</f>
        <v>#N/A</v>
      </c>
      <c r="E440" t="e">
        <f>VLOOKUP(B440,'[1]Base de datos'!$B:$E,3,FALSE)</f>
        <v>#N/A</v>
      </c>
      <c r="F440" t="e">
        <f>VLOOKUP(B440,'[1]Base de datos'!$B:$E,4,FALSE)</f>
        <v>#N/A</v>
      </c>
    </row>
    <row r="441" spans="2:6" x14ac:dyDescent="0.25">
      <c r="B441" s="24"/>
      <c r="C441" s="17"/>
      <c r="D441" s="5" t="e">
        <f>VLOOKUP(B441,'[1]Base de datos'!$B:$F,2,FALSE)</f>
        <v>#N/A</v>
      </c>
      <c r="E441" t="e">
        <f>VLOOKUP(B441,'[1]Base de datos'!$B:$E,3,FALSE)</f>
        <v>#N/A</v>
      </c>
      <c r="F441" t="e">
        <f>VLOOKUP(B441,'[1]Base de datos'!$B:$E,4,FALSE)</f>
        <v>#N/A</v>
      </c>
    </row>
    <row r="442" spans="2:6" x14ac:dyDescent="0.25">
      <c r="B442" s="24"/>
      <c r="C442" s="17"/>
      <c r="D442" s="5" t="e">
        <f>VLOOKUP(B442,'[1]Base de datos'!$B:$F,2,FALSE)</f>
        <v>#N/A</v>
      </c>
      <c r="E442" t="e">
        <f>VLOOKUP(B442,'[1]Base de datos'!$B:$E,3,FALSE)</f>
        <v>#N/A</v>
      </c>
      <c r="F442" t="e">
        <f>VLOOKUP(B442,'[1]Base de datos'!$B:$E,4,FALSE)</f>
        <v>#N/A</v>
      </c>
    </row>
    <row r="443" spans="2:6" x14ac:dyDescent="0.25">
      <c r="B443" s="24"/>
      <c r="C443" s="17"/>
      <c r="D443" s="5" t="e">
        <f>VLOOKUP(B443,'[1]Base de datos'!$B:$F,2,FALSE)</f>
        <v>#N/A</v>
      </c>
      <c r="E443" t="e">
        <f>VLOOKUP(B443,'[1]Base de datos'!$B:$E,3,FALSE)</f>
        <v>#N/A</v>
      </c>
      <c r="F443" t="e">
        <f>VLOOKUP(B443,'[1]Base de datos'!$B:$E,4,FALSE)</f>
        <v>#N/A</v>
      </c>
    </row>
    <row r="444" spans="2:6" x14ac:dyDescent="0.25">
      <c r="B444" s="24"/>
      <c r="C444" s="17"/>
      <c r="D444" s="5" t="e">
        <f>VLOOKUP(B444,'[1]Base de datos'!$B:$F,2,FALSE)</f>
        <v>#N/A</v>
      </c>
      <c r="E444" t="e">
        <f>VLOOKUP(B444,'[1]Base de datos'!$B:$E,3,FALSE)</f>
        <v>#N/A</v>
      </c>
      <c r="F444" t="e">
        <f>VLOOKUP(B444,'[1]Base de datos'!$B:$E,4,FALSE)</f>
        <v>#N/A</v>
      </c>
    </row>
    <row r="445" spans="2:6" x14ac:dyDescent="0.25">
      <c r="B445" s="24"/>
      <c r="C445" s="17"/>
      <c r="D445" s="5" t="e">
        <f>VLOOKUP(B445,'[1]Base de datos'!$B:$F,2,FALSE)</f>
        <v>#N/A</v>
      </c>
      <c r="E445" t="e">
        <f>VLOOKUP(B445,'[1]Base de datos'!$B:$E,3,FALSE)</f>
        <v>#N/A</v>
      </c>
      <c r="F445" t="e">
        <f>VLOOKUP(B445,'[1]Base de datos'!$B:$E,4,FALSE)</f>
        <v>#N/A</v>
      </c>
    </row>
    <row r="446" spans="2:6" x14ac:dyDescent="0.25">
      <c r="B446" s="24"/>
      <c r="C446" s="17"/>
      <c r="D446" s="5" t="e">
        <f>VLOOKUP(B446,'[1]Base de datos'!$B:$F,2,FALSE)</f>
        <v>#N/A</v>
      </c>
      <c r="E446" t="e">
        <f>VLOOKUP(B446,'[1]Base de datos'!$B:$E,3,FALSE)</f>
        <v>#N/A</v>
      </c>
      <c r="F446" t="e">
        <f>VLOOKUP(B446,'[1]Base de datos'!$B:$E,4,FALSE)</f>
        <v>#N/A</v>
      </c>
    </row>
    <row r="447" spans="2:6" x14ac:dyDescent="0.25">
      <c r="B447" s="24"/>
      <c r="C447" s="17"/>
      <c r="D447" s="5" t="e">
        <f>VLOOKUP(B447,'[1]Base de datos'!$B:$F,2,FALSE)</f>
        <v>#N/A</v>
      </c>
      <c r="E447" t="e">
        <f>VLOOKUP(B447,'[1]Base de datos'!$B:$E,3,FALSE)</f>
        <v>#N/A</v>
      </c>
      <c r="F447" t="e">
        <f>VLOOKUP(B447,'[1]Base de datos'!$B:$E,4,FALSE)</f>
        <v>#N/A</v>
      </c>
    </row>
    <row r="448" spans="2:6" x14ac:dyDescent="0.25">
      <c r="B448" s="24"/>
      <c r="C448" s="17"/>
      <c r="D448" s="5" t="e">
        <f>VLOOKUP(B448,'[1]Base de datos'!$B:$F,2,FALSE)</f>
        <v>#N/A</v>
      </c>
      <c r="E448" t="e">
        <f>VLOOKUP(B448,'[1]Base de datos'!$B:$E,3,FALSE)</f>
        <v>#N/A</v>
      </c>
      <c r="F448" t="e">
        <f>VLOOKUP(B448,'[1]Base de datos'!$B:$E,4,FALSE)</f>
        <v>#N/A</v>
      </c>
    </row>
    <row r="449" spans="2:6" x14ac:dyDescent="0.25">
      <c r="B449" s="24"/>
      <c r="C449" s="17"/>
      <c r="D449" s="5" t="e">
        <f>VLOOKUP(B449,'[1]Base de datos'!$B:$F,2,FALSE)</f>
        <v>#N/A</v>
      </c>
      <c r="E449" t="e">
        <f>VLOOKUP(B449,'[1]Base de datos'!$B:$E,3,FALSE)</f>
        <v>#N/A</v>
      </c>
      <c r="F449" t="e">
        <f>VLOOKUP(B449,'[1]Base de datos'!$B:$E,4,FALSE)</f>
        <v>#N/A</v>
      </c>
    </row>
    <row r="450" spans="2:6" x14ac:dyDescent="0.25">
      <c r="B450" s="24"/>
      <c r="C450" s="17"/>
      <c r="D450" s="5" t="e">
        <f>VLOOKUP(B450,'[1]Base de datos'!$B:$F,2,FALSE)</f>
        <v>#N/A</v>
      </c>
      <c r="E450" t="e">
        <f>VLOOKUP(B450,'[1]Base de datos'!$B:$E,3,FALSE)</f>
        <v>#N/A</v>
      </c>
      <c r="F450" t="e">
        <f>VLOOKUP(B450,'[1]Base de datos'!$B:$E,4,FALSE)</f>
        <v>#N/A</v>
      </c>
    </row>
    <row r="451" spans="2:6" x14ac:dyDescent="0.25">
      <c r="B451" s="24"/>
      <c r="C451" s="17"/>
      <c r="D451" s="5" t="e">
        <f>VLOOKUP(B451,'[1]Base de datos'!$B:$F,2,FALSE)</f>
        <v>#N/A</v>
      </c>
      <c r="E451" t="e">
        <f>VLOOKUP(B451,'[1]Base de datos'!$B:$E,3,FALSE)</f>
        <v>#N/A</v>
      </c>
      <c r="F451" t="e">
        <f>VLOOKUP(B451,'[1]Base de datos'!$B:$E,4,FALSE)</f>
        <v>#N/A</v>
      </c>
    </row>
    <row r="452" spans="2:6" x14ac:dyDescent="0.25">
      <c r="B452" s="24"/>
      <c r="C452" s="17"/>
      <c r="D452" s="5" t="e">
        <f>VLOOKUP(B452,'[1]Base de datos'!$B:$F,2,FALSE)</f>
        <v>#N/A</v>
      </c>
      <c r="E452" t="e">
        <f>VLOOKUP(B452,'[1]Base de datos'!$B:$E,3,FALSE)</f>
        <v>#N/A</v>
      </c>
      <c r="F452" t="e">
        <f>VLOOKUP(B452,'[1]Base de datos'!$B:$E,4,FALSE)</f>
        <v>#N/A</v>
      </c>
    </row>
    <row r="453" spans="2:6" x14ac:dyDescent="0.25">
      <c r="B453" s="24"/>
      <c r="C453" s="17"/>
      <c r="D453" s="5" t="e">
        <f>VLOOKUP(B453,'[1]Base de datos'!$B:$F,2,FALSE)</f>
        <v>#N/A</v>
      </c>
      <c r="E453" t="e">
        <f>VLOOKUP(B453,'[1]Base de datos'!$B:$E,3,FALSE)</f>
        <v>#N/A</v>
      </c>
      <c r="F453" t="e">
        <f>VLOOKUP(B453,'[1]Base de datos'!$B:$E,4,FALSE)</f>
        <v>#N/A</v>
      </c>
    </row>
    <row r="454" spans="2:6" x14ac:dyDescent="0.25">
      <c r="B454" s="24"/>
      <c r="C454" s="17"/>
      <c r="D454" s="5" t="e">
        <f>VLOOKUP(B454,'[1]Base de datos'!$B:$F,2,FALSE)</f>
        <v>#N/A</v>
      </c>
      <c r="E454" t="e">
        <f>VLOOKUP(B454,'[1]Base de datos'!$B:$E,3,FALSE)</f>
        <v>#N/A</v>
      </c>
      <c r="F454" t="e">
        <f>VLOOKUP(B454,'[1]Base de datos'!$B:$E,4,FALSE)</f>
        <v>#N/A</v>
      </c>
    </row>
    <row r="455" spans="2:6" x14ac:dyDescent="0.25">
      <c r="B455" s="24"/>
      <c r="C455" s="17"/>
      <c r="D455" s="5" t="e">
        <f>VLOOKUP(B455,'[1]Base de datos'!$B:$F,2,FALSE)</f>
        <v>#N/A</v>
      </c>
      <c r="E455" t="e">
        <f>VLOOKUP(B455,'[1]Base de datos'!$B:$E,3,FALSE)</f>
        <v>#N/A</v>
      </c>
      <c r="F455" t="e">
        <f>VLOOKUP(B455,'[1]Base de datos'!$B:$E,4,FALSE)</f>
        <v>#N/A</v>
      </c>
    </row>
    <row r="456" spans="2:6" x14ac:dyDescent="0.25">
      <c r="B456" s="24"/>
      <c r="C456" s="17"/>
      <c r="D456" s="5" t="e">
        <f>VLOOKUP(B456,'[1]Base de datos'!$B:$F,2,FALSE)</f>
        <v>#N/A</v>
      </c>
      <c r="E456" t="e">
        <f>VLOOKUP(B456,'[1]Base de datos'!$B:$E,3,FALSE)</f>
        <v>#N/A</v>
      </c>
      <c r="F456" t="e">
        <f>VLOOKUP(B456,'[1]Base de datos'!$B:$E,4,FALSE)</f>
        <v>#N/A</v>
      </c>
    </row>
    <row r="457" spans="2:6" x14ac:dyDescent="0.25">
      <c r="B457" s="24"/>
      <c r="C457" s="17"/>
      <c r="D457" s="5" t="e">
        <f>VLOOKUP(B457,'[1]Base de datos'!$B:$F,2,FALSE)</f>
        <v>#N/A</v>
      </c>
      <c r="E457" t="e">
        <f>VLOOKUP(B457,'[1]Base de datos'!$B:$E,3,FALSE)</f>
        <v>#N/A</v>
      </c>
      <c r="F457" t="e">
        <f>VLOOKUP(B457,'[1]Base de datos'!$B:$E,4,FALSE)</f>
        <v>#N/A</v>
      </c>
    </row>
    <row r="458" spans="2:6" x14ac:dyDescent="0.25">
      <c r="B458" s="24"/>
      <c r="C458" s="17"/>
      <c r="D458" s="5" t="e">
        <f>VLOOKUP(B458,'[1]Base de datos'!$B:$F,2,FALSE)</f>
        <v>#N/A</v>
      </c>
      <c r="E458" t="e">
        <f>VLOOKUP(B458,'[1]Base de datos'!$B:$E,3,FALSE)</f>
        <v>#N/A</v>
      </c>
      <c r="F458" t="e">
        <f>VLOOKUP(B458,'[1]Base de datos'!$B:$E,4,FALSE)</f>
        <v>#N/A</v>
      </c>
    </row>
    <row r="459" spans="2:6" x14ac:dyDescent="0.25">
      <c r="B459" s="24"/>
      <c r="C459" s="17"/>
      <c r="D459" s="5" t="e">
        <f>VLOOKUP(B459,'[1]Base de datos'!$B:$F,2,FALSE)</f>
        <v>#N/A</v>
      </c>
      <c r="E459" t="e">
        <f>VLOOKUP(B459,'[1]Base de datos'!$B:$E,3,FALSE)</f>
        <v>#N/A</v>
      </c>
      <c r="F459" t="e">
        <f>VLOOKUP(B459,'[1]Base de datos'!$B:$E,4,FALSE)</f>
        <v>#N/A</v>
      </c>
    </row>
    <row r="460" spans="2:6" x14ac:dyDescent="0.25">
      <c r="B460" s="24"/>
      <c r="C460" s="17"/>
      <c r="D460" s="5" t="e">
        <f>VLOOKUP(B460,'[1]Base de datos'!$B:$F,2,FALSE)</f>
        <v>#N/A</v>
      </c>
      <c r="E460" t="e">
        <f>VLOOKUP(B460,'[1]Base de datos'!$B:$E,3,FALSE)</f>
        <v>#N/A</v>
      </c>
      <c r="F460" t="e">
        <f>VLOOKUP(B460,'[1]Base de datos'!$B:$E,4,FALSE)</f>
        <v>#N/A</v>
      </c>
    </row>
    <row r="461" spans="2:6" x14ac:dyDescent="0.25">
      <c r="B461" s="24"/>
      <c r="C461" s="17"/>
      <c r="D461" s="5" t="e">
        <f>VLOOKUP(B461,'[1]Base de datos'!$B:$F,2,FALSE)</f>
        <v>#N/A</v>
      </c>
      <c r="E461" t="e">
        <f>VLOOKUP(B461,'[1]Base de datos'!$B:$E,3,FALSE)</f>
        <v>#N/A</v>
      </c>
      <c r="F461" t="e">
        <f>VLOOKUP(B461,'[1]Base de datos'!$B:$E,4,FALSE)</f>
        <v>#N/A</v>
      </c>
    </row>
    <row r="462" spans="2:6" x14ac:dyDescent="0.25">
      <c r="B462" s="24"/>
      <c r="C462" s="17"/>
      <c r="D462" s="5" t="e">
        <f>VLOOKUP(B462,'[1]Base de datos'!$B:$F,2,FALSE)</f>
        <v>#N/A</v>
      </c>
      <c r="E462" t="e">
        <f>VLOOKUP(B462,'[1]Base de datos'!$B:$E,3,FALSE)</f>
        <v>#N/A</v>
      </c>
      <c r="F462" t="e">
        <f>VLOOKUP(B462,'[1]Base de datos'!$B:$E,4,FALSE)</f>
        <v>#N/A</v>
      </c>
    </row>
    <row r="463" spans="2:6" x14ac:dyDescent="0.25">
      <c r="B463" s="24"/>
      <c r="C463" s="17"/>
      <c r="D463" s="5" t="e">
        <f>VLOOKUP(B463,'[1]Base de datos'!$B:$F,2,FALSE)</f>
        <v>#N/A</v>
      </c>
      <c r="E463" t="e">
        <f>VLOOKUP(B463,'[1]Base de datos'!$B:$E,3,FALSE)</f>
        <v>#N/A</v>
      </c>
      <c r="F463" t="e">
        <f>VLOOKUP(B463,'[1]Base de datos'!$B:$E,4,FALSE)</f>
        <v>#N/A</v>
      </c>
    </row>
    <row r="464" spans="2:6" x14ac:dyDescent="0.25">
      <c r="B464" s="24"/>
      <c r="C464" s="17"/>
      <c r="D464" s="5" t="e">
        <f>VLOOKUP(B464,'[1]Base de datos'!$B:$F,2,FALSE)</f>
        <v>#N/A</v>
      </c>
      <c r="E464" t="e">
        <f>VLOOKUP(B464,'[1]Base de datos'!$B:$E,3,FALSE)</f>
        <v>#N/A</v>
      </c>
      <c r="F464" t="e">
        <f>VLOOKUP(B464,'[1]Base de datos'!$B:$E,4,FALSE)</f>
        <v>#N/A</v>
      </c>
    </row>
    <row r="465" spans="2:6" x14ac:dyDescent="0.25">
      <c r="B465" s="24"/>
      <c r="C465" s="17"/>
      <c r="D465" s="5" t="e">
        <f>VLOOKUP(B465,'[1]Base de datos'!$B:$F,2,FALSE)</f>
        <v>#N/A</v>
      </c>
      <c r="E465" t="e">
        <f>VLOOKUP(B465,'[1]Base de datos'!$B:$E,3,FALSE)</f>
        <v>#N/A</v>
      </c>
      <c r="F465" t="e">
        <f>VLOOKUP(B465,'[1]Base de datos'!$B:$E,4,FALSE)</f>
        <v>#N/A</v>
      </c>
    </row>
    <row r="466" spans="2:6" x14ac:dyDescent="0.25">
      <c r="B466" s="24"/>
      <c r="C466" s="17"/>
      <c r="D466" s="5" t="e">
        <f>VLOOKUP(B466,'[1]Base de datos'!$B:$F,2,FALSE)</f>
        <v>#N/A</v>
      </c>
      <c r="E466" t="e">
        <f>VLOOKUP(B466,'[1]Base de datos'!$B:$E,3,FALSE)</f>
        <v>#N/A</v>
      </c>
      <c r="F466" t="e">
        <f>VLOOKUP(B466,'[1]Base de datos'!$B:$E,4,FALSE)</f>
        <v>#N/A</v>
      </c>
    </row>
    <row r="467" spans="2:6" x14ac:dyDescent="0.25">
      <c r="B467" s="24"/>
      <c r="C467" s="17"/>
      <c r="D467" s="5" t="e">
        <f>VLOOKUP(B467,'[1]Base de datos'!$B:$F,2,FALSE)</f>
        <v>#N/A</v>
      </c>
      <c r="E467" t="e">
        <f>VLOOKUP(B467,'[1]Base de datos'!$B:$E,3,FALSE)</f>
        <v>#N/A</v>
      </c>
      <c r="F467" t="e">
        <f>VLOOKUP(B467,'[1]Base de datos'!$B:$E,4,FALSE)</f>
        <v>#N/A</v>
      </c>
    </row>
    <row r="468" spans="2:6" x14ac:dyDescent="0.25">
      <c r="B468" s="24"/>
      <c r="C468" s="17"/>
      <c r="D468" s="5" t="e">
        <f>VLOOKUP(B468,'[1]Base de datos'!$B:$F,2,FALSE)</f>
        <v>#N/A</v>
      </c>
      <c r="E468" t="e">
        <f>VLOOKUP(B468,'[1]Base de datos'!$B:$E,3,FALSE)</f>
        <v>#N/A</v>
      </c>
      <c r="F468" t="e">
        <f>VLOOKUP(B468,'[1]Base de datos'!$B:$E,4,FALSE)</f>
        <v>#N/A</v>
      </c>
    </row>
    <row r="469" spans="2:6" x14ac:dyDescent="0.25">
      <c r="B469" s="24"/>
      <c r="C469" s="17"/>
      <c r="D469" s="5" t="e">
        <f>VLOOKUP(B469,'[1]Base de datos'!$B:$F,2,FALSE)</f>
        <v>#N/A</v>
      </c>
      <c r="E469" t="e">
        <f>VLOOKUP(B469,'[1]Base de datos'!$B:$E,3,FALSE)</f>
        <v>#N/A</v>
      </c>
      <c r="F469" t="e">
        <f>VLOOKUP(B469,'[1]Base de datos'!$B:$E,4,FALSE)</f>
        <v>#N/A</v>
      </c>
    </row>
    <row r="470" spans="2:6" x14ac:dyDescent="0.25">
      <c r="B470" s="24"/>
      <c r="C470" s="17"/>
      <c r="D470" s="5" t="e">
        <f>VLOOKUP(B470,'[1]Base de datos'!$B:$F,2,FALSE)</f>
        <v>#N/A</v>
      </c>
      <c r="E470" t="e">
        <f>VLOOKUP(B470,'[1]Base de datos'!$B:$E,3,FALSE)</f>
        <v>#N/A</v>
      </c>
      <c r="F470" t="e">
        <f>VLOOKUP(B470,'[1]Base de datos'!$B:$E,4,FALSE)</f>
        <v>#N/A</v>
      </c>
    </row>
    <row r="471" spans="2:6" x14ac:dyDescent="0.25">
      <c r="B471" s="24"/>
      <c r="C471" s="17"/>
      <c r="D471" s="5" t="e">
        <f>VLOOKUP(B471,'[1]Base de datos'!$B:$F,2,FALSE)</f>
        <v>#N/A</v>
      </c>
      <c r="E471" t="e">
        <f>VLOOKUP(B471,'[1]Base de datos'!$B:$E,3,FALSE)</f>
        <v>#N/A</v>
      </c>
      <c r="F471" t="e">
        <f>VLOOKUP(B471,'[1]Base de datos'!$B:$E,4,FALSE)</f>
        <v>#N/A</v>
      </c>
    </row>
    <row r="472" spans="2:6" x14ac:dyDescent="0.25">
      <c r="B472" s="24"/>
      <c r="C472" s="17"/>
      <c r="D472" s="5" t="e">
        <f>VLOOKUP(B472,'[1]Base de datos'!$B:$F,2,FALSE)</f>
        <v>#N/A</v>
      </c>
      <c r="E472" t="e">
        <f>VLOOKUP(B472,'[1]Base de datos'!$B:$E,3,FALSE)</f>
        <v>#N/A</v>
      </c>
      <c r="F472" t="e">
        <f>VLOOKUP(B472,'[1]Base de datos'!$B:$E,4,FALSE)</f>
        <v>#N/A</v>
      </c>
    </row>
    <row r="473" spans="2:6" x14ac:dyDescent="0.25">
      <c r="B473" s="24"/>
      <c r="C473" s="17"/>
      <c r="D473" s="5" t="e">
        <f>VLOOKUP(B473,'[1]Base de datos'!$B:$F,2,FALSE)</f>
        <v>#N/A</v>
      </c>
      <c r="E473" t="e">
        <f>VLOOKUP(B473,'[1]Base de datos'!$B:$E,3,FALSE)</f>
        <v>#N/A</v>
      </c>
      <c r="F473" t="e">
        <f>VLOOKUP(B473,'[1]Base de datos'!$B:$E,4,FALSE)</f>
        <v>#N/A</v>
      </c>
    </row>
    <row r="474" spans="2:6" x14ac:dyDescent="0.25">
      <c r="B474" s="24"/>
      <c r="C474" s="17"/>
      <c r="D474" s="5" t="e">
        <f>VLOOKUP(B474,'[1]Base de datos'!$B:$F,2,FALSE)</f>
        <v>#N/A</v>
      </c>
      <c r="E474" t="e">
        <f>VLOOKUP(B474,'[1]Base de datos'!$B:$E,3,FALSE)</f>
        <v>#N/A</v>
      </c>
      <c r="F474" t="e">
        <f>VLOOKUP(B474,'[1]Base de datos'!$B:$E,4,FALSE)</f>
        <v>#N/A</v>
      </c>
    </row>
    <row r="475" spans="2:6" x14ac:dyDescent="0.25">
      <c r="B475" s="24"/>
      <c r="C475" s="17"/>
      <c r="D475" s="5" t="e">
        <f>VLOOKUP(B475,'[1]Base de datos'!$B:$F,2,FALSE)</f>
        <v>#N/A</v>
      </c>
      <c r="E475" t="e">
        <f>VLOOKUP(B475,'[1]Base de datos'!$B:$E,3,FALSE)</f>
        <v>#N/A</v>
      </c>
      <c r="F475" t="e">
        <f>VLOOKUP(B475,'[1]Base de datos'!$B:$E,4,FALSE)</f>
        <v>#N/A</v>
      </c>
    </row>
    <row r="476" spans="2:6" x14ac:dyDescent="0.25">
      <c r="B476" s="24"/>
      <c r="C476" s="17"/>
      <c r="D476" s="5" t="e">
        <f>VLOOKUP(B476,'[1]Base de datos'!$B:$F,2,FALSE)</f>
        <v>#N/A</v>
      </c>
      <c r="E476" t="e">
        <f>VLOOKUP(B476,'[1]Base de datos'!$B:$E,3,FALSE)</f>
        <v>#N/A</v>
      </c>
      <c r="F476" t="e">
        <f>VLOOKUP(B476,'[1]Base de datos'!$B:$E,4,FALSE)</f>
        <v>#N/A</v>
      </c>
    </row>
    <row r="477" spans="2:6" x14ac:dyDescent="0.25">
      <c r="B477" s="24"/>
      <c r="C477" s="17"/>
      <c r="D477" s="5" t="e">
        <f>VLOOKUP(B477,'[1]Base de datos'!$B:$F,2,FALSE)</f>
        <v>#N/A</v>
      </c>
      <c r="E477" t="e">
        <f>VLOOKUP(B477,'[1]Base de datos'!$B:$E,3,FALSE)</f>
        <v>#N/A</v>
      </c>
      <c r="F477" t="e">
        <f>VLOOKUP(B477,'[1]Base de datos'!$B:$E,4,FALSE)</f>
        <v>#N/A</v>
      </c>
    </row>
    <row r="478" spans="2:6" x14ac:dyDescent="0.25">
      <c r="B478" s="24"/>
      <c r="C478" s="17"/>
      <c r="D478" s="5" t="e">
        <f>VLOOKUP(B478,'[1]Base de datos'!$B:$F,2,FALSE)</f>
        <v>#N/A</v>
      </c>
      <c r="E478" t="e">
        <f>VLOOKUP(B478,'[1]Base de datos'!$B:$E,3,FALSE)</f>
        <v>#N/A</v>
      </c>
      <c r="F478" t="e">
        <f>VLOOKUP(B478,'[1]Base de datos'!$B:$E,4,FALSE)</f>
        <v>#N/A</v>
      </c>
    </row>
    <row r="479" spans="2:6" x14ac:dyDescent="0.25">
      <c r="B479" s="24"/>
      <c r="C479" s="17"/>
      <c r="D479" s="5" t="e">
        <f>VLOOKUP(B479,'[1]Base de datos'!$B:$F,2,FALSE)</f>
        <v>#N/A</v>
      </c>
      <c r="E479" t="e">
        <f>VLOOKUP(B479,'[1]Base de datos'!$B:$E,3,FALSE)</f>
        <v>#N/A</v>
      </c>
      <c r="F479" t="e">
        <f>VLOOKUP(B479,'[1]Base de datos'!$B:$E,4,FALSE)</f>
        <v>#N/A</v>
      </c>
    </row>
    <row r="480" spans="2:6" x14ac:dyDescent="0.25">
      <c r="B480" s="24"/>
      <c r="C480" s="17"/>
      <c r="D480" s="5" t="e">
        <f>VLOOKUP(B480,'[1]Base de datos'!$B:$F,2,FALSE)</f>
        <v>#N/A</v>
      </c>
      <c r="E480" t="e">
        <f>VLOOKUP(B480,'[1]Base de datos'!$B:$E,3,FALSE)</f>
        <v>#N/A</v>
      </c>
      <c r="F480" t="e">
        <f>VLOOKUP(B480,'[1]Base de datos'!$B:$E,4,FALSE)</f>
        <v>#N/A</v>
      </c>
    </row>
    <row r="481" spans="2:6" x14ac:dyDescent="0.25">
      <c r="B481" s="24"/>
      <c r="C481" s="17"/>
      <c r="D481" s="5" t="e">
        <f>VLOOKUP(B481,'[1]Base de datos'!$B:$F,2,FALSE)</f>
        <v>#N/A</v>
      </c>
      <c r="E481" t="e">
        <f>VLOOKUP(B481,'[1]Base de datos'!$B:$E,3,FALSE)</f>
        <v>#N/A</v>
      </c>
      <c r="F481" t="e">
        <f>VLOOKUP(B481,'[1]Base de datos'!$B:$E,4,FALSE)</f>
        <v>#N/A</v>
      </c>
    </row>
    <row r="482" spans="2:6" x14ac:dyDescent="0.25">
      <c r="B482" s="24"/>
      <c r="C482" s="17"/>
      <c r="D482" s="5" t="e">
        <f>VLOOKUP(B482,'[1]Base de datos'!$B:$F,2,FALSE)</f>
        <v>#N/A</v>
      </c>
      <c r="E482" t="e">
        <f>VLOOKUP(B482,'[1]Base de datos'!$B:$E,3,FALSE)</f>
        <v>#N/A</v>
      </c>
      <c r="F482" t="e">
        <f>VLOOKUP(B482,'[1]Base de datos'!$B:$E,4,FALSE)</f>
        <v>#N/A</v>
      </c>
    </row>
    <row r="483" spans="2:6" x14ac:dyDescent="0.25">
      <c r="B483" s="24"/>
      <c r="C483" s="17"/>
      <c r="D483" s="5" t="e">
        <f>VLOOKUP(B483,'[1]Base de datos'!$B:$F,2,FALSE)</f>
        <v>#N/A</v>
      </c>
      <c r="E483" t="e">
        <f>VLOOKUP(B483,'[1]Base de datos'!$B:$E,3,FALSE)</f>
        <v>#N/A</v>
      </c>
      <c r="F483" t="e">
        <f>VLOOKUP(B483,'[1]Base de datos'!$B:$E,4,FALSE)</f>
        <v>#N/A</v>
      </c>
    </row>
    <row r="484" spans="2:6" x14ac:dyDescent="0.25">
      <c r="B484" s="24"/>
      <c r="C484" s="17"/>
      <c r="D484" s="5" t="e">
        <f>VLOOKUP(B484,'[1]Base de datos'!$B:$F,2,FALSE)</f>
        <v>#N/A</v>
      </c>
      <c r="E484" t="e">
        <f>VLOOKUP(B484,'[1]Base de datos'!$B:$E,3,FALSE)</f>
        <v>#N/A</v>
      </c>
      <c r="F484" t="e">
        <f>VLOOKUP(B484,'[1]Base de datos'!$B:$E,4,FALSE)</f>
        <v>#N/A</v>
      </c>
    </row>
    <row r="485" spans="2:6" x14ac:dyDescent="0.25">
      <c r="B485" s="24"/>
      <c r="C485" s="17"/>
      <c r="D485" s="5" t="e">
        <f>VLOOKUP(B485,'[1]Base de datos'!$B:$F,2,FALSE)</f>
        <v>#N/A</v>
      </c>
      <c r="E485" t="e">
        <f>VLOOKUP(B485,'[1]Base de datos'!$B:$E,3,FALSE)</f>
        <v>#N/A</v>
      </c>
      <c r="F485" t="e">
        <f>VLOOKUP(B485,'[1]Base de datos'!$B:$E,4,FALSE)</f>
        <v>#N/A</v>
      </c>
    </row>
    <row r="486" spans="2:6" x14ac:dyDescent="0.25">
      <c r="B486" s="24"/>
      <c r="C486" s="17"/>
      <c r="D486" s="5" t="e">
        <f>VLOOKUP(B486,'[1]Base de datos'!$B:$F,2,FALSE)</f>
        <v>#N/A</v>
      </c>
      <c r="E486" t="e">
        <f>VLOOKUP(B486,'[1]Base de datos'!$B:$E,3,FALSE)</f>
        <v>#N/A</v>
      </c>
      <c r="F486" t="e">
        <f>VLOOKUP(B486,'[1]Base de datos'!$B:$E,4,FALSE)</f>
        <v>#N/A</v>
      </c>
    </row>
    <row r="487" spans="2:6" x14ac:dyDescent="0.25">
      <c r="B487" s="24"/>
      <c r="C487" s="17"/>
      <c r="D487" s="5" t="e">
        <f>VLOOKUP(B487,'[1]Base de datos'!$B:$F,2,FALSE)</f>
        <v>#N/A</v>
      </c>
      <c r="E487" t="e">
        <f>VLOOKUP(B487,'[1]Base de datos'!$B:$E,3,FALSE)</f>
        <v>#N/A</v>
      </c>
      <c r="F487" t="e">
        <f>VLOOKUP(B487,'[1]Base de datos'!$B:$E,4,FALSE)</f>
        <v>#N/A</v>
      </c>
    </row>
    <row r="488" spans="2:6" x14ac:dyDescent="0.25">
      <c r="B488" s="24"/>
      <c r="C488" s="17"/>
      <c r="D488" s="5" t="e">
        <f>VLOOKUP(B488,'[1]Base de datos'!$B:$F,2,FALSE)</f>
        <v>#N/A</v>
      </c>
      <c r="E488" t="e">
        <f>VLOOKUP(B488,'[1]Base de datos'!$B:$E,3,FALSE)</f>
        <v>#N/A</v>
      </c>
      <c r="F488" t="e">
        <f>VLOOKUP(B488,'[1]Base de datos'!$B:$E,4,FALSE)</f>
        <v>#N/A</v>
      </c>
    </row>
    <row r="489" spans="2:6" x14ac:dyDescent="0.25">
      <c r="B489" s="24"/>
      <c r="C489" s="17"/>
      <c r="D489" s="5" t="e">
        <f>VLOOKUP(B489,'[1]Base de datos'!$B:$F,2,FALSE)</f>
        <v>#N/A</v>
      </c>
      <c r="E489" t="e">
        <f>VLOOKUP(B489,'[1]Base de datos'!$B:$E,3,FALSE)</f>
        <v>#N/A</v>
      </c>
      <c r="F489" t="e">
        <f>VLOOKUP(B489,'[1]Base de datos'!$B:$E,4,FALSE)</f>
        <v>#N/A</v>
      </c>
    </row>
    <row r="490" spans="2:6" x14ac:dyDescent="0.25">
      <c r="B490" s="24"/>
      <c r="C490" s="17"/>
      <c r="D490" s="5" t="e">
        <f>VLOOKUP(B490,'[1]Base de datos'!$B:$F,2,FALSE)</f>
        <v>#N/A</v>
      </c>
      <c r="E490" t="e">
        <f>VLOOKUP(B490,'[1]Base de datos'!$B:$E,3,FALSE)</f>
        <v>#N/A</v>
      </c>
      <c r="F490" t="e">
        <f>VLOOKUP(B490,'[1]Base de datos'!$B:$E,4,FALSE)</f>
        <v>#N/A</v>
      </c>
    </row>
    <row r="491" spans="2:6" x14ac:dyDescent="0.25">
      <c r="B491" s="24"/>
      <c r="C491" s="17"/>
      <c r="D491" s="5" t="e">
        <f>VLOOKUP(B491,'[1]Base de datos'!$B:$F,2,FALSE)</f>
        <v>#N/A</v>
      </c>
      <c r="E491" t="e">
        <f>VLOOKUP(B491,'[1]Base de datos'!$B:$E,3,FALSE)</f>
        <v>#N/A</v>
      </c>
      <c r="F491" t="e">
        <f>VLOOKUP(B491,'[1]Base de datos'!$B:$E,4,FALSE)</f>
        <v>#N/A</v>
      </c>
    </row>
    <row r="492" spans="2:6" x14ac:dyDescent="0.25">
      <c r="B492" s="24"/>
      <c r="C492" s="17"/>
      <c r="D492" s="5" t="e">
        <f>VLOOKUP(B492,'[1]Base de datos'!$B:$F,2,FALSE)</f>
        <v>#N/A</v>
      </c>
      <c r="E492" t="e">
        <f>VLOOKUP(B492,'[1]Base de datos'!$B:$E,3,FALSE)</f>
        <v>#N/A</v>
      </c>
      <c r="F492" t="e">
        <f>VLOOKUP(B492,'[1]Base de datos'!$B:$E,4,FALSE)</f>
        <v>#N/A</v>
      </c>
    </row>
    <row r="493" spans="2:6" x14ac:dyDescent="0.25">
      <c r="B493" s="24"/>
      <c r="C493" s="17"/>
      <c r="D493" s="5" t="e">
        <f>VLOOKUP(B493,'[1]Base de datos'!$B:$F,2,FALSE)</f>
        <v>#N/A</v>
      </c>
      <c r="E493" t="e">
        <f>VLOOKUP(B493,'[1]Base de datos'!$B:$E,3,FALSE)</f>
        <v>#N/A</v>
      </c>
      <c r="F493" t="e">
        <f>VLOOKUP(B493,'[1]Base de datos'!$B:$E,4,FALSE)</f>
        <v>#N/A</v>
      </c>
    </row>
    <row r="494" spans="2:6" x14ac:dyDescent="0.25">
      <c r="B494" s="24"/>
      <c r="C494" s="17"/>
      <c r="D494" s="5" t="e">
        <f>VLOOKUP(B494,'[1]Base de datos'!$B:$F,2,FALSE)</f>
        <v>#N/A</v>
      </c>
      <c r="E494" t="e">
        <f>VLOOKUP(B494,'[1]Base de datos'!$B:$E,3,FALSE)</f>
        <v>#N/A</v>
      </c>
      <c r="F494" t="e">
        <f>VLOOKUP(B494,'[1]Base de datos'!$B:$E,4,FALSE)</f>
        <v>#N/A</v>
      </c>
    </row>
    <row r="495" spans="2:6" x14ac:dyDescent="0.25">
      <c r="B495" s="24"/>
      <c r="C495" s="17"/>
      <c r="D495" s="5" t="e">
        <f>VLOOKUP(B495,'[1]Base de datos'!$B:$F,2,FALSE)</f>
        <v>#N/A</v>
      </c>
      <c r="E495" t="e">
        <f>VLOOKUP(B495,'[1]Base de datos'!$B:$E,3,FALSE)</f>
        <v>#N/A</v>
      </c>
      <c r="F495" t="e">
        <f>VLOOKUP(B495,'[1]Base de datos'!$B:$E,4,FALSE)</f>
        <v>#N/A</v>
      </c>
    </row>
    <row r="496" spans="2:6" x14ac:dyDescent="0.25">
      <c r="B496" s="24"/>
      <c r="C496" s="17"/>
      <c r="D496" s="5" t="e">
        <f>VLOOKUP(B496,'[1]Base de datos'!$B:$F,2,FALSE)</f>
        <v>#N/A</v>
      </c>
      <c r="E496" t="e">
        <f>VLOOKUP(B496,'[1]Base de datos'!$B:$E,3,FALSE)</f>
        <v>#N/A</v>
      </c>
      <c r="F496" t="e">
        <f>VLOOKUP(B496,'[1]Base de datos'!$B:$E,4,FALSE)</f>
        <v>#N/A</v>
      </c>
    </row>
    <row r="497" spans="2:6" x14ac:dyDescent="0.25">
      <c r="B497" s="24"/>
      <c r="C497" s="17"/>
      <c r="D497" s="5" t="e">
        <f>VLOOKUP(B497,'[1]Base de datos'!$B:$F,2,FALSE)</f>
        <v>#N/A</v>
      </c>
      <c r="E497" t="e">
        <f>VLOOKUP(B497,'[1]Base de datos'!$B:$E,3,FALSE)</f>
        <v>#N/A</v>
      </c>
      <c r="F497" t="e">
        <f>VLOOKUP(B497,'[1]Base de datos'!$B:$E,4,FALSE)</f>
        <v>#N/A</v>
      </c>
    </row>
    <row r="498" spans="2:6" x14ac:dyDescent="0.25">
      <c r="B498" s="24"/>
      <c r="C498" s="17"/>
      <c r="D498" s="5" t="e">
        <f>VLOOKUP(B498,'[1]Base de datos'!$B:$F,2,FALSE)</f>
        <v>#N/A</v>
      </c>
      <c r="E498" t="e">
        <f>VLOOKUP(B498,'[1]Base de datos'!$B:$E,3,FALSE)</f>
        <v>#N/A</v>
      </c>
      <c r="F498" t="e">
        <f>VLOOKUP(B498,'[1]Base de datos'!$B:$E,4,FALSE)</f>
        <v>#N/A</v>
      </c>
    </row>
    <row r="499" spans="2:6" x14ac:dyDescent="0.25">
      <c r="B499" s="24"/>
      <c r="C499" s="17"/>
      <c r="D499" s="5" t="e">
        <f>VLOOKUP(B499,'[1]Base de datos'!$B:$F,2,FALSE)</f>
        <v>#N/A</v>
      </c>
      <c r="E499" t="e">
        <f>VLOOKUP(B499,'[1]Base de datos'!$B:$E,3,FALSE)</f>
        <v>#N/A</v>
      </c>
      <c r="F499" t="e">
        <f>VLOOKUP(B499,'[1]Base de datos'!$B:$E,4,FALSE)</f>
        <v>#N/A</v>
      </c>
    </row>
    <row r="500" spans="2:6" x14ac:dyDescent="0.25">
      <c r="B500" s="24"/>
      <c r="C500" s="17"/>
      <c r="D500" s="5" t="e">
        <f>VLOOKUP(B500,'[1]Base de datos'!$B:$F,2,FALSE)</f>
        <v>#N/A</v>
      </c>
      <c r="E500" t="e">
        <f>VLOOKUP(B500,'[1]Base de datos'!$B:$E,3,FALSE)</f>
        <v>#N/A</v>
      </c>
      <c r="F500" t="e">
        <f>VLOOKUP(B500,'[1]Base de datos'!$B:$E,4,FALSE)</f>
        <v>#N/A</v>
      </c>
    </row>
    <row r="501" spans="2:6" x14ac:dyDescent="0.25">
      <c r="B501" s="24"/>
      <c r="C501" s="17"/>
      <c r="D501" s="5" t="e">
        <f>VLOOKUP(B501,'[1]Base de datos'!$B:$F,2,FALSE)</f>
        <v>#N/A</v>
      </c>
      <c r="E501" t="e">
        <f>VLOOKUP(B501,'[1]Base de datos'!$B:$E,3,FALSE)</f>
        <v>#N/A</v>
      </c>
      <c r="F501" t="e">
        <f>VLOOKUP(B501,'[1]Base de datos'!$B:$E,4,FALSE)</f>
        <v>#N/A</v>
      </c>
    </row>
    <row r="502" spans="2:6" x14ac:dyDescent="0.25">
      <c r="B502" s="24"/>
      <c r="C502" s="17"/>
      <c r="D502" s="5" t="e">
        <f>VLOOKUP(B502,'[1]Base de datos'!$B:$F,2,FALSE)</f>
        <v>#N/A</v>
      </c>
      <c r="E502" t="e">
        <f>VLOOKUP(B502,'[1]Base de datos'!$B:$E,3,FALSE)</f>
        <v>#N/A</v>
      </c>
      <c r="F502" t="e">
        <f>VLOOKUP(B502,'[1]Base de datos'!$B:$E,4,FALSE)</f>
        <v>#N/A</v>
      </c>
    </row>
    <row r="503" spans="2:6" x14ac:dyDescent="0.25">
      <c r="B503" s="24"/>
      <c r="C503" s="17"/>
      <c r="D503" s="5" t="e">
        <f>VLOOKUP(B503,'[1]Base de datos'!$B:$F,2,FALSE)</f>
        <v>#N/A</v>
      </c>
      <c r="E503" t="e">
        <f>VLOOKUP(B503,'[1]Base de datos'!$B:$E,3,FALSE)</f>
        <v>#N/A</v>
      </c>
      <c r="F503" t="e">
        <f>VLOOKUP(B503,'[1]Base de datos'!$B:$E,4,FALSE)</f>
        <v>#N/A</v>
      </c>
    </row>
    <row r="504" spans="2:6" x14ac:dyDescent="0.25">
      <c r="B504" s="24"/>
      <c r="C504" s="17"/>
      <c r="D504" s="5" t="e">
        <f>VLOOKUP(B504,'[1]Base de datos'!$B:$F,2,FALSE)</f>
        <v>#N/A</v>
      </c>
      <c r="E504" t="e">
        <f>VLOOKUP(B504,'[1]Base de datos'!$B:$E,3,FALSE)</f>
        <v>#N/A</v>
      </c>
      <c r="F504" t="e">
        <f>VLOOKUP(B504,'[1]Base de datos'!$B:$E,4,FALSE)</f>
        <v>#N/A</v>
      </c>
    </row>
    <row r="505" spans="2:6" x14ac:dyDescent="0.25">
      <c r="B505" s="24"/>
      <c r="C505" s="17"/>
      <c r="D505" s="5" t="e">
        <f>VLOOKUP(B505,'[1]Base de datos'!$B:$F,2,FALSE)</f>
        <v>#N/A</v>
      </c>
      <c r="E505" t="e">
        <f>VLOOKUP(B505,'[1]Base de datos'!$B:$E,3,FALSE)</f>
        <v>#N/A</v>
      </c>
      <c r="F505" t="e">
        <f>VLOOKUP(B505,'[1]Base de datos'!$B:$E,4,FALSE)</f>
        <v>#N/A</v>
      </c>
    </row>
    <row r="506" spans="2:6" x14ac:dyDescent="0.25">
      <c r="B506" s="24"/>
      <c r="C506" s="17"/>
      <c r="D506" s="5" t="e">
        <f>VLOOKUP(B506,'[1]Base de datos'!$B:$F,2,FALSE)</f>
        <v>#N/A</v>
      </c>
      <c r="E506" t="e">
        <f>VLOOKUP(B506,'[1]Base de datos'!$B:$E,3,FALSE)</f>
        <v>#N/A</v>
      </c>
      <c r="F506" t="e">
        <f>VLOOKUP(B506,'[1]Base de datos'!$B:$E,4,FALSE)</f>
        <v>#N/A</v>
      </c>
    </row>
    <row r="507" spans="2:6" x14ac:dyDescent="0.25">
      <c r="B507" s="24"/>
      <c r="C507" s="17"/>
      <c r="D507" s="5" t="e">
        <f>VLOOKUP(B507,'[1]Base de datos'!$B:$F,2,FALSE)</f>
        <v>#N/A</v>
      </c>
      <c r="E507" t="e">
        <f>VLOOKUP(B507,'[1]Base de datos'!$B:$E,3,FALSE)</f>
        <v>#N/A</v>
      </c>
      <c r="F507" t="e">
        <f>VLOOKUP(B507,'[1]Base de datos'!$B:$E,4,FALSE)</f>
        <v>#N/A</v>
      </c>
    </row>
    <row r="508" spans="2:6" x14ac:dyDescent="0.25">
      <c r="B508" s="24"/>
      <c r="C508" s="17"/>
      <c r="D508" s="5" t="e">
        <f>VLOOKUP(B508,'[1]Base de datos'!$B:$F,2,FALSE)</f>
        <v>#N/A</v>
      </c>
      <c r="E508" t="e">
        <f>VLOOKUP(B508,'[1]Base de datos'!$B:$E,3,FALSE)</f>
        <v>#N/A</v>
      </c>
      <c r="F508" t="e">
        <f>VLOOKUP(B508,'[1]Base de datos'!$B:$E,4,FALSE)</f>
        <v>#N/A</v>
      </c>
    </row>
    <row r="509" spans="2:6" x14ac:dyDescent="0.25">
      <c r="B509" s="24"/>
      <c r="C509" s="17"/>
      <c r="D509" s="5" t="e">
        <f>VLOOKUP(B509,'[1]Base de datos'!$B:$F,2,FALSE)</f>
        <v>#N/A</v>
      </c>
      <c r="E509" t="e">
        <f>VLOOKUP(B509,'[1]Base de datos'!$B:$E,3,FALSE)</f>
        <v>#N/A</v>
      </c>
      <c r="F509" t="e">
        <f>VLOOKUP(B509,'[1]Base de datos'!$B:$E,4,FALSE)</f>
        <v>#N/A</v>
      </c>
    </row>
    <row r="510" spans="2:6" x14ac:dyDescent="0.25">
      <c r="B510" s="24"/>
      <c r="C510" s="17"/>
      <c r="D510" s="5" t="e">
        <f>VLOOKUP(B510,'[1]Base de datos'!$B:$F,2,FALSE)</f>
        <v>#N/A</v>
      </c>
      <c r="E510" t="e">
        <f>VLOOKUP(B510,'[1]Base de datos'!$B:$E,3,FALSE)</f>
        <v>#N/A</v>
      </c>
      <c r="F510" t="e">
        <f>VLOOKUP(B510,'[1]Base de datos'!$B:$E,4,FALSE)</f>
        <v>#N/A</v>
      </c>
    </row>
    <row r="511" spans="2:6" x14ac:dyDescent="0.25">
      <c r="B511" s="24"/>
      <c r="C511" s="17"/>
      <c r="D511" s="5" t="e">
        <f>VLOOKUP(B511,'[1]Base de datos'!$B:$F,2,FALSE)</f>
        <v>#N/A</v>
      </c>
      <c r="E511" t="e">
        <f>VLOOKUP(B511,'[1]Base de datos'!$B:$E,3,FALSE)</f>
        <v>#N/A</v>
      </c>
      <c r="F511" t="e">
        <f>VLOOKUP(B511,'[1]Base de datos'!$B:$E,4,FALSE)</f>
        <v>#N/A</v>
      </c>
    </row>
    <row r="512" spans="2:6" x14ac:dyDescent="0.25">
      <c r="B512" s="24"/>
      <c r="C512" s="17"/>
      <c r="D512" s="5" t="e">
        <f>VLOOKUP(B512,'[1]Base de datos'!$B:$F,2,FALSE)</f>
        <v>#N/A</v>
      </c>
      <c r="E512" t="e">
        <f>VLOOKUP(B512,'[1]Base de datos'!$B:$E,3,FALSE)</f>
        <v>#N/A</v>
      </c>
      <c r="F512" t="e">
        <f>VLOOKUP(B512,'[1]Base de datos'!$B:$E,4,FALSE)</f>
        <v>#N/A</v>
      </c>
    </row>
    <row r="513" spans="2:6" x14ac:dyDescent="0.25">
      <c r="B513" s="24"/>
      <c r="C513" s="17"/>
      <c r="D513" s="5" t="e">
        <f>VLOOKUP(B513,'[1]Base de datos'!$B:$F,2,FALSE)</f>
        <v>#N/A</v>
      </c>
      <c r="E513" t="e">
        <f>VLOOKUP(B513,'[1]Base de datos'!$B:$E,3,FALSE)</f>
        <v>#N/A</v>
      </c>
      <c r="F513" t="e">
        <f>VLOOKUP(B513,'[1]Base de datos'!$B:$E,4,FALSE)</f>
        <v>#N/A</v>
      </c>
    </row>
    <row r="514" spans="2:6" x14ac:dyDescent="0.25">
      <c r="B514" s="24"/>
      <c r="C514" s="17"/>
      <c r="D514" s="5" t="e">
        <f>VLOOKUP(B514,'[1]Base de datos'!$B:$F,2,FALSE)</f>
        <v>#N/A</v>
      </c>
      <c r="E514" t="e">
        <f>VLOOKUP(B514,'[1]Base de datos'!$B:$E,3,FALSE)</f>
        <v>#N/A</v>
      </c>
      <c r="F514" t="e">
        <f>VLOOKUP(B514,'[1]Base de datos'!$B:$E,4,FALSE)</f>
        <v>#N/A</v>
      </c>
    </row>
    <row r="515" spans="2:6" x14ac:dyDescent="0.25">
      <c r="B515" s="24"/>
      <c r="C515" s="17"/>
      <c r="D515" s="5" t="e">
        <f>VLOOKUP(B515,'[1]Base de datos'!$B:$F,2,FALSE)</f>
        <v>#N/A</v>
      </c>
      <c r="E515" t="e">
        <f>VLOOKUP(B515,'[1]Base de datos'!$B:$E,3,FALSE)</f>
        <v>#N/A</v>
      </c>
      <c r="F515" t="e">
        <f>VLOOKUP(B515,'[1]Base de datos'!$B:$E,4,FALSE)</f>
        <v>#N/A</v>
      </c>
    </row>
    <row r="516" spans="2:6" x14ac:dyDescent="0.25">
      <c r="B516" s="24"/>
      <c r="C516" s="17"/>
      <c r="D516" s="5" t="e">
        <f>VLOOKUP(B516,'[1]Base de datos'!$B:$F,2,FALSE)</f>
        <v>#N/A</v>
      </c>
      <c r="E516" t="e">
        <f>VLOOKUP(B516,'[1]Base de datos'!$B:$E,3,FALSE)</f>
        <v>#N/A</v>
      </c>
      <c r="F516" t="e">
        <f>VLOOKUP(B516,'[1]Base de datos'!$B:$E,4,FALSE)</f>
        <v>#N/A</v>
      </c>
    </row>
    <row r="517" spans="2:6" x14ac:dyDescent="0.25">
      <c r="B517" s="24"/>
      <c r="C517" s="17"/>
      <c r="D517" s="5" t="e">
        <f>VLOOKUP(B517,'[1]Base de datos'!$B:$F,2,FALSE)</f>
        <v>#N/A</v>
      </c>
      <c r="E517" t="e">
        <f>VLOOKUP(B517,'[1]Base de datos'!$B:$E,3,FALSE)</f>
        <v>#N/A</v>
      </c>
      <c r="F517" t="e">
        <f>VLOOKUP(B517,'[1]Base de datos'!$B:$E,4,FALSE)</f>
        <v>#N/A</v>
      </c>
    </row>
    <row r="518" spans="2:6" x14ac:dyDescent="0.25">
      <c r="B518" s="24"/>
      <c r="C518" s="17"/>
      <c r="D518" s="5" t="e">
        <f>VLOOKUP(B518,'[1]Base de datos'!$B:$F,2,FALSE)</f>
        <v>#N/A</v>
      </c>
      <c r="E518" t="e">
        <f>VLOOKUP(B518,'[1]Base de datos'!$B:$E,3,FALSE)</f>
        <v>#N/A</v>
      </c>
      <c r="F518" t="e">
        <f>VLOOKUP(B518,'[1]Base de datos'!$B:$E,4,FALSE)</f>
        <v>#N/A</v>
      </c>
    </row>
    <row r="519" spans="2:6" x14ac:dyDescent="0.25">
      <c r="B519" s="24"/>
      <c r="C519" s="17"/>
      <c r="D519" s="5" t="e">
        <f>VLOOKUP(B519,'[1]Base de datos'!$B:$F,2,FALSE)</f>
        <v>#N/A</v>
      </c>
      <c r="E519" t="e">
        <f>VLOOKUP(B519,'[1]Base de datos'!$B:$E,3,FALSE)</f>
        <v>#N/A</v>
      </c>
      <c r="F519" t="e">
        <f>VLOOKUP(B519,'[1]Base de datos'!$B:$E,4,FALSE)</f>
        <v>#N/A</v>
      </c>
    </row>
    <row r="520" spans="2:6" x14ac:dyDescent="0.25">
      <c r="B520" s="24"/>
      <c r="C520" s="17"/>
      <c r="D520" s="5" t="e">
        <f>VLOOKUP(B520,'[1]Base de datos'!$B:$F,2,FALSE)</f>
        <v>#N/A</v>
      </c>
      <c r="E520" t="e">
        <f>VLOOKUP(B520,'[1]Base de datos'!$B:$E,3,FALSE)</f>
        <v>#N/A</v>
      </c>
      <c r="F520" t="e">
        <f>VLOOKUP(B520,'[1]Base de datos'!$B:$E,4,FALSE)</f>
        <v>#N/A</v>
      </c>
    </row>
    <row r="521" spans="2:6" x14ac:dyDescent="0.25">
      <c r="B521" s="24"/>
      <c r="C521" s="17"/>
      <c r="D521" s="5" t="e">
        <f>VLOOKUP(B521,'[1]Base de datos'!$B:$F,2,FALSE)</f>
        <v>#N/A</v>
      </c>
      <c r="E521" t="e">
        <f>VLOOKUP(B521,'[1]Base de datos'!$B:$E,3,FALSE)</f>
        <v>#N/A</v>
      </c>
      <c r="F521" t="e">
        <f>VLOOKUP(B521,'[1]Base de datos'!$B:$E,4,FALSE)</f>
        <v>#N/A</v>
      </c>
    </row>
    <row r="522" spans="2:6" x14ac:dyDescent="0.25">
      <c r="B522" s="24"/>
      <c r="C522" s="17"/>
      <c r="D522" s="5" t="e">
        <f>VLOOKUP(B522,'[1]Base de datos'!$B:$F,2,FALSE)</f>
        <v>#N/A</v>
      </c>
      <c r="E522" t="e">
        <f>VLOOKUP(B522,'[1]Base de datos'!$B:$E,3,FALSE)</f>
        <v>#N/A</v>
      </c>
      <c r="F522" t="e">
        <f>VLOOKUP(B522,'[1]Base de datos'!$B:$E,4,FALSE)</f>
        <v>#N/A</v>
      </c>
    </row>
    <row r="523" spans="2:6" x14ac:dyDescent="0.25">
      <c r="B523" s="24"/>
      <c r="C523" s="17"/>
      <c r="D523" s="5" t="e">
        <f>VLOOKUP(B523,'[1]Base de datos'!$B:$F,2,FALSE)</f>
        <v>#N/A</v>
      </c>
      <c r="E523" t="e">
        <f>VLOOKUP(B523,'[1]Base de datos'!$B:$E,3,FALSE)</f>
        <v>#N/A</v>
      </c>
      <c r="F523" t="e">
        <f>VLOOKUP(B523,'[1]Base de datos'!$B:$E,4,FALSE)</f>
        <v>#N/A</v>
      </c>
    </row>
    <row r="524" spans="2:6" x14ac:dyDescent="0.25">
      <c r="B524" s="24"/>
      <c r="C524" s="17"/>
      <c r="D524" s="5" t="e">
        <f>VLOOKUP(B524,'[1]Base de datos'!$B:$F,2,FALSE)</f>
        <v>#N/A</v>
      </c>
      <c r="E524" t="e">
        <f>VLOOKUP(B524,'[1]Base de datos'!$B:$E,3,FALSE)</f>
        <v>#N/A</v>
      </c>
      <c r="F524" t="e">
        <f>VLOOKUP(B524,'[1]Base de datos'!$B:$E,4,FALSE)</f>
        <v>#N/A</v>
      </c>
    </row>
    <row r="525" spans="2:6" x14ac:dyDescent="0.25">
      <c r="B525" s="24"/>
      <c r="C525" s="17"/>
      <c r="D525" s="5" t="e">
        <f>VLOOKUP(B525,'[1]Base de datos'!$B:$F,2,FALSE)</f>
        <v>#N/A</v>
      </c>
      <c r="E525" t="e">
        <f>VLOOKUP(B525,'[1]Base de datos'!$B:$E,3,FALSE)</f>
        <v>#N/A</v>
      </c>
      <c r="F525" t="e">
        <f>VLOOKUP(B525,'[1]Base de datos'!$B:$E,4,FALSE)</f>
        <v>#N/A</v>
      </c>
    </row>
    <row r="526" spans="2:6" x14ac:dyDescent="0.25">
      <c r="B526" s="24"/>
      <c r="C526" s="17"/>
      <c r="D526" s="5" t="e">
        <f>VLOOKUP(B526,'[1]Base de datos'!$B:$F,2,FALSE)</f>
        <v>#N/A</v>
      </c>
      <c r="E526" t="e">
        <f>VLOOKUP(B526,'[1]Base de datos'!$B:$E,3,FALSE)</f>
        <v>#N/A</v>
      </c>
      <c r="F526" t="e">
        <f>VLOOKUP(B526,'[1]Base de datos'!$B:$E,4,FALSE)</f>
        <v>#N/A</v>
      </c>
    </row>
    <row r="527" spans="2:6" x14ac:dyDescent="0.25">
      <c r="B527" s="24"/>
      <c r="C527" s="17"/>
      <c r="D527" s="5" t="e">
        <f>VLOOKUP(B527,'[1]Base de datos'!$B:$F,2,FALSE)</f>
        <v>#N/A</v>
      </c>
      <c r="E527" t="e">
        <f>VLOOKUP(B527,'[1]Base de datos'!$B:$E,3,FALSE)</f>
        <v>#N/A</v>
      </c>
      <c r="F527" t="e">
        <f>VLOOKUP(B527,'[1]Base de datos'!$B:$E,4,FALSE)</f>
        <v>#N/A</v>
      </c>
    </row>
    <row r="528" spans="2:6" x14ac:dyDescent="0.25">
      <c r="B528" s="24"/>
      <c r="C528" s="17"/>
      <c r="D528" s="5" t="e">
        <f>VLOOKUP(B528,'[1]Base de datos'!$B:$F,2,FALSE)</f>
        <v>#N/A</v>
      </c>
      <c r="E528" t="e">
        <f>VLOOKUP(B528,'[1]Base de datos'!$B:$E,3,FALSE)</f>
        <v>#N/A</v>
      </c>
      <c r="F528" t="e">
        <f>VLOOKUP(B528,'[1]Base de datos'!$B:$E,4,FALSE)</f>
        <v>#N/A</v>
      </c>
    </row>
    <row r="529" spans="2:6" x14ac:dyDescent="0.25">
      <c r="B529" s="24"/>
      <c r="C529" s="17"/>
      <c r="D529" s="5" t="e">
        <f>VLOOKUP(B529,'[1]Base de datos'!$B:$F,2,FALSE)</f>
        <v>#N/A</v>
      </c>
      <c r="E529" t="e">
        <f>VLOOKUP(B529,'[1]Base de datos'!$B:$E,3,FALSE)</f>
        <v>#N/A</v>
      </c>
      <c r="F529" t="e">
        <f>VLOOKUP(B529,'[1]Base de datos'!$B:$E,4,FALSE)</f>
        <v>#N/A</v>
      </c>
    </row>
    <row r="530" spans="2:6" x14ac:dyDescent="0.25">
      <c r="B530" s="24"/>
      <c r="C530" s="17"/>
      <c r="D530" s="5" t="e">
        <f>VLOOKUP(B530,'[1]Base de datos'!$B:$F,2,FALSE)</f>
        <v>#N/A</v>
      </c>
      <c r="E530" t="e">
        <f>VLOOKUP(B530,'[1]Base de datos'!$B:$E,3,FALSE)</f>
        <v>#N/A</v>
      </c>
      <c r="F530" t="e">
        <f>VLOOKUP(B530,'[1]Base de datos'!$B:$E,4,FALSE)</f>
        <v>#N/A</v>
      </c>
    </row>
    <row r="531" spans="2:6" x14ac:dyDescent="0.25">
      <c r="B531" s="24"/>
      <c r="C531" s="17"/>
      <c r="D531" s="5" t="e">
        <f>VLOOKUP(B531,'[1]Base de datos'!$B:$F,2,FALSE)</f>
        <v>#N/A</v>
      </c>
      <c r="E531" t="e">
        <f>VLOOKUP(B531,'[1]Base de datos'!$B:$E,3,FALSE)</f>
        <v>#N/A</v>
      </c>
      <c r="F531" t="e">
        <f>VLOOKUP(B531,'[1]Base de datos'!$B:$E,4,FALSE)</f>
        <v>#N/A</v>
      </c>
    </row>
    <row r="532" spans="2:6" x14ac:dyDescent="0.25">
      <c r="B532" s="24"/>
      <c r="C532" s="17"/>
      <c r="D532" s="5" t="e">
        <f>VLOOKUP(B532,'[1]Base de datos'!$B:$F,2,FALSE)</f>
        <v>#N/A</v>
      </c>
      <c r="E532" t="e">
        <f>VLOOKUP(B532,'[1]Base de datos'!$B:$E,3,FALSE)</f>
        <v>#N/A</v>
      </c>
      <c r="F532" t="e">
        <f>VLOOKUP(B532,'[1]Base de datos'!$B:$E,4,FALSE)</f>
        <v>#N/A</v>
      </c>
    </row>
    <row r="533" spans="2:6" x14ac:dyDescent="0.25">
      <c r="B533" s="24"/>
      <c r="C533" s="17"/>
      <c r="D533" s="5" t="e">
        <f>VLOOKUP(B533,'[1]Base de datos'!$B:$F,2,FALSE)</f>
        <v>#N/A</v>
      </c>
      <c r="E533" t="e">
        <f>VLOOKUP(B533,'[1]Base de datos'!$B:$E,3,FALSE)</f>
        <v>#N/A</v>
      </c>
      <c r="F533" t="e">
        <f>VLOOKUP(B533,'[1]Base de datos'!$B:$E,4,FALSE)</f>
        <v>#N/A</v>
      </c>
    </row>
    <row r="534" spans="2:6" x14ac:dyDescent="0.25">
      <c r="B534" s="24"/>
      <c r="C534" s="17"/>
      <c r="D534" s="5" t="e">
        <f>VLOOKUP(B534,'[1]Base de datos'!$B:$F,2,FALSE)</f>
        <v>#N/A</v>
      </c>
      <c r="E534" t="e">
        <f>VLOOKUP(B534,'[1]Base de datos'!$B:$E,3,FALSE)</f>
        <v>#N/A</v>
      </c>
      <c r="F534" t="e">
        <f>VLOOKUP(B534,'[1]Base de datos'!$B:$E,4,FALSE)</f>
        <v>#N/A</v>
      </c>
    </row>
    <row r="535" spans="2:6" x14ac:dyDescent="0.25">
      <c r="B535" s="24"/>
      <c r="C535" s="17"/>
      <c r="D535" s="5" t="e">
        <f>VLOOKUP(B535,'[1]Base de datos'!$B:$F,2,FALSE)</f>
        <v>#N/A</v>
      </c>
      <c r="E535" t="e">
        <f>VLOOKUP(B535,'[1]Base de datos'!$B:$E,3,FALSE)</f>
        <v>#N/A</v>
      </c>
      <c r="F535" t="e">
        <f>VLOOKUP(B535,'[1]Base de datos'!$B:$E,4,FALSE)</f>
        <v>#N/A</v>
      </c>
    </row>
    <row r="536" spans="2:6" x14ac:dyDescent="0.25">
      <c r="B536" s="24"/>
      <c r="C536" s="17"/>
      <c r="D536" s="5" t="e">
        <f>VLOOKUP(B536,'[1]Base de datos'!$B:$F,2,FALSE)</f>
        <v>#N/A</v>
      </c>
      <c r="E536" t="e">
        <f>VLOOKUP(B536,'[1]Base de datos'!$B:$E,3,FALSE)</f>
        <v>#N/A</v>
      </c>
      <c r="F536" t="e">
        <f>VLOOKUP(B536,'[1]Base de datos'!$B:$E,4,FALSE)</f>
        <v>#N/A</v>
      </c>
    </row>
    <row r="537" spans="2:6" x14ac:dyDescent="0.25">
      <c r="B537" s="24"/>
      <c r="C537" s="17"/>
      <c r="D537" s="5" t="e">
        <f>VLOOKUP(B537,'[1]Base de datos'!$B:$F,2,FALSE)</f>
        <v>#N/A</v>
      </c>
      <c r="E537" t="e">
        <f>VLOOKUP(B537,'[1]Base de datos'!$B:$E,3,FALSE)</f>
        <v>#N/A</v>
      </c>
      <c r="F537" t="e">
        <f>VLOOKUP(B537,'[1]Base de datos'!$B:$E,4,FALSE)</f>
        <v>#N/A</v>
      </c>
    </row>
    <row r="538" spans="2:6" x14ac:dyDescent="0.25">
      <c r="B538" s="24"/>
      <c r="C538" s="17"/>
      <c r="D538" s="5" t="e">
        <f>VLOOKUP(B538,'[1]Base de datos'!$B:$F,2,FALSE)</f>
        <v>#N/A</v>
      </c>
      <c r="E538" t="e">
        <f>VLOOKUP(B538,'[1]Base de datos'!$B:$E,3,FALSE)</f>
        <v>#N/A</v>
      </c>
      <c r="F538" t="e">
        <f>VLOOKUP(B538,'[1]Base de datos'!$B:$E,4,FALSE)</f>
        <v>#N/A</v>
      </c>
    </row>
    <row r="539" spans="2:6" x14ac:dyDescent="0.25">
      <c r="B539" s="24"/>
      <c r="C539" s="17"/>
      <c r="D539" s="5" t="e">
        <f>VLOOKUP(B539,'[1]Base de datos'!$B:$F,2,FALSE)</f>
        <v>#N/A</v>
      </c>
      <c r="E539" t="e">
        <f>VLOOKUP(B539,'[1]Base de datos'!$B:$E,3,FALSE)</f>
        <v>#N/A</v>
      </c>
      <c r="F539" t="e">
        <f>VLOOKUP(B539,'[1]Base de datos'!$B:$E,4,FALSE)</f>
        <v>#N/A</v>
      </c>
    </row>
    <row r="540" spans="2:6" x14ac:dyDescent="0.25">
      <c r="B540" s="24"/>
      <c r="C540" s="17"/>
      <c r="D540" s="5" t="e">
        <f>VLOOKUP(B540,'[1]Base de datos'!$B:$F,2,FALSE)</f>
        <v>#N/A</v>
      </c>
      <c r="E540" t="e">
        <f>VLOOKUP(B540,'[1]Base de datos'!$B:$E,3,FALSE)</f>
        <v>#N/A</v>
      </c>
      <c r="F540" t="e">
        <f>VLOOKUP(B540,'[1]Base de datos'!$B:$E,4,FALSE)</f>
        <v>#N/A</v>
      </c>
    </row>
    <row r="541" spans="2:6" x14ac:dyDescent="0.25">
      <c r="B541" s="24"/>
      <c r="C541" s="17"/>
      <c r="D541" s="5" t="e">
        <f>VLOOKUP(B541,'[1]Base de datos'!$B:$F,2,FALSE)</f>
        <v>#N/A</v>
      </c>
      <c r="E541" t="e">
        <f>VLOOKUP(B541,'[1]Base de datos'!$B:$E,3,FALSE)</f>
        <v>#N/A</v>
      </c>
      <c r="F541" t="e">
        <f>VLOOKUP(B541,'[1]Base de datos'!$B:$E,4,FALSE)</f>
        <v>#N/A</v>
      </c>
    </row>
    <row r="542" spans="2:6" x14ac:dyDescent="0.25">
      <c r="B542" s="24"/>
      <c r="C542" s="17"/>
      <c r="D542" s="5" t="e">
        <f>VLOOKUP(B542,'[1]Base de datos'!$B:$F,2,FALSE)</f>
        <v>#N/A</v>
      </c>
      <c r="E542" t="e">
        <f>VLOOKUP(B542,'[1]Base de datos'!$B:$E,3,FALSE)</f>
        <v>#N/A</v>
      </c>
      <c r="F542" t="e">
        <f>VLOOKUP(B542,'[1]Base de datos'!$B:$E,4,FALSE)</f>
        <v>#N/A</v>
      </c>
    </row>
    <row r="543" spans="2:6" x14ac:dyDescent="0.25">
      <c r="B543" s="24"/>
      <c r="C543" s="17"/>
      <c r="D543" s="5" t="e">
        <f>VLOOKUP(B543,'[1]Base de datos'!$B:$F,2,FALSE)</f>
        <v>#N/A</v>
      </c>
      <c r="E543" t="e">
        <f>VLOOKUP(B543,'[1]Base de datos'!$B:$E,3,FALSE)</f>
        <v>#N/A</v>
      </c>
      <c r="F543" t="e">
        <f>VLOOKUP(B543,'[1]Base de datos'!$B:$E,4,FALSE)</f>
        <v>#N/A</v>
      </c>
    </row>
    <row r="544" spans="2:6" x14ac:dyDescent="0.25">
      <c r="B544" s="24"/>
      <c r="C544" s="17"/>
      <c r="D544" s="5" t="e">
        <f>VLOOKUP(B544,'[1]Base de datos'!$B:$F,2,FALSE)</f>
        <v>#N/A</v>
      </c>
      <c r="E544" t="e">
        <f>VLOOKUP(B544,'[1]Base de datos'!$B:$E,3,FALSE)</f>
        <v>#N/A</v>
      </c>
      <c r="F544" t="e">
        <f>VLOOKUP(B544,'[1]Base de datos'!$B:$E,4,FALSE)</f>
        <v>#N/A</v>
      </c>
    </row>
    <row r="545" spans="2:6" x14ac:dyDescent="0.25">
      <c r="B545" s="24"/>
      <c r="C545" s="17"/>
      <c r="D545" s="5" t="e">
        <f>VLOOKUP(B545,'[1]Base de datos'!$B:$F,2,FALSE)</f>
        <v>#N/A</v>
      </c>
      <c r="E545" t="e">
        <f>VLOOKUP(B545,'[1]Base de datos'!$B:$E,3,FALSE)</f>
        <v>#N/A</v>
      </c>
      <c r="F545" t="e">
        <f>VLOOKUP(B545,'[1]Base de datos'!$B:$E,4,FALSE)</f>
        <v>#N/A</v>
      </c>
    </row>
    <row r="546" spans="2:6" x14ac:dyDescent="0.25">
      <c r="B546" s="24"/>
      <c r="C546" s="17"/>
      <c r="D546" s="5" t="e">
        <f>VLOOKUP(B546,'[1]Base de datos'!$B:$F,2,FALSE)</f>
        <v>#N/A</v>
      </c>
      <c r="E546" t="e">
        <f>VLOOKUP(B546,'[1]Base de datos'!$B:$E,3,FALSE)</f>
        <v>#N/A</v>
      </c>
      <c r="F546" t="e">
        <f>VLOOKUP(B546,'[1]Base de datos'!$B:$E,4,FALSE)</f>
        <v>#N/A</v>
      </c>
    </row>
    <row r="547" spans="2:6" x14ac:dyDescent="0.25">
      <c r="B547" s="24"/>
      <c r="C547" s="17"/>
      <c r="D547" s="5" t="e">
        <f>VLOOKUP(B547,'[1]Base de datos'!$B:$F,2,FALSE)</f>
        <v>#N/A</v>
      </c>
      <c r="E547" t="e">
        <f>VLOOKUP(B547,'[1]Base de datos'!$B:$E,3,FALSE)</f>
        <v>#N/A</v>
      </c>
      <c r="F547" t="e">
        <f>VLOOKUP(B547,'[1]Base de datos'!$B:$E,4,FALSE)</f>
        <v>#N/A</v>
      </c>
    </row>
    <row r="548" spans="2:6" x14ac:dyDescent="0.25">
      <c r="B548" s="24"/>
      <c r="C548" s="17"/>
      <c r="D548" s="5" t="e">
        <f>VLOOKUP(B548,'[1]Base de datos'!$B:$F,2,FALSE)</f>
        <v>#N/A</v>
      </c>
      <c r="E548" t="e">
        <f>VLOOKUP(B548,'[1]Base de datos'!$B:$E,3,FALSE)</f>
        <v>#N/A</v>
      </c>
      <c r="F548" t="e">
        <f>VLOOKUP(B548,'[1]Base de datos'!$B:$E,4,FALSE)</f>
        <v>#N/A</v>
      </c>
    </row>
    <row r="549" spans="2:6" x14ac:dyDescent="0.25">
      <c r="B549" s="24"/>
      <c r="C549" s="17"/>
      <c r="D549" s="5" t="e">
        <f>VLOOKUP(B549,'[1]Base de datos'!$B:$F,2,FALSE)</f>
        <v>#N/A</v>
      </c>
      <c r="E549" t="e">
        <f>VLOOKUP(B549,'[1]Base de datos'!$B:$E,3,FALSE)</f>
        <v>#N/A</v>
      </c>
      <c r="F549" t="e">
        <f>VLOOKUP(B549,'[1]Base de datos'!$B:$E,4,FALSE)</f>
        <v>#N/A</v>
      </c>
    </row>
    <row r="550" spans="2:6" x14ac:dyDescent="0.25">
      <c r="B550" s="24"/>
      <c r="C550" s="17"/>
      <c r="D550" s="5" t="e">
        <f>VLOOKUP(B550,'[1]Base de datos'!$B:$F,2,FALSE)</f>
        <v>#N/A</v>
      </c>
      <c r="E550" t="e">
        <f>VLOOKUP(B550,'[1]Base de datos'!$B:$E,3,FALSE)</f>
        <v>#N/A</v>
      </c>
      <c r="F550" t="e">
        <f>VLOOKUP(B550,'[1]Base de datos'!$B:$E,4,FALSE)</f>
        <v>#N/A</v>
      </c>
    </row>
    <row r="551" spans="2:6" x14ac:dyDescent="0.25">
      <c r="B551" s="24"/>
      <c r="C551" s="17"/>
      <c r="D551" s="5" t="e">
        <f>VLOOKUP(B551,'[1]Base de datos'!$B:$F,2,FALSE)</f>
        <v>#N/A</v>
      </c>
      <c r="E551" t="e">
        <f>VLOOKUP(B551,'[1]Base de datos'!$B:$E,3,FALSE)</f>
        <v>#N/A</v>
      </c>
      <c r="F551" t="e">
        <f>VLOOKUP(B551,'[1]Base de datos'!$B:$E,4,FALSE)</f>
        <v>#N/A</v>
      </c>
    </row>
    <row r="552" spans="2:6" x14ac:dyDescent="0.25">
      <c r="B552" s="24"/>
      <c r="C552" s="17"/>
      <c r="D552" s="5" t="e">
        <f>VLOOKUP(B552,'[1]Base de datos'!$B:$F,2,FALSE)</f>
        <v>#N/A</v>
      </c>
      <c r="E552" t="e">
        <f>VLOOKUP(B552,'[1]Base de datos'!$B:$E,3,FALSE)</f>
        <v>#N/A</v>
      </c>
      <c r="F552" t="e">
        <f>VLOOKUP(B552,'[1]Base de datos'!$B:$E,4,FALSE)</f>
        <v>#N/A</v>
      </c>
    </row>
    <row r="553" spans="2:6" x14ac:dyDescent="0.25">
      <c r="B553" s="24"/>
      <c r="C553" s="17"/>
      <c r="D553" s="5" t="e">
        <f>VLOOKUP(B553,'[1]Base de datos'!$B:$F,2,FALSE)</f>
        <v>#N/A</v>
      </c>
      <c r="E553" t="e">
        <f>VLOOKUP(B553,'[1]Base de datos'!$B:$E,3,FALSE)</f>
        <v>#N/A</v>
      </c>
      <c r="F553" t="e">
        <f>VLOOKUP(B553,'[1]Base de datos'!$B:$E,4,FALSE)</f>
        <v>#N/A</v>
      </c>
    </row>
    <row r="554" spans="2:6" x14ac:dyDescent="0.25">
      <c r="B554" s="24"/>
      <c r="C554" s="17"/>
      <c r="D554" s="5" t="e">
        <f>VLOOKUP(B554,'[1]Base de datos'!$B:$F,2,FALSE)</f>
        <v>#N/A</v>
      </c>
      <c r="E554" t="e">
        <f>VLOOKUP(B554,'[1]Base de datos'!$B:$E,3,FALSE)</f>
        <v>#N/A</v>
      </c>
      <c r="F554" t="e">
        <f>VLOOKUP(B554,'[1]Base de datos'!$B:$E,4,FALSE)</f>
        <v>#N/A</v>
      </c>
    </row>
    <row r="555" spans="2:6" x14ac:dyDescent="0.25">
      <c r="B555" s="24"/>
      <c r="C555" s="17"/>
      <c r="D555" s="5" t="e">
        <f>VLOOKUP(B555,'[1]Base de datos'!$B:$F,2,FALSE)</f>
        <v>#N/A</v>
      </c>
      <c r="E555" t="e">
        <f>VLOOKUP(B555,'[1]Base de datos'!$B:$E,3,FALSE)</f>
        <v>#N/A</v>
      </c>
      <c r="F555" t="e">
        <f>VLOOKUP(B555,'[1]Base de datos'!$B:$E,4,FALSE)</f>
        <v>#N/A</v>
      </c>
    </row>
    <row r="556" spans="2:6" x14ac:dyDescent="0.25">
      <c r="B556" s="24"/>
      <c r="C556" s="17"/>
      <c r="D556" s="5" t="e">
        <f>VLOOKUP(B556,'[1]Base de datos'!$B:$F,2,FALSE)</f>
        <v>#N/A</v>
      </c>
      <c r="E556" t="e">
        <f>VLOOKUP(B556,'[1]Base de datos'!$B:$E,3,FALSE)</f>
        <v>#N/A</v>
      </c>
      <c r="F556" t="e">
        <f>VLOOKUP(B556,'[1]Base de datos'!$B:$E,4,FALSE)</f>
        <v>#N/A</v>
      </c>
    </row>
    <row r="557" spans="2:6" x14ac:dyDescent="0.25">
      <c r="B557" s="24"/>
      <c r="C557" s="17"/>
      <c r="D557" s="5" t="e">
        <f>VLOOKUP(B557,'[1]Base de datos'!$B:$F,2,FALSE)</f>
        <v>#N/A</v>
      </c>
      <c r="E557" t="e">
        <f>VLOOKUP(B557,'[1]Base de datos'!$B:$E,3,FALSE)</f>
        <v>#N/A</v>
      </c>
      <c r="F557" t="e">
        <f>VLOOKUP(B557,'[1]Base de datos'!$B:$E,4,FALSE)</f>
        <v>#N/A</v>
      </c>
    </row>
    <row r="558" spans="2:6" x14ac:dyDescent="0.25">
      <c r="B558" s="24"/>
      <c r="C558" s="17"/>
      <c r="D558" s="5" t="e">
        <f>VLOOKUP(B558,'[1]Base de datos'!$B:$F,2,FALSE)</f>
        <v>#N/A</v>
      </c>
      <c r="E558" t="e">
        <f>VLOOKUP(B558,'[1]Base de datos'!$B:$E,3,FALSE)</f>
        <v>#N/A</v>
      </c>
      <c r="F558" t="e">
        <f>VLOOKUP(B558,'[1]Base de datos'!$B:$E,4,FALSE)</f>
        <v>#N/A</v>
      </c>
    </row>
    <row r="559" spans="2:6" x14ac:dyDescent="0.25">
      <c r="B559" s="24"/>
      <c r="C559" s="17"/>
      <c r="D559" s="5" t="e">
        <f>VLOOKUP(B559,'[1]Base de datos'!$B:$F,2,FALSE)</f>
        <v>#N/A</v>
      </c>
      <c r="E559" t="e">
        <f>VLOOKUP(B559,'[1]Base de datos'!$B:$E,3,FALSE)</f>
        <v>#N/A</v>
      </c>
      <c r="F559" t="e">
        <f>VLOOKUP(B559,'[1]Base de datos'!$B:$E,4,FALSE)</f>
        <v>#N/A</v>
      </c>
    </row>
    <row r="560" spans="2:6" x14ac:dyDescent="0.25">
      <c r="B560" s="24"/>
      <c r="C560" s="17"/>
      <c r="D560" s="5" t="e">
        <f>VLOOKUP(B560,'[1]Base de datos'!$B:$F,2,FALSE)</f>
        <v>#N/A</v>
      </c>
      <c r="E560" t="e">
        <f>VLOOKUP(B560,'[1]Base de datos'!$B:$E,3,FALSE)</f>
        <v>#N/A</v>
      </c>
      <c r="F560" t="e">
        <f>VLOOKUP(B560,'[1]Base de datos'!$B:$E,4,FALSE)</f>
        <v>#N/A</v>
      </c>
    </row>
    <row r="561" spans="2:6" x14ac:dyDescent="0.25">
      <c r="B561" s="24"/>
      <c r="C561" s="17"/>
      <c r="D561" s="5" t="e">
        <f>VLOOKUP(B561,'[1]Base de datos'!$B:$F,2,FALSE)</f>
        <v>#N/A</v>
      </c>
      <c r="E561" t="e">
        <f>VLOOKUP(B561,'[1]Base de datos'!$B:$E,3,FALSE)</f>
        <v>#N/A</v>
      </c>
      <c r="F561" t="e">
        <f>VLOOKUP(B561,'[1]Base de datos'!$B:$E,4,FALSE)</f>
        <v>#N/A</v>
      </c>
    </row>
    <row r="562" spans="2:6" x14ac:dyDescent="0.25">
      <c r="B562" s="24"/>
      <c r="C562" s="17"/>
      <c r="D562" s="5" t="e">
        <f>VLOOKUP(B562,'[1]Base de datos'!$B:$F,2,FALSE)</f>
        <v>#N/A</v>
      </c>
      <c r="E562" t="e">
        <f>VLOOKUP(B562,'[1]Base de datos'!$B:$E,3,FALSE)</f>
        <v>#N/A</v>
      </c>
      <c r="F562" t="e">
        <f>VLOOKUP(B562,'[1]Base de datos'!$B:$E,4,FALSE)</f>
        <v>#N/A</v>
      </c>
    </row>
    <row r="563" spans="2:6" x14ac:dyDescent="0.25">
      <c r="B563" s="24"/>
      <c r="C563" s="17"/>
      <c r="D563" s="5" t="e">
        <f>VLOOKUP(B563,'[1]Base de datos'!$B:$F,2,FALSE)</f>
        <v>#N/A</v>
      </c>
      <c r="E563" t="e">
        <f>VLOOKUP(B563,'[1]Base de datos'!$B:$E,3,FALSE)</f>
        <v>#N/A</v>
      </c>
      <c r="F563" t="e">
        <f>VLOOKUP(B563,'[1]Base de datos'!$B:$E,4,FALSE)</f>
        <v>#N/A</v>
      </c>
    </row>
    <row r="564" spans="2:6" x14ac:dyDescent="0.25">
      <c r="B564" s="24"/>
      <c r="C564" s="17"/>
      <c r="D564" s="5" t="e">
        <f>VLOOKUP(B564,'[1]Base de datos'!$B:$F,2,FALSE)</f>
        <v>#N/A</v>
      </c>
      <c r="E564" t="e">
        <f>VLOOKUP(B564,'[1]Base de datos'!$B:$E,3,FALSE)</f>
        <v>#N/A</v>
      </c>
      <c r="F564" t="e">
        <f>VLOOKUP(B564,'[1]Base de datos'!$B:$E,4,FALSE)</f>
        <v>#N/A</v>
      </c>
    </row>
    <row r="565" spans="2:6" x14ac:dyDescent="0.25">
      <c r="B565" s="24"/>
      <c r="C565" s="17"/>
      <c r="D565" s="5" t="e">
        <f>VLOOKUP(B565,'[1]Base de datos'!$B:$F,2,FALSE)</f>
        <v>#N/A</v>
      </c>
      <c r="E565" t="e">
        <f>VLOOKUP(B565,'[1]Base de datos'!$B:$E,3,FALSE)</f>
        <v>#N/A</v>
      </c>
      <c r="F565" t="e">
        <f>VLOOKUP(B565,'[1]Base de datos'!$B:$E,4,FALSE)</f>
        <v>#N/A</v>
      </c>
    </row>
    <row r="566" spans="2:6" x14ac:dyDescent="0.25">
      <c r="B566" s="24"/>
      <c r="C566" s="17"/>
      <c r="D566" s="5" t="e">
        <f>VLOOKUP(B566,'[1]Base de datos'!$B:$F,2,FALSE)</f>
        <v>#N/A</v>
      </c>
      <c r="E566" t="e">
        <f>VLOOKUP(B566,'[1]Base de datos'!$B:$E,3,FALSE)</f>
        <v>#N/A</v>
      </c>
      <c r="F566" t="e">
        <f>VLOOKUP(B566,'[1]Base de datos'!$B:$E,4,FALSE)</f>
        <v>#N/A</v>
      </c>
    </row>
    <row r="567" spans="2:6" x14ac:dyDescent="0.25">
      <c r="B567" s="24"/>
      <c r="C567" s="17"/>
      <c r="D567" s="5" t="e">
        <f>VLOOKUP(B567,'[1]Base de datos'!$B:$F,2,FALSE)</f>
        <v>#N/A</v>
      </c>
      <c r="E567" t="e">
        <f>VLOOKUP(B567,'[1]Base de datos'!$B:$E,3,FALSE)</f>
        <v>#N/A</v>
      </c>
      <c r="F567" t="e">
        <f>VLOOKUP(B567,'[1]Base de datos'!$B:$E,4,FALSE)</f>
        <v>#N/A</v>
      </c>
    </row>
    <row r="568" spans="2:6" x14ac:dyDescent="0.25">
      <c r="B568" s="24"/>
      <c r="C568" s="17"/>
      <c r="D568" s="5" t="e">
        <f>VLOOKUP(B568,'[1]Base de datos'!$B:$F,2,FALSE)</f>
        <v>#N/A</v>
      </c>
      <c r="E568" t="e">
        <f>VLOOKUP(B568,'[1]Base de datos'!$B:$E,3,FALSE)</f>
        <v>#N/A</v>
      </c>
      <c r="F568" t="e">
        <f>VLOOKUP(B568,'[1]Base de datos'!$B:$E,4,FALSE)</f>
        <v>#N/A</v>
      </c>
    </row>
    <row r="569" spans="2:6" x14ac:dyDescent="0.25">
      <c r="B569" s="24"/>
      <c r="C569" s="17"/>
      <c r="D569" s="5" t="e">
        <f>VLOOKUP(B569,'[1]Base de datos'!$B:$F,2,FALSE)</f>
        <v>#N/A</v>
      </c>
      <c r="E569" t="e">
        <f>VLOOKUP(B569,'[1]Base de datos'!$B:$E,3,FALSE)</f>
        <v>#N/A</v>
      </c>
      <c r="F569" t="e">
        <f>VLOOKUP(B569,'[1]Base de datos'!$B:$E,4,FALSE)</f>
        <v>#N/A</v>
      </c>
    </row>
    <row r="570" spans="2:6" x14ac:dyDescent="0.25">
      <c r="B570" s="24"/>
      <c r="C570" s="17"/>
      <c r="D570" s="5" t="e">
        <f>VLOOKUP(B570,'[1]Base de datos'!$B:$F,2,FALSE)</f>
        <v>#N/A</v>
      </c>
      <c r="E570" t="e">
        <f>VLOOKUP(B570,'[1]Base de datos'!$B:$E,3,FALSE)</f>
        <v>#N/A</v>
      </c>
      <c r="F570" t="e">
        <f>VLOOKUP(B570,'[1]Base de datos'!$B:$E,4,FALSE)</f>
        <v>#N/A</v>
      </c>
    </row>
    <row r="571" spans="2:6" x14ac:dyDescent="0.25">
      <c r="B571" s="24"/>
      <c r="C571" s="17"/>
      <c r="D571" s="5" t="e">
        <f>VLOOKUP(B571,'[1]Base de datos'!$B:$F,2,FALSE)</f>
        <v>#N/A</v>
      </c>
      <c r="E571" t="e">
        <f>VLOOKUP(B571,'[1]Base de datos'!$B:$E,3,FALSE)</f>
        <v>#N/A</v>
      </c>
      <c r="F571" t="e">
        <f>VLOOKUP(B571,'[1]Base de datos'!$B:$E,4,FALSE)</f>
        <v>#N/A</v>
      </c>
    </row>
    <row r="572" spans="2:6" x14ac:dyDescent="0.25">
      <c r="B572" s="24"/>
      <c r="C572" s="17"/>
      <c r="D572" s="5" t="e">
        <f>VLOOKUP(B572,'[1]Base de datos'!$B:$F,2,FALSE)</f>
        <v>#N/A</v>
      </c>
      <c r="E572" t="e">
        <f>VLOOKUP(B572,'[1]Base de datos'!$B:$E,3,FALSE)</f>
        <v>#N/A</v>
      </c>
      <c r="F572" t="e">
        <f>VLOOKUP(B572,'[1]Base de datos'!$B:$E,4,FALSE)</f>
        <v>#N/A</v>
      </c>
    </row>
    <row r="573" spans="2:6" x14ac:dyDescent="0.25">
      <c r="B573" s="24"/>
      <c r="C573" s="17"/>
      <c r="D573" s="5" t="e">
        <f>VLOOKUP(B573,'[1]Base de datos'!$B:$F,2,FALSE)</f>
        <v>#N/A</v>
      </c>
      <c r="E573" t="e">
        <f>VLOOKUP(B573,'[1]Base de datos'!$B:$E,3,FALSE)</f>
        <v>#N/A</v>
      </c>
      <c r="F573" t="e">
        <f>VLOOKUP(B573,'[1]Base de datos'!$B:$E,4,FALSE)</f>
        <v>#N/A</v>
      </c>
    </row>
    <row r="574" spans="2:6" x14ac:dyDescent="0.25">
      <c r="B574" s="24"/>
      <c r="C574" s="17"/>
      <c r="D574" s="5" t="e">
        <f>VLOOKUP(B574,'[1]Base de datos'!$B:$F,2,FALSE)</f>
        <v>#N/A</v>
      </c>
      <c r="E574" t="e">
        <f>VLOOKUP(B574,'[1]Base de datos'!$B:$E,3,FALSE)</f>
        <v>#N/A</v>
      </c>
      <c r="F574" t="e">
        <f>VLOOKUP(B574,'[1]Base de datos'!$B:$E,4,FALSE)</f>
        <v>#N/A</v>
      </c>
    </row>
    <row r="575" spans="2:6" x14ac:dyDescent="0.25">
      <c r="B575" s="24"/>
      <c r="C575" s="17"/>
      <c r="D575" s="5" t="e">
        <f>VLOOKUP(B575,'[1]Base de datos'!$B:$F,2,FALSE)</f>
        <v>#N/A</v>
      </c>
      <c r="E575" t="e">
        <f>VLOOKUP(B575,'[1]Base de datos'!$B:$E,3,FALSE)</f>
        <v>#N/A</v>
      </c>
      <c r="F575" t="e">
        <f>VLOOKUP(B575,'[1]Base de datos'!$B:$E,4,FALSE)</f>
        <v>#N/A</v>
      </c>
    </row>
    <row r="576" spans="2:6" x14ac:dyDescent="0.25">
      <c r="B576" s="24"/>
      <c r="C576" s="17"/>
      <c r="D576" s="5" t="e">
        <f>VLOOKUP(B576,'[1]Base de datos'!$B:$F,2,FALSE)</f>
        <v>#N/A</v>
      </c>
      <c r="E576" t="e">
        <f>VLOOKUP(B576,'[1]Base de datos'!$B:$E,3,FALSE)</f>
        <v>#N/A</v>
      </c>
      <c r="F576" t="e">
        <f>VLOOKUP(B576,'[1]Base de datos'!$B:$E,4,FALSE)</f>
        <v>#N/A</v>
      </c>
    </row>
    <row r="577" spans="2:6" x14ac:dyDescent="0.25">
      <c r="B577" s="24"/>
      <c r="C577" s="17"/>
      <c r="D577" s="5" t="e">
        <f>VLOOKUP(B577,'[1]Base de datos'!$B:$F,2,FALSE)</f>
        <v>#N/A</v>
      </c>
      <c r="E577" t="e">
        <f>VLOOKUP(B577,'[1]Base de datos'!$B:$E,3,FALSE)</f>
        <v>#N/A</v>
      </c>
      <c r="F577" t="e">
        <f>VLOOKUP(B577,'[1]Base de datos'!$B:$E,4,FALSE)</f>
        <v>#N/A</v>
      </c>
    </row>
    <row r="578" spans="2:6" x14ac:dyDescent="0.25">
      <c r="B578" s="24"/>
      <c r="C578" s="17"/>
      <c r="D578" s="5" t="e">
        <f>VLOOKUP(B578,'[1]Base de datos'!$B:$F,2,FALSE)</f>
        <v>#N/A</v>
      </c>
      <c r="E578" t="e">
        <f>VLOOKUP(B578,'[1]Base de datos'!$B:$E,3,FALSE)</f>
        <v>#N/A</v>
      </c>
      <c r="F578" t="e">
        <f>VLOOKUP(B578,'[1]Base de datos'!$B:$E,4,FALSE)</f>
        <v>#N/A</v>
      </c>
    </row>
    <row r="579" spans="2:6" x14ac:dyDescent="0.25">
      <c r="B579" s="24"/>
      <c r="C579" s="17"/>
      <c r="D579" s="5" t="e">
        <f>VLOOKUP(B579,'[1]Base de datos'!$B:$F,2,FALSE)</f>
        <v>#N/A</v>
      </c>
      <c r="E579" t="e">
        <f>VLOOKUP(B579,'[1]Base de datos'!$B:$E,3,FALSE)</f>
        <v>#N/A</v>
      </c>
      <c r="F579" t="e">
        <f>VLOOKUP(B579,'[1]Base de datos'!$B:$E,4,FALSE)</f>
        <v>#N/A</v>
      </c>
    </row>
    <row r="580" spans="2:6" x14ac:dyDescent="0.25">
      <c r="B580" s="24"/>
      <c r="C580" s="17"/>
      <c r="D580" s="5" t="e">
        <f>VLOOKUP(B580,'[1]Base de datos'!$B:$F,2,FALSE)</f>
        <v>#N/A</v>
      </c>
      <c r="E580" t="e">
        <f>VLOOKUP(B580,'[1]Base de datos'!$B:$E,3,FALSE)</f>
        <v>#N/A</v>
      </c>
      <c r="F580" t="e">
        <f>VLOOKUP(B580,'[1]Base de datos'!$B:$E,4,FALSE)</f>
        <v>#N/A</v>
      </c>
    </row>
    <row r="581" spans="2:6" x14ac:dyDescent="0.25">
      <c r="B581" s="24"/>
      <c r="C581" s="17"/>
      <c r="D581" s="5" t="e">
        <f>VLOOKUP(B581,'[1]Base de datos'!$B:$F,2,FALSE)</f>
        <v>#N/A</v>
      </c>
      <c r="E581" t="e">
        <f>VLOOKUP(B581,'[1]Base de datos'!$B:$E,3,FALSE)</f>
        <v>#N/A</v>
      </c>
      <c r="F581" t="e">
        <f>VLOOKUP(B581,'[1]Base de datos'!$B:$E,4,FALSE)</f>
        <v>#N/A</v>
      </c>
    </row>
    <row r="582" spans="2:6" x14ac:dyDescent="0.25">
      <c r="B582" s="24"/>
      <c r="C582" s="17"/>
      <c r="D582" s="5" t="e">
        <f>VLOOKUP(B582,'[1]Base de datos'!$B:$F,2,FALSE)</f>
        <v>#N/A</v>
      </c>
      <c r="E582" t="e">
        <f>VLOOKUP(B582,'[1]Base de datos'!$B:$E,3,FALSE)</f>
        <v>#N/A</v>
      </c>
      <c r="F582" t="e">
        <f>VLOOKUP(B582,'[1]Base de datos'!$B:$E,4,FALSE)</f>
        <v>#N/A</v>
      </c>
    </row>
    <row r="583" spans="2:6" x14ac:dyDescent="0.25">
      <c r="B583" s="24"/>
      <c r="C583" s="17"/>
      <c r="D583" s="5" t="e">
        <f>VLOOKUP(B583,'[1]Base de datos'!$B:$F,2,FALSE)</f>
        <v>#N/A</v>
      </c>
      <c r="E583" t="e">
        <f>VLOOKUP(B583,'[1]Base de datos'!$B:$E,3,FALSE)</f>
        <v>#N/A</v>
      </c>
      <c r="F583" t="e">
        <f>VLOOKUP(B583,'[1]Base de datos'!$B:$E,4,FALSE)</f>
        <v>#N/A</v>
      </c>
    </row>
    <row r="584" spans="2:6" x14ac:dyDescent="0.25">
      <c r="B584" s="24"/>
      <c r="C584" s="17"/>
      <c r="D584" s="5" t="e">
        <f>VLOOKUP(B584,'[1]Base de datos'!$B:$F,2,FALSE)</f>
        <v>#N/A</v>
      </c>
      <c r="E584" t="e">
        <f>VLOOKUP(B584,'[1]Base de datos'!$B:$E,3,FALSE)</f>
        <v>#N/A</v>
      </c>
      <c r="F584" t="e">
        <f>VLOOKUP(B584,'[1]Base de datos'!$B:$E,4,FALSE)</f>
        <v>#N/A</v>
      </c>
    </row>
    <row r="585" spans="2:6" x14ac:dyDescent="0.25">
      <c r="B585" s="24"/>
      <c r="C585" s="17"/>
      <c r="D585" s="5" t="e">
        <f>VLOOKUP(B585,'[1]Base de datos'!$B:$F,2,FALSE)</f>
        <v>#N/A</v>
      </c>
      <c r="E585" t="e">
        <f>VLOOKUP(B585,'[1]Base de datos'!$B:$E,3,FALSE)</f>
        <v>#N/A</v>
      </c>
      <c r="F585" t="e">
        <f>VLOOKUP(B585,'[1]Base de datos'!$B:$E,4,FALSE)</f>
        <v>#N/A</v>
      </c>
    </row>
    <row r="586" spans="2:6" x14ac:dyDescent="0.25">
      <c r="B586" s="24"/>
      <c r="C586" s="17"/>
      <c r="D586" s="5" t="e">
        <f>VLOOKUP(B586,'[1]Base de datos'!$B:$F,2,FALSE)</f>
        <v>#N/A</v>
      </c>
      <c r="E586" t="e">
        <f>VLOOKUP(B586,'[1]Base de datos'!$B:$E,3,FALSE)</f>
        <v>#N/A</v>
      </c>
      <c r="F586" t="e">
        <f>VLOOKUP(B586,'[1]Base de datos'!$B:$E,4,FALSE)</f>
        <v>#N/A</v>
      </c>
    </row>
    <row r="587" spans="2:6" x14ac:dyDescent="0.25">
      <c r="B587" s="24"/>
      <c r="C587" s="17"/>
      <c r="D587" s="5" t="e">
        <f>VLOOKUP(B587,'[1]Base de datos'!$B:$F,2,FALSE)</f>
        <v>#N/A</v>
      </c>
      <c r="E587" t="e">
        <f>VLOOKUP(B587,'[1]Base de datos'!$B:$E,3,FALSE)</f>
        <v>#N/A</v>
      </c>
      <c r="F587" t="e">
        <f>VLOOKUP(B587,'[1]Base de datos'!$B:$E,4,FALSE)</f>
        <v>#N/A</v>
      </c>
    </row>
    <row r="588" spans="2:6" x14ac:dyDescent="0.25">
      <c r="B588" s="24"/>
      <c r="C588" s="17"/>
      <c r="D588" s="5" t="e">
        <f>VLOOKUP(B588,'[1]Base de datos'!$B:$F,2,FALSE)</f>
        <v>#N/A</v>
      </c>
      <c r="E588" t="e">
        <f>VLOOKUP(B588,'[1]Base de datos'!$B:$E,3,FALSE)</f>
        <v>#N/A</v>
      </c>
      <c r="F588" t="e">
        <f>VLOOKUP(B588,'[1]Base de datos'!$B:$E,4,FALSE)</f>
        <v>#N/A</v>
      </c>
    </row>
    <row r="589" spans="2:6" x14ac:dyDescent="0.25">
      <c r="B589" s="24"/>
      <c r="C589" s="17"/>
      <c r="D589" s="5" t="e">
        <f>VLOOKUP(B589,'[1]Base de datos'!$B:$F,2,FALSE)</f>
        <v>#N/A</v>
      </c>
      <c r="E589" t="e">
        <f>VLOOKUP(B589,'[1]Base de datos'!$B:$E,3,FALSE)</f>
        <v>#N/A</v>
      </c>
      <c r="F589" t="e">
        <f>VLOOKUP(B589,'[1]Base de datos'!$B:$E,4,FALSE)</f>
        <v>#N/A</v>
      </c>
    </row>
    <row r="590" spans="2:6" x14ac:dyDescent="0.25">
      <c r="B590" s="24"/>
      <c r="C590" s="17"/>
      <c r="D590" s="5" t="e">
        <f>VLOOKUP(B590,'[1]Base de datos'!$B:$F,2,FALSE)</f>
        <v>#N/A</v>
      </c>
      <c r="E590" t="e">
        <f>VLOOKUP(B590,'[1]Base de datos'!$B:$E,3,FALSE)</f>
        <v>#N/A</v>
      </c>
      <c r="F590" t="e">
        <f>VLOOKUP(B590,'[1]Base de datos'!$B:$E,4,FALSE)</f>
        <v>#N/A</v>
      </c>
    </row>
    <row r="591" spans="2:6" x14ac:dyDescent="0.25">
      <c r="B591" s="24"/>
      <c r="C591" s="17"/>
      <c r="D591" s="5" t="e">
        <f>VLOOKUP(B591,'[1]Base de datos'!$B:$F,2,FALSE)</f>
        <v>#N/A</v>
      </c>
      <c r="E591" t="e">
        <f>VLOOKUP(B591,'[1]Base de datos'!$B:$E,3,FALSE)</f>
        <v>#N/A</v>
      </c>
      <c r="F591" t="e">
        <f>VLOOKUP(B591,'[1]Base de datos'!$B:$E,4,FALSE)</f>
        <v>#N/A</v>
      </c>
    </row>
    <row r="592" spans="2:6" x14ac:dyDescent="0.25">
      <c r="B592" s="24"/>
      <c r="C592" s="17"/>
      <c r="D592" s="5" t="e">
        <f>VLOOKUP(B592,'[1]Base de datos'!$B:$F,2,FALSE)</f>
        <v>#N/A</v>
      </c>
      <c r="E592" t="e">
        <f>VLOOKUP(B592,'[1]Base de datos'!$B:$E,3,FALSE)</f>
        <v>#N/A</v>
      </c>
      <c r="F592" t="e">
        <f>VLOOKUP(B592,'[1]Base de datos'!$B:$E,4,FALSE)</f>
        <v>#N/A</v>
      </c>
    </row>
    <row r="593" spans="2:6" x14ac:dyDescent="0.25">
      <c r="B593" s="24"/>
      <c r="C593" s="17"/>
      <c r="D593" s="5" t="e">
        <f>VLOOKUP(B593,'[1]Base de datos'!$B:$F,2,FALSE)</f>
        <v>#N/A</v>
      </c>
      <c r="E593" t="e">
        <f>VLOOKUP(B593,'[1]Base de datos'!$B:$E,3,FALSE)</f>
        <v>#N/A</v>
      </c>
      <c r="F593" t="e">
        <f>VLOOKUP(B593,'[1]Base de datos'!$B:$E,4,FALSE)</f>
        <v>#N/A</v>
      </c>
    </row>
    <row r="594" spans="2:6" x14ac:dyDescent="0.25">
      <c r="B594" s="24"/>
      <c r="C594" s="17"/>
      <c r="D594" s="5" t="e">
        <f>VLOOKUP(B594,'[1]Base de datos'!$B:$F,2,FALSE)</f>
        <v>#N/A</v>
      </c>
      <c r="E594" t="e">
        <f>VLOOKUP(B594,'[1]Base de datos'!$B:$E,3,FALSE)</f>
        <v>#N/A</v>
      </c>
      <c r="F594" t="e">
        <f>VLOOKUP(B594,'[1]Base de datos'!$B:$E,4,FALSE)</f>
        <v>#N/A</v>
      </c>
    </row>
    <row r="595" spans="2:6" x14ac:dyDescent="0.25">
      <c r="B595" s="24"/>
      <c r="C595" s="17"/>
      <c r="D595" s="5" t="e">
        <f>VLOOKUP(B595,'[1]Base de datos'!$B:$F,2,FALSE)</f>
        <v>#N/A</v>
      </c>
      <c r="E595" t="e">
        <f>VLOOKUP(B595,'[1]Base de datos'!$B:$E,3,FALSE)</f>
        <v>#N/A</v>
      </c>
      <c r="F595" t="e">
        <f>VLOOKUP(B595,'[1]Base de datos'!$B:$E,4,FALSE)</f>
        <v>#N/A</v>
      </c>
    </row>
    <row r="596" spans="2:6" x14ac:dyDescent="0.25">
      <c r="B596" s="24"/>
      <c r="C596" s="17"/>
      <c r="D596" s="5" t="e">
        <f>VLOOKUP(B596,'[1]Base de datos'!$B:$F,2,FALSE)</f>
        <v>#N/A</v>
      </c>
      <c r="E596" t="e">
        <f>VLOOKUP(B596,'[1]Base de datos'!$B:$E,3,FALSE)</f>
        <v>#N/A</v>
      </c>
      <c r="F596" t="e">
        <f>VLOOKUP(B596,'[1]Base de datos'!$B:$E,4,FALSE)</f>
        <v>#N/A</v>
      </c>
    </row>
    <row r="597" spans="2:6" x14ac:dyDescent="0.25">
      <c r="B597" s="24"/>
      <c r="C597" s="17"/>
      <c r="D597" s="5" t="e">
        <f>VLOOKUP(B597,'[1]Base de datos'!$B:$F,2,FALSE)</f>
        <v>#N/A</v>
      </c>
      <c r="E597" t="e">
        <f>VLOOKUP(B597,'[1]Base de datos'!$B:$E,3,FALSE)</f>
        <v>#N/A</v>
      </c>
      <c r="F597" t="e">
        <f>VLOOKUP(B597,'[1]Base de datos'!$B:$E,4,FALSE)</f>
        <v>#N/A</v>
      </c>
    </row>
    <row r="598" spans="2:6" x14ac:dyDescent="0.25">
      <c r="B598" s="24"/>
      <c r="C598" s="17"/>
      <c r="D598" s="5" t="e">
        <f>VLOOKUP(B598,'[1]Base de datos'!$B:$F,2,FALSE)</f>
        <v>#N/A</v>
      </c>
      <c r="E598" t="e">
        <f>VLOOKUP(B598,'[1]Base de datos'!$B:$E,3,FALSE)</f>
        <v>#N/A</v>
      </c>
      <c r="F598" t="e">
        <f>VLOOKUP(B598,'[1]Base de datos'!$B:$E,4,FALSE)</f>
        <v>#N/A</v>
      </c>
    </row>
    <row r="599" spans="2:6" x14ac:dyDescent="0.25">
      <c r="B599" s="24"/>
      <c r="C599" s="17"/>
      <c r="D599" s="5" t="e">
        <f>VLOOKUP(B599,'[1]Base de datos'!$B:$F,2,FALSE)</f>
        <v>#N/A</v>
      </c>
      <c r="E599" t="e">
        <f>VLOOKUP(B599,'[1]Base de datos'!$B:$E,3,FALSE)</f>
        <v>#N/A</v>
      </c>
      <c r="F599" t="e">
        <f>VLOOKUP(B599,'[1]Base de datos'!$B:$E,4,FALSE)</f>
        <v>#N/A</v>
      </c>
    </row>
    <row r="600" spans="2:6" x14ac:dyDescent="0.25">
      <c r="B600" s="24"/>
      <c r="C600" s="17"/>
      <c r="D600" s="5" t="e">
        <f>VLOOKUP(B600,'[1]Base de datos'!$B:$F,2,FALSE)</f>
        <v>#N/A</v>
      </c>
      <c r="E600" t="e">
        <f>VLOOKUP(B600,'[1]Base de datos'!$B:$E,3,FALSE)</f>
        <v>#N/A</v>
      </c>
      <c r="F600" t="e">
        <f>VLOOKUP(B600,'[1]Base de datos'!$B:$E,4,FALSE)</f>
        <v>#N/A</v>
      </c>
    </row>
    <row r="601" spans="2:6" x14ac:dyDescent="0.25">
      <c r="B601" s="24"/>
      <c r="C601" s="17"/>
      <c r="D601" s="5" t="e">
        <f>VLOOKUP(B601,'[1]Base de datos'!$B:$F,2,FALSE)</f>
        <v>#N/A</v>
      </c>
      <c r="E601" t="e">
        <f>VLOOKUP(B601,'[1]Base de datos'!$B:$E,3,FALSE)</f>
        <v>#N/A</v>
      </c>
      <c r="F601" t="e">
        <f>VLOOKUP(B601,'[1]Base de datos'!$B:$E,4,FALSE)</f>
        <v>#N/A</v>
      </c>
    </row>
    <row r="602" spans="2:6" x14ac:dyDescent="0.25">
      <c r="B602" s="24"/>
      <c r="C602" s="17"/>
      <c r="D602" s="5" t="e">
        <f>VLOOKUP(B602,'[1]Base de datos'!$B:$F,2,FALSE)</f>
        <v>#N/A</v>
      </c>
      <c r="E602" t="e">
        <f>VLOOKUP(B602,'[1]Base de datos'!$B:$E,3,FALSE)</f>
        <v>#N/A</v>
      </c>
      <c r="F602" t="e">
        <f>VLOOKUP(B602,'[1]Base de datos'!$B:$E,4,FALSE)</f>
        <v>#N/A</v>
      </c>
    </row>
    <row r="603" spans="2:6" x14ac:dyDescent="0.25">
      <c r="B603" s="24"/>
      <c r="C603" s="17"/>
      <c r="D603" s="5" t="e">
        <f>VLOOKUP(B603,'[1]Base de datos'!$B:$F,2,FALSE)</f>
        <v>#N/A</v>
      </c>
      <c r="E603" t="e">
        <f>VLOOKUP(B603,'[1]Base de datos'!$B:$E,3,FALSE)</f>
        <v>#N/A</v>
      </c>
      <c r="F603" t="e">
        <f>VLOOKUP(B603,'[1]Base de datos'!$B:$E,4,FALSE)</f>
        <v>#N/A</v>
      </c>
    </row>
    <row r="604" spans="2:6" x14ac:dyDescent="0.25">
      <c r="B604" s="24"/>
      <c r="C604" s="17"/>
      <c r="D604" s="5" t="e">
        <f>VLOOKUP(B604,'[1]Base de datos'!$B:$F,2,FALSE)</f>
        <v>#N/A</v>
      </c>
      <c r="E604" t="e">
        <f>VLOOKUP(B604,'[1]Base de datos'!$B:$E,3,FALSE)</f>
        <v>#N/A</v>
      </c>
      <c r="F604" t="e">
        <f>VLOOKUP(B604,'[1]Base de datos'!$B:$E,4,FALSE)</f>
        <v>#N/A</v>
      </c>
    </row>
    <row r="605" spans="2:6" x14ac:dyDescent="0.25">
      <c r="B605" s="24"/>
      <c r="C605" s="17"/>
      <c r="D605" s="5" t="e">
        <f>VLOOKUP(B605,'[1]Base de datos'!$B:$F,2,FALSE)</f>
        <v>#N/A</v>
      </c>
      <c r="E605" t="e">
        <f>VLOOKUP(B605,'[1]Base de datos'!$B:$E,3,FALSE)</f>
        <v>#N/A</v>
      </c>
      <c r="F605" t="e">
        <f>VLOOKUP(B605,'[1]Base de datos'!$B:$E,4,FALSE)</f>
        <v>#N/A</v>
      </c>
    </row>
    <row r="606" spans="2:6" x14ac:dyDescent="0.25">
      <c r="B606" s="24"/>
      <c r="C606" s="17"/>
      <c r="D606" s="5" t="e">
        <f>VLOOKUP(B606,'[1]Base de datos'!$B:$F,2,FALSE)</f>
        <v>#N/A</v>
      </c>
      <c r="E606" t="e">
        <f>VLOOKUP(B606,'[1]Base de datos'!$B:$E,3,FALSE)</f>
        <v>#N/A</v>
      </c>
      <c r="F606" t="e">
        <f>VLOOKUP(B606,'[1]Base de datos'!$B:$E,4,FALSE)</f>
        <v>#N/A</v>
      </c>
    </row>
    <row r="607" spans="2:6" x14ac:dyDescent="0.25">
      <c r="B607" s="24"/>
      <c r="C607" s="17"/>
      <c r="D607" s="5" t="e">
        <f>VLOOKUP(B607,'[1]Base de datos'!$B:$F,2,FALSE)</f>
        <v>#N/A</v>
      </c>
      <c r="E607" t="e">
        <f>VLOOKUP(B607,'[1]Base de datos'!$B:$E,3,FALSE)</f>
        <v>#N/A</v>
      </c>
      <c r="F607" t="e">
        <f>VLOOKUP(B607,'[1]Base de datos'!$B:$E,4,FALSE)</f>
        <v>#N/A</v>
      </c>
    </row>
    <row r="608" spans="2:6" x14ac:dyDescent="0.25">
      <c r="B608" s="24"/>
      <c r="C608" s="17"/>
      <c r="D608" s="5" t="e">
        <f>VLOOKUP(B608,'[1]Base de datos'!$B:$F,2,FALSE)</f>
        <v>#N/A</v>
      </c>
      <c r="E608" t="e">
        <f>VLOOKUP(B608,'[1]Base de datos'!$B:$E,3,FALSE)</f>
        <v>#N/A</v>
      </c>
      <c r="F608" t="e">
        <f>VLOOKUP(B608,'[1]Base de datos'!$B:$E,4,FALSE)</f>
        <v>#N/A</v>
      </c>
    </row>
    <row r="609" spans="2:6" x14ac:dyDescent="0.25">
      <c r="B609" s="24"/>
      <c r="C609" s="17"/>
      <c r="D609" s="5" t="e">
        <f>VLOOKUP(B609,'[1]Base de datos'!$B:$F,2,FALSE)</f>
        <v>#N/A</v>
      </c>
      <c r="E609" t="e">
        <f>VLOOKUP(B609,'[1]Base de datos'!$B:$E,3,FALSE)</f>
        <v>#N/A</v>
      </c>
      <c r="F609" t="e">
        <f>VLOOKUP(B609,'[1]Base de datos'!$B:$E,4,FALSE)</f>
        <v>#N/A</v>
      </c>
    </row>
    <row r="610" spans="2:6" x14ac:dyDescent="0.25">
      <c r="B610" s="24"/>
      <c r="C610" s="17"/>
      <c r="D610" s="5" t="e">
        <f>VLOOKUP(B610,'[1]Base de datos'!$B:$F,2,FALSE)</f>
        <v>#N/A</v>
      </c>
      <c r="E610" t="e">
        <f>VLOOKUP(B610,'[1]Base de datos'!$B:$E,3,FALSE)</f>
        <v>#N/A</v>
      </c>
      <c r="F610" t="e">
        <f>VLOOKUP(B610,'[1]Base de datos'!$B:$E,4,FALSE)</f>
        <v>#N/A</v>
      </c>
    </row>
    <row r="611" spans="2:6" x14ac:dyDescent="0.25">
      <c r="B611" s="24"/>
      <c r="C611" s="17"/>
      <c r="D611" s="5" t="e">
        <f>VLOOKUP(B611,'[1]Base de datos'!$B:$F,2,FALSE)</f>
        <v>#N/A</v>
      </c>
      <c r="E611" t="e">
        <f>VLOOKUP(B611,'[1]Base de datos'!$B:$E,3,FALSE)</f>
        <v>#N/A</v>
      </c>
      <c r="F611" t="e">
        <f>VLOOKUP(B611,'[1]Base de datos'!$B:$E,4,FALSE)</f>
        <v>#N/A</v>
      </c>
    </row>
    <row r="612" spans="2:6" x14ac:dyDescent="0.25">
      <c r="B612" s="24"/>
      <c r="C612" s="17"/>
      <c r="D612" s="5" t="e">
        <f>VLOOKUP(B612,'[1]Base de datos'!$B:$F,2,FALSE)</f>
        <v>#N/A</v>
      </c>
      <c r="E612" t="e">
        <f>VLOOKUP(B612,'[1]Base de datos'!$B:$E,3,FALSE)</f>
        <v>#N/A</v>
      </c>
      <c r="F612" t="e">
        <f>VLOOKUP(B612,'[1]Base de datos'!$B:$E,4,FALSE)</f>
        <v>#N/A</v>
      </c>
    </row>
    <row r="613" spans="2:6" x14ac:dyDescent="0.25">
      <c r="B613" s="24"/>
      <c r="C613" s="17"/>
      <c r="D613" s="5" t="e">
        <f>VLOOKUP(B613,'[1]Base de datos'!$B:$F,2,FALSE)</f>
        <v>#N/A</v>
      </c>
      <c r="E613" t="e">
        <f>VLOOKUP(B613,'[1]Base de datos'!$B:$E,3,FALSE)</f>
        <v>#N/A</v>
      </c>
      <c r="F613" t="e">
        <f>VLOOKUP(B613,'[1]Base de datos'!$B:$E,4,FALSE)</f>
        <v>#N/A</v>
      </c>
    </row>
    <row r="614" spans="2:6" x14ac:dyDescent="0.25">
      <c r="B614" s="24"/>
      <c r="C614" s="17"/>
      <c r="D614" s="5" t="e">
        <f>VLOOKUP(B614,'[1]Base de datos'!$B:$F,2,FALSE)</f>
        <v>#N/A</v>
      </c>
      <c r="E614" t="e">
        <f>VLOOKUP(B614,'[1]Base de datos'!$B:$E,3,FALSE)</f>
        <v>#N/A</v>
      </c>
      <c r="F614" t="e">
        <f>VLOOKUP(B614,'[1]Base de datos'!$B:$E,4,FALSE)</f>
        <v>#N/A</v>
      </c>
    </row>
    <row r="615" spans="2:6" x14ac:dyDescent="0.25">
      <c r="B615" s="24"/>
      <c r="C615" s="17"/>
      <c r="D615" s="5" t="e">
        <f>VLOOKUP(B615,'[1]Base de datos'!$B:$F,2,FALSE)</f>
        <v>#N/A</v>
      </c>
      <c r="E615" t="e">
        <f>VLOOKUP(B615,'[1]Base de datos'!$B:$E,3,FALSE)</f>
        <v>#N/A</v>
      </c>
      <c r="F615" t="e">
        <f>VLOOKUP(B615,'[1]Base de datos'!$B:$E,4,FALSE)</f>
        <v>#N/A</v>
      </c>
    </row>
    <row r="616" spans="2:6" x14ac:dyDescent="0.25">
      <c r="B616" s="24"/>
      <c r="C616" s="17"/>
      <c r="D616" s="5" t="e">
        <f>VLOOKUP(B616,'[1]Base de datos'!$B:$F,2,FALSE)</f>
        <v>#N/A</v>
      </c>
      <c r="E616" t="e">
        <f>VLOOKUP(B616,'[1]Base de datos'!$B:$E,3,FALSE)</f>
        <v>#N/A</v>
      </c>
      <c r="F616" t="e">
        <f>VLOOKUP(B616,'[1]Base de datos'!$B:$E,4,FALSE)</f>
        <v>#N/A</v>
      </c>
    </row>
    <row r="617" spans="2:6" x14ac:dyDescent="0.25">
      <c r="B617" s="24"/>
      <c r="C617" s="17"/>
      <c r="D617" s="5" t="e">
        <f>VLOOKUP(B617,'[1]Base de datos'!$B:$F,2,FALSE)</f>
        <v>#N/A</v>
      </c>
      <c r="E617" t="e">
        <f>VLOOKUP(B617,'[1]Base de datos'!$B:$E,3,FALSE)</f>
        <v>#N/A</v>
      </c>
      <c r="F617" t="e">
        <f>VLOOKUP(B617,'[1]Base de datos'!$B:$E,4,FALSE)</f>
        <v>#N/A</v>
      </c>
    </row>
    <row r="618" spans="2:6" x14ac:dyDescent="0.25">
      <c r="B618" s="24"/>
      <c r="C618" s="17"/>
      <c r="D618" s="5" t="e">
        <f>VLOOKUP(B618,'[1]Base de datos'!$B:$F,2,FALSE)</f>
        <v>#N/A</v>
      </c>
      <c r="E618" t="e">
        <f>VLOOKUP(B618,'[1]Base de datos'!$B:$E,3,FALSE)</f>
        <v>#N/A</v>
      </c>
      <c r="F618" t="e">
        <f>VLOOKUP(B618,'[1]Base de datos'!$B:$E,4,FALSE)</f>
        <v>#N/A</v>
      </c>
    </row>
    <row r="619" spans="2:6" x14ac:dyDescent="0.25">
      <c r="B619" s="24"/>
      <c r="C619" s="17"/>
      <c r="D619" s="5" t="e">
        <f>VLOOKUP(B619,'[1]Base de datos'!$B:$F,2,FALSE)</f>
        <v>#N/A</v>
      </c>
      <c r="E619" t="e">
        <f>VLOOKUP(B619,'[1]Base de datos'!$B:$E,3,FALSE)</f>
        <v>#N/A</v>
      </c>
      <c r="F619" t="e">
        <f>VLOOKUP(B619,'[1]Base de datos'!$B:$E,4,FALSE)</f>
        <v>#N/A</v>
      </c>
    </row>
    <row r="620" spans="2:6" x14ac:dyDescent="0.25">
      <c r="B620" s="24"/>
      <c r="C620" s="17"/>
      <c r="D620" s="5" t="e">
        <f>VLOOKUP(B620,'[1]Base de datos'!$B:$F,2,FALSE)</f>
        <v>#N/A</v>
      </c>
      <c r="E620" t="e">
        <f>VLOOKUP(B620,'[1]Base de datos'!$B:$E,3,FALSE)</f>
        <v>#N/A</v>
      </c>
      <c r="F620" t="e">
        <f>VLOOKUP(B620,'[1]Base de datos'!$B:$E,4,FALSE)</f>
        <v>#N/A</v>
      </c>
    </row>
    <row r="621" spans="2:6" x14ac:dyDescent="0.25">
      <c r="B621" s="24"/>
      <c r="C621" s="17"/>
      <c r="D621" s="5" t="e">
        <f>VLOOKUP(B621,'[1]Base de datos'!$B:$F,2,FALSE)</f>
        <v>#N/A</v>
      </c>
      <c r="E621" t="e">
        <f>VLOOKUP(B621,'[1]Base de datos'!$B:$E,3,FALSE)</f>
        <v>#N/A</v>
      </c>
      <c r="F621" t="e">
        <f>VLOOKUP(B621,'[1]Base de datos'!$B:$E,4,FALSE)</f>
        <v>#N/A</v>
      </c>
    </row>
    <row r="622" spans="2:6" x14ac:dyDescent="0.25">
      <c r="B622" s="24"/>
      <c r="C622" s="17"/>
      <c r="D622" s="5" t="e">
        <f>VLOOKUP(B622,'[1]Base de datos'!$B:$F,2,FALSE)</f>
        <v>#N/A</v>
      </c>
      <c r="E622" t="e">
        <f>VLOOKUP(B622,'[1]Base de datos'!$B:$E,3,FALSE)</f>
        <v>#N/A</v>
      </c>
      <c r="F622" t="e">
        <f>VLOOKUP(B622,'[1]Base de datos'!$B:$E,4,FALSE)</f>
        <v>#N/A</v>
      </c>
    </row>
    <row r="623" spans="2:6" x14ac:dyDescent="0.25">
      <c r="B623" s="24"/>
      <c r="C623" s="17"/>
      <c r="D623" s="5" t="e">
        <f>VLOOKUP(B623,'[1]Base de datos'!$B:$F,2,FALSE)</f>
        <v>#N/A</v>
      </c>
      <c r="E623" t="e">
        <f>VLOOKUP(B623,'[1]Base de datos'!$B:$E,3,FALSE)</f>
        <v>#N/A</v>
      </c>
      <c r="F623" t="e">
        <f>VLOOKUP(B623,'[1]Base de datos'!$B:$E,4,FALSE)</f>
        <v>#N/A</v>
      </c>
    </row>
    <row r="624" spans="2:6" x14ac:dyDescent="0.25">
      <c r="B624" s="24"/>
      <c r="C624" s="17"/>
      <c r="D624" s="5" t="e">
        <f>VLOOKUP(B624,'[1]Base de datos'!$B:$F,2,FALSE)</f>
        <v>#N/A</v>
      </c>
      <c r="E624" t="e">
        <f>VLOOKUP(B624,'[1]Base de datos'!$B:$E,3,FALSE)</f>
        <v>#N/A</v>
      </c>
      <c r="F624" t="e">
        <f>VLOOKUP(B624,'[1]Base de datos'!$B:$E,4,FALSE)</f>
        <v>#N/A</v>
      </c>
    </row>
    <row r="625" spans="2:6" x14ac:dyDescent="0.25">
      <c r="B625" s="24"/>
      <c r="C625" s="17"/>
      <c r="D625" s="5" t="e">
        <f>VLOOKUP(B625,'[1]Base de datos'!$B:$F,2,FALSE)</f>
        <v>#N/A</v>
      </c>
      <c r="E625" t="e">
        <f>VLOOKUP(B625,'[1]Base de datos'!$B:$E,3,FALSE)</f>
        <v>#N/A</v>
      </c>
      <c r="F625" t="e">
        <f>VLOOKUP(B625,'[1]Base de datos'!$B:$E,4,FALSE)</f>
        <v>#N/A</v>
      </c>
    </row>
    <row r="626" spans="2:6" x14ac:dyDescent="0.25">
      <c r="B626" s="24"/>
      <c r="C626" s="17"/>
      <c r="D626" s="5" t="e">
        <f>VLOOKUP(B626,'[1]Base de datos'!$B:$F,2,FALSE)</f>
        <v>#N/A</v>
      </c>
      <c r="E626" t="e">
        <f>VLOOKUP(B626,'[1]Base de datos'!$B:$E,3,FALSE)</f>
        <v>#N/A</v>
      </c>
      <c r="F626" t="e">
        <f>VLOOKUP(B626,'[1]Base de datos'!$B:$E,4,FALSE)</f>
        <v>#N/A</v>
      </c>
    </row>
    <row r="627" spans="2:6" x14ac:dyDescent="0.25">
      <c r="B627" s="24"/>
      <c r="C627" s="17"/>
      <c r="D627" s="5" t="e">
        <f>VLOOKUP(B627,'[1]Base de datos'!$B:$F,2,FALSE)</f>
        <v>#N/A</v>
      </c>
      <c r="E627" t="e">
        <f>VLOOKUP(B627,'[1]Base de datos'!$B:$E,3,FALSE)</f>
        <v>#N/A</v>
      </c>
      <c r="F627" t="e">
        <f>VLOOKUP(B627,'[1]Base de datos'!$B:$E,4,FALSE)</f>
        <v>#N/A</v>
      </c>
    </row>
    <row r="628" spans="2:6" x14ac:dyDescent="0.25">
      <c r="B628" s="24"/>
      <c r="C628" s="17"/>
      <c r="D628" s="5" t="e">
        <f>VLOOKUP(B628,'[1]Base de datos'!$B:$F,2,FALSE)</f>
        <v>#N/A</v>
      </c>
      <c r="E628" t="e">
        <f>VLOOKUP(B628,'[1]Base de datos'!$B:$E,3,FALSE)</f>
        <v>#N/A</v>
      </c>
      <c r="F628" t="e">
        <f>VLOOKUP(B628,'[1]Base de datos'!$B:$E,4,FALSE)</f>
        <v>#N/A</v>
      </c>
    </row>
    <row r="629" spans="2:6" x14ac:dyDescent="0.25">
      <c r="B629" s="24"/>
      <c r="C629" s="17"/>
      <c r="D629" s="5" t="e">
        <f>VLOOKUP(B629,'[1]Base de datos'!$B:$F,2,FALSE)</f>
        <v>#N/A</v>
      </c>
      <c r="E629" t="e">
        <f>VLOOKUP(B629,'[1]Base de datos'!$B:$E,3,FALSE)</f>
        <v>#N/A</v>
      </c>
      <c r="F629" t="e">
        <f>VLOOKUP(B629,'[1]Base de datos'!$B:$E,4,FALSE)</f>
        <v>#N/A</v>
      </c>
    </row>
    <row r="630" spans="2:6" x14ac:dyDescent="0.25">
      <c r="B630" s="24"/>
      <c r="C630" s="17"/>
      <c r="D630" s="5" t="e">
        <f>VLOOKUP(B630,'[1]Base de datos'!$B:$F,2,FALSE)</f>
        <v>#N/A</v>
      </c>
      <c r="E630" t="e">
        <f>VLOOKUP(B630,'[1]Base de datos'!$B:$E,3,FALSE)</f>
        <v>#N/A</v>
      </c>
      <c r="F630" t="e">
        <f>VLOOKUP(B630,'[1]Base de datos'!$B:$E,4,FALSE)</f>
        <v>#N/A</v>
      </c>
    </row>
    <row r="631" spans="2:6" x14ac:dyDescent="0.25">
      <c r="B631" s="24"/>
      <c r="C631" s="17"/>
      <c r="D631" s="5" t="e">
        <f>VLOOKUP(B631,'[1]Base de datos'!$B:$F,2,FALSE)</f>
        <v>#N/A</v>
      </c>
      <c r="E631" t="e">
        <f>VLOOKUP(B631,'[1]Base de datos'!$B:$E,3,FALSE)</f>
        <v>#N/A</v>
      </c>
      <c r="F631" t="e">
        <f>VLOOKUP(B631,'[1]Base de datos'!$B:$E,4,FALSE)</f>
        <v>#N/A</v>
      </c>
    </row>
    <row r="632" spans="2:6" x14ac:dyDescent="0.25">
      <c r="B632" s="24"/>
      <c r="C632" s="17"/>
      <c r="D632" s="5" t="e">
        <f>VLOOKUP(B632,'[1]Base de datos'!$B:$F,2,FALSE)</f>
        <v>#N/A</v>
      </c>
      <c r="E632" t="e">
        <f>VLOOKUP(B632,'[1]Base de datos'!$B:$E,3,FALSE)</f>
        <v>#N/A</v>
      </c>
      <c r="F632" t="e">
        <f>VLOOKUP(B632,'[1]Base de datos'!$B:$E,4,FALSE)</f>
        <v>#N/A</v>
      </c>
    </row>
    <row r="633" spans="2:6" x14ac:dyDescent="0.25">
      <c r="B633" s="24"/>
      <c r="C633" s="17"/>
      <c r="D633" s="5" t="e">
        <f>VLOOKUP(B633,'[1]Base de datos'!$B:$F,2,FALSE)</f>
        <v>#N/A</v>
      </c>
      <c r="E633" t="e">
        <f>VLOOKUP(B633,'[1]Base de datos'!$B:$E,3,FALSE)</f>
        <v>#N/A</v>
      </c>
      <c r="F633" t="e">
        <f>VLOOKUP(B633,'[1]Base de datos'!$B:$E,4,FALSE)</f>
        <v>#N/A</v>
      </c>
    </row>
    <row r="634" spans="2:6" x14ac:dyDescent="0.25">
      <c r="B634" s="24"/>
      <c r="C634" s="17"/>
      <c r="D634" s="5" t="e">
        <f>VLOOKUP(B634,'[1]Base de datos'!$B:$F,2,FALSE)</f>
        <v>#N/A</v>
      </c>
      <c r="E634" t="e">
        <f>VLOOKUP(B634,'[1]Base de datos'!$B:$E,3,FALSE)</f>
        <v>#N/A</v>
      </c>
      <c r="F634" t="e">
        <f>VLOOKUP(B634,'[1]Base de datos'!$B:$E,4,FALSE)</f>
        <v>#N/A</v>
      </c>
    </row>
    <row r="635" spans="2:6" x14ac:dyDescent="0.25">
      <c r="B635" s="24"/>
      <c r="C635" s="17"/>
      <c r="D635" s="5" t="e">
        <f>VLOOKUP(B635,'[1]Base de datos'!$B:$F,2,FALSE)</f>
        <v>#N/A</v>
      </c>
      <c r="E635" t="e">
        <f>VLOOKUP(B635,'[1]Base de datos'!$B:$E,3,FALSE)</f>
        <v>#N/A</v>
      </c>
      <c r="F635" t="e">
        <f>VLOOKUP(B635,'[1]Base de datos'!$B:$E,4,FALSE)</f>
        <v>#N/A</v>
      </c>
    </row>
    <row r="636" spans="2:6" x14ac:dyDescent="0.25">
      <c r="B636" s="24"/>
      <c r="C636" s="17"/>
      <c r="D636" s="5" t="e">
        <f>VLOOKUP(B636,'[1]Base de datos'!$B:$F,2,FALSE)</f>
        <v>#N/A</v>
      </c>
      <c r="E636" t="e">
        <f>VLOOKUP(B636,'[1]Base de datos'!$B:$E,3,FALSE)</f>
        <v>#N/A</v>
      </c>
      <c r="F636" t="e">
        <f>VLOOKUP(B636,'[1]Base de datos'!$B:$E,4,FALSE)</f>
        <v>#N/A</v>
      </c>
    </row>
    <row r="637" spans="2:6" x14ac:dyDescent="0.25">
      <c r="B637" s="24"/>
      <c r="C637" s="17"/>
      <c r="D637" s="5" t="e">
        <f>VLOOKUP(B637,'[1]Base de datos'!$B:$F,2,FALSE)</f>
        <v>#N/A</v>
      </c>
      <c r="E637" t="e">
        <f>VLOOKUP(B637,'[1]Base de datos'!$B:$E,3,FALSE)</f>
        <v>#N/A</v>
      </c>
      <c r="F637" t="e">
        <f>VLOOKUP(B637,'[1]Base de datos'!$B:$E,4,FALSE)</f>
        <v>#N/A</v>
      </c>
    </row>
    <row r="638" spans="2:6" x14ac:dyDescent="0.25">
      <c r="B638" s="24"/>
      <c r="C638" s="17"/>
      <c r="D638" s="5" t="e">
        <f>VLOOKUP(B638,'[1]Base de datos'!$B:$F,2,FALSE)</f>
        <v>#N/A</v>
      </c>
      <c r="E638" t="e">
        <f>VLOOKUP(B638,'[1]Base de datos'!$B:$E,3,FALSE)</f>
        <v>#N/A</v>
      </c>
      <c r="F638" t="e">
        <f>VLOOKUP(B638,'[1]Base de datos'!$B:$E,4,FALSE)</f>
        <v>#N/A</v>
      </c>
    </row>
    <row r="639" spans="2:6" x14ac:dyDescent="0.25">
      <c r="B639" s="24"/>
      <c r="C639" s="17"/>
      <c r="D639" s="5" t="e">
        <f>VLOOKUP(B639,'[1]Base de datos'!$B:$F,2,FALSE)</f>
        <v>#N/A</v>
      </c>
      <c r="E639" t="e">
        <f>VLOOKUP(B639,'[1]Base de datos'!$B:$E,3,FALSE)</f>
        <v>#N/A</v>
      </c>
      <c r="F639" t="e">
        <f>VLOOKUP(B639,'[1]Base de datos'!$B:$E,4,FALSE)</f>
        <v>#N/A</v>
      </c>
    </row>
    <row r="640" spans="2:6" x14ac:dyDescent="0.25">
      <c r="B640" s="24"/>
      <c r="C640" s="17"/>
      <c r="D640" s="5" t="e">
        <f>VLOOKUP(B640,'[1]Base de datos'!$B:$F,2,FALSE)</f>
        <v>#N/A</v>
      </c>
      <c r="E640" t="e">
        <f>VLOOKUP(B640,'[1]Base de datos'!$B:$E,3,FALSE)</f>
        <v>#N/A</v>
      </c>
      <c r="F640" t="e">
        <f>VLOOKUP(B640,'[1]Base de datos'!$B:$E,4,FALSE)</f>
        <v>#N/A</v>
      </c>
    </row>
    <row r="641" spans="2:6" x14ac:dyDescent="0.25">
      <c r="B641" s="24"/>
      <c r="C641" s="17"/>
      <c r="D641" s="5" t="e">
        <f>VLOOKUP(B641,'[1]Base de datos'!$B:$F,2,FALSE)</f>
        <v>#N/A</v>
      </c>
      <c r="E641" t="e">
        <f>VLOOKUP(B641,'[1]Base de datos'!$B:$E,3,FALSE)</f>
        <v>#N/A</v>
      </c>
      <c r="F641" t="e">
        <f>VLOOKUP(B641,'[1]Base de datos'!$B:$E,4,FALSE)</f>
        <v>#N/A</v>
      </c>
    </row>
    <row r="642" spans="2:6" x14ac:dyDescent="0.25">
      <c r="B642" s="24"/>
      <c r="C642" s="17"/>
      <c r="D642" s="5" t="e">
        <f>VLOOKUP(B642,'[1]Base de datos'!$B:$F,2,FALSE)</f>
        <v>#N/A</v>
      </c>
      <c r="E642" t="e">
        <f>VLOOKUP(B642,'[1]Base de datos'!$B:$E,3,FALSE)</f>
        <v>#N/A</v>
      </c>
      <c r="F642" t="e">
        <f>VLOOKUP(B642,'[1]Base de datos'!$B:$E,4,FALSE)</f>
        <v>#N/A</v>
      </c>
    </row>
    <row r="643" spans="2:6" x14ac:dyDescent="0.25">
      <c r="B643" s="24"/>
      <c r="C643" s="17"/>
      <c r="D643" s="5" t="e">
        <f>VLOOKUP(B643,'[1]Base de datos'!$B:$F,2,FALSE)</f>
        <v>#N/A</v>
      </c>
      <c r="E643" t="e">
        <f>VLOOKUP(B643,'[1]Base de datos'!$B:$E,3,FALSE)</f>
        <v>#N/A</v>
      </c>
      <c r="F643" t="e">
        <f>VLOOKUP(B643,'[1]Base de datos'!$B:$E,4,FALSE)</f>
        <v>#N/A</v>
      </c>
    </row>
    <row r="644" spans="2:6" x14ac:dyDescent="0.25">
      <c r="B644" s="24"/>
      <c r="C644" s="17"/>
      <c r="D644" s="5" t="e">
        <f>VLOOKUP(B644,'[1]Base de datos'!$B:$F,2,FALSE)</f>
        <v>#N/A</v>
      </c>
      <c r="E644" t="e">
        <f>VLOOKUP(B644,'[1]Base de datos'!$B:$E,3,FALSE)</f>
        <v>#N/A</v>
      </c>
      <c r="F644" t="e">
        <f>VLOOKUP(B644,'[1]Base de datos'!$B:$E,4,FALSE)</f>
        <v>#N/A</v>
      </c>
    </row>
    <row r="645" spans="2:6" x14ac:dyDescent="0.25">
      <c r="B645" s="24"/>
      <c r="C645" s="17"/>
      <c r="D645" s="5" t="e">
        <f>VLOOKUP(B645,'[1]Base de datos'!$B:$F,2,FALSE)</f>
        <v>#N/A</v>
      </c>
      <c r="E645" t="e">
        <f>VLOOKUP(B645,'[1]Base de datos'!$B:$E,3,FALSE)</f>
        <v>#N/A</v>
      </c>
      <c r="F645" t="e">
        <f>VLOOKUP(B645,'[1]Base de datos'!$B:$E,4,FALSE)</f>
        <v>#N/A</v>
      </c>
    </row>
    <row r="646" spans="2:6" x14ac:dyDescent="0.25">
      <c r="B646" s="24"/>
      <c r="C646" s="17"/>
      <c r="D646" s="5" t="e">
        <f>VLOOKUP(B646,'[1]Base de datos'!$B:$F,2,FALSE)</f>
        <v>#N/A</v>
      </c>
      <c r="E646" t="e">
        <f>VLOOKUP(B646,'[1]Base de datos'!$B:$E,3,FALSE)</f>
        <v>#N/A</v>
      </c>
      <c r="F646" t="e">
        <f>VLOOKUP(B646,'[1]Base de datos'!$B:$E,4,FALSE)</f>
        <v>#N/A</v>
      </c>
    </row>
    <row r="647" spans="2:6" x14ac:dyDescent="0.25">
      <c r="B647" s="24"/>
      <c r="C647" s="17"/>
      <c r="D647" s="5" t="e">
        <f>VLOOKUP(B647,'[1]Base de datos'!$B:$F,2,FALSE)</f>
        <v>#N/A</v>
      </c>
      <c r="E647" t="e">
        <f>VLOOKUP(B647,'[1]Base de datos'!$B:$E,3,FALSE)</f>
        <v>#N/A</v>
      </c>
      <c r="F647" t="e">
        <f>VLOOKUP(B647,'[1]Base de datos'!$B:$E,4,FALSE)</f>
        <v>#N/A</v>
      </c>
    </row>
    <row r="648" spans="2:6" x14ac:dyDescent="0.25">
      <c r="B648" s="24"/>
      <c r="C648" s="17"/>
      <c r="D648" s="5" t="e">
        <f>VLOOKUP(B648,'[1]Base de datos'!$B:$F,2,FALSE)</f>
        <v>#N/A</v>
      </c>
      <c r="E648" t="e">
        <f>VLOOKUP(B648,'[1]Base de datos'!$B:$E,3,FALSE)</f>
        <v>#N/A</v>
      </c>
      <c r="F648" t="e">
        <f>VLOOKUP(B648,'[1]Base de datos'!$B:$E,4,FALSE)</f>
        <v>#N/A</v>
      </c>
    </row>
    <row r="649" spans="2:6" x14ac:dyDescent="0.25">
      <c r="B649" s="24"/>
      <c r="C649" s="17"/>
      <c r="D649" s="5" t="e">
        <f>VLOOKUP(B649,'[1]Base de datos'!$B:$F,2,FALSE)</f>
        <v>#N/A</v>
      </c>
      <c r="E649" t="e">
        <f>VLOOKUP(B649,'[1]Base de datos'!$B:$E,3,FALSE)</f>
        <v>#N/A</v>
      </c>
      <c r="F649" t="e">
        <f>VLOOKUP(B649,'[1]Base de datos'!$B:$E,4,FALSE)</f>
        <v>#N/A</v>
      </c>
    </row>
    <row r="650" spans="2:6" x14ac:dyDescent="0.25">
      <c r="B650" s="24"/>
      <c r="C650" s="17"/>
      <c r="D650" s="5" t="e">
        <f>VLOOKUP(B650,'[1]Base de datos'!$B:$F,2,FALSE)</f>
        <v>#N/A</v>
      </c>
      <c r="E650" t="e">
        <f>VLOOKUP(B650,'[1]Base de datos'!$B:$E,3,FALSE)</f>
        <v>#N/A</v>
      </c>
      <c r="F650" t="e">
        <f>VLOOKUP(B650,'[1]Base de datos'!$B:$E,4,FALSE)</f>
        <v>#N/A</v>
      </c>
    </row>
    <row r="651" spans="2:6" x14ac:dyDescent="0.25">
      <c r="B651" s="24"/>
      <c r="C651" s="17"/>
      <c r="D651" s="5" t="e">
        <f>VLOOKUP(B651,'[1]Base de datos'!$B:$F,2,FALSE)</f>
        <v>#N/A</v>
      </c>
      <c r="E651" t="e">
        <f>VLOOKUP(B651,'[1]Base de datos'!$B:$E,3,FALSE)</f>
        <v>#N/A</v>
      </c>
      <c r="F651" t="e">
        <f>VLOOKUP(B651,'[1]Base de datos'!$B:$E,4,FALSE)</f>
        <v>#N/A</v>
      </c>
    </row>
    <row r="652" spans="2:6" x14ac:dyDescent="0.25">
      <c r="B652" s="24"/>
      <c r="C652" s="17"/>
      <c r="D652" s="5" t="e">
        <f>VLOOKUP(B652,'[1]Base de datos'!$B:$F,2,FALSE)</f>
        <v>#N/A</v>
      </c>
      <c r="E652" t="e">
        <f>VLOOKUP(B652,'[1]Base de datos'!$B:$E,3,FALSE)</f>
        <v>#N/A</v>
      </c>
      <c r="F652" t="e">
        <f>VLOOKUP(B652,'[1]Base de datos'!$B:$E,4,FALSE)</f>
        <v>#N/A</v>
      </c>
    </row>
    <row r="653" spans="2:6" x14ac:dyDescent="0.25">
      <c r="B653" s="24"/>
      <c r="C653" s="17"/>
      <c r="D653" s="5" t="e">
        <f>VLOOKUP(B653,'[1]Base de datos'!$B:$F,2,FALSE)</f>
        <v>#N/A</v>
      </c>
      <c r="E653" t="e">
        <f>VLOOKUP(B653,'[1]Base de datos'!$B:$E,3,FALSE)</f>
        <v>#N/A</v>
      </c>
      <c r="F653" t="e">
        <f>VLOOKUP(B653,'[1]Base de datos'!$B:$E,4,FALSE)</f>
        <v>#N/A</v>
      </c>
    </row>
    <row r="654" spans="2:6" x14ac:dyDescent="0.25">
      <c r="B654" s="24"/>
      <c r="C654" s="17"/>
      <c r="D654" s="5" t="e">
        <f>VLOOKUP(B654,'[1]Base de datos'!$B:$F,2,FALSE)</f>
        <v>#N/A</v>
      </c>
      <c r="E654" t="e">
        <f>VLOOKUP(B654,'[1]Base de datos'!$B:$E,3,FALSE)</f>
        <v>#N/A</v>
      </c>
      <c r="F654" t="e">
        <f>VLOOKUP(B654,'[1]Base de datos'!$B:$E,4,FALSE)</f>
        <v>#N/A</v>
      </c>
    </row>
    <row r="655" spans="2:6" x14ac:dyDescent="0.25">
      <c r="B655" s="24"/>
      <c r="C655" s="17"/>
      <c r="D655" s="5" t="e">
        <f>VLOOKUP(B655,'[1]Base de datos'!$B:$F,2,FALSE)</f>
        <v>#N/A</v>
      </c>
      <c r="E655" t="e">
        <f>VLOOKUP(B655,'[1]Base de datos'!$B:$E,3,FALSE)</f>
        <v>#N/A</v>
      </c>
      <c r="F655" t="e">
        <f>VLOOKUP(B655,'[1]Base de datos'!$B:$E,4,FALSE)</f>
        <v>#N/A</v>
      </c>
    </row>
    <row r="656" spans="2:6" x14ac:dyDescent="0.25">
      <c r="B656" s="24"/>
      <c r="C656" s="17"/>
      <c r="D656" s="5" t="e">
        <f>VLOOKUP(B656,'[1]Base de datos'!$B:$F,2,FALSE)</f>
        <v>#N/A</v>
      </c>
      <c r="E656" t="e">
        <f>VLOOKUP(B656,'[1]Base de datos'!$B:$E,3,FALSE)</f>
        <v>#N/A</v>
      </c>
      <c r="F656" t="e">
        <f>VLOOKUP(B656,'[1]Base de datos'!$B:$E,4,FALSE)</f>
        <v>#N/A</v>
      </c>
    </row>
    <row r="657" spans="2:6" x14ac:dyDescent="0.25">
      <c r="B657" s="24"/>
      <c r="C657" s="17"/>
      <c r="D657" s="5" t="e">
        <f>VLOOKUP(B657,'[1]Base de datos'!$B:$F,2,FALSE)</f>
        <v>#N/A</v>
      </c>
      <c r="E657" t="e">
        <f>VLOOKUP(B657,'[1]Base de datos'!$B:$E,3,FALSE)</f>
        <v>#N/A</v>
      </c>
      <c r="F657" t="e">
        <f>VLOOKUP(B657,'[1]Base de datos'!$B:$E,4,FALSE)</f>
        <v>#N/A</v>
      </c>
    </row>
    <row r="658" spans="2:6" x14ac:dyDescent="0.25">
      <c r="B658" s="24"/>
      <c r="C658" s="17"/>
      <c r="D658" s="5" t="e">
        <f>VLOOKUP(B658,'[1]Base de datos'!$B:$F,2,FALSE)</f>
        <v>#N/A</v>
      </c>
      <c r="E658" t="e">
        <f>VLOOKUP(B658,'[1]Base de datos'!$B:$E,3,FALSE)</f>
        <v>#N/A</v>
      </c>
      <c r="F658" t="e">
        <f>VLOOKUP(B658,'[1]Base de datos'!$B:$E,4,FALSE)</f>
        <v>#N/A</v>
      </c>
    </row>
    <row r="659" spans="2:6" x14ac:dyDescent="0.25">
      <c r="B659" s="24"/>
      <c r="C659" s="17"/>
      <c r="D659" s="5" t="e">
        <f>VLOOKUP(B659,'[1]Base de datos'!$B:$F,2,FALSE)</f>
        <v>#N/A</v>
      </c>
      <c r="E659" t="e">
        <f>VLOOKUP(B659,'[1]Base de datos'!$B:$E,3,FALSE)</f>
        <v>#N/A</v>
      </c>
      <c r="F659" t="e">
        <f>VLOOKUP(B659,'[1]Base de datos'!$B:$E,4,FALSE)</f>
        <v>#N/A</v>
      </c>
    </row>
    <row r="660" spans="2:6" x14ac:dyDescent="0.25">
      <c r="B660" s="24"/>
      <c r="C660" s="17"/>
      <c r="D660" s="5" t="e">
        <f>VLOOKUP(B660,'[1]Base de datos'!$B:$F,2,FALSE)</f>
        <v>#N/A</v>
      </c>
      <c r="E660" t="e">
        <f>VLOOKUP(B660,'[1]Base de datos'!$B:$E,3,FALSE)</f>
        <v>#N/A</v>
      </c>
      <c r="F660" t="e">
        <f>VLOOKUP(B660,'[1]Base de datos'!$B:$E,4,FALSE)</f>
        <v>#N/A</v>
      </c>
    </row>
    <row r="661" spans="2:6" x14ac:dyDescent="0.25">
      <c r="B661" s="24"/>
      <c r="C661" s="17"/>
      <c r="D661" s="5" t="e">
        <f>VLOOKUP(B661,'[1]Base de datos'!$B:$F,2,FALSE)</f>
        <v>#N/A</v>
      </c>
      <c r="E661" t="e">
        <f>VLOOKUP(B661,'[1]Base de datos'!$B:$E,3,FALSE)</f>
        <v>#N/A</v>
      </c>
      <c r="F661" t="e">
        <f>VLOOKUP(B661,'[1]Base de datos'!$B:$E,4,FALSE)</f>
        <v>#N/A</v>
      </c>
    </row>
    <row r="662" spans="2:6" x14ac:dyDescent="0.25">
      <c r="B662" s="24"/>
      <c r="C662" s="17"/>
      <c r="D662" s="5" t="e">
        <f>VLOOKUP(B662,'[1]Base de datos'!$B:$F,2,FALSE)</f>
        <v>#N/A</v>
      </c>
      <c r="E662" t="e">
        <f>VLOOKUP(B662,'[1]Base de datos'!$B:$E,3,FALSE)</f>
        <v>#N/A</v>
      </c>
      <c r="F662" t="e">
        <f>VLOOKUP(B662,'[1]Base de datos'!$B:$E,4,FALSE)</f>
        <v>#N/A</v>
      </c>
    </row>
    <row r="663" spans="2:6" x14ac:dyDescent="0.25">
      <c r="B663" s="24"/>
      <c r="C663" s="17"/>
      <c r="D663" s="5" t="e">
        <f>VLOOKUP(B663,'[1]Base de datos'!$B:$F,2,FALSE)</f>
        <v>#N/A</v>
      </c>
      <c r="E663" t="e">
        <f>VLOOKUP(B663,'[1]Base de datos'!$B:$E,3,FALSE)</f>
        <v>#N/A</v>
      </c>
      <c r="F663" t="e">
        <f>VLOOKUP(B663,'[1]Base de datos'!$B:$E,4,FALSE)</f>
        <v>#N/A</v>
      </c>
    </row>
    <row r="664" spans="2:6" x14ac:dyDescent="0.25">
      <c r="B664" s="24"/>
      <c r="C664" s="17"/>
      <c r="D664" s="5" t="e">
        <f>VLOOKUP(B664,'[1]Base de datos'!$B:$F,2,FALSE)</f>
        <v>#N/A</v>
      </c>
      <c r="E664" t="e">
        <f>VLOOKUP(B664,'[1]Base de datos'!$B:$E,3,FALSE)</f>
        <v>#N/A</v>
      </c>
      <c r="F664" t="e">
        <f>VLOOKUP(B664,'[1]Base de datos'!$B:$E,4,FALSE)</f>
        <v>#N/A</v>
      </c>
    </row>
    <row r="665" spans="2:6" x14ac:dyDescent="0.25">
      <c r="B665" s="24"/>
      <c r="C665" s="17"/>
      <c r="D665" s="5" t="e">
        <f>VLOOKUP(B665,'[1]Base de datos'!$B:$F,2,FALSE)</f>
        <v>#N/A</v>
      </c>
      <c r="E665" t="e">
        <f>VLOOKUP(B665,'[1]Base de datos'!$B:$E,3,FALSE)</f>
        <v>#N/A</v>
      </c>
      <c r="F665" t="e">
        <f>VLOOKUP(B665,'[1]Base de datos'!$B:$E,4,FALSE)</f>
        <v>#N/A</v>
      </c>
    </row>
    <row r="666" spans="2:6" x14ac:dyDescent="0.25">
      <c r="B666" s="24"/>
      <c r="C666" s="17"/>
      <c r="D666" s="5" t="e">
        <f>VLOOKUP(B666,'[1]Base de datos'!$B:$F,2,FALSE)</f>
        <v>#N/A</v>
      </c>
      <c r="E666" t="e">
        <f>VLOOKUP(B666,'[1]Base de datos'!$B:$E,3,FALSE)</f>
        <v>#N/A</v>
      </c>
      <c r="F666" t="e">
        <f>VLOOKUP(B666,'[1]Base de datos'!$B:$E,4,FALSE)</f>
        <v>#N/A</v>
      </c>
    </row>
    <row r="667" spans="2:6" x14ac:dyDescent="0.25">
      <c r="B667" s="24"/>
      <c r="C667" s="17"/>
      <c r="D667" s="5" t="e">
        <f>VLOOKUP(B667,'[1]Base de datos'!$B:$F,2,FALSE)</f>
        <v>#N/A</v>
      </c>
      <c r="E667" t="e">
        <f>VLOOKUP(B667,'[1]Base de datos'!$B:$E,3,FALSE)</f>
        <v>#N/A</v>
      </c>
      <c r="F667" t="e">
        <f>VLOOKUP(B667,'[1]Base de datos'!$B:$E,4,FALSE)</f>
        <v>#N/A</v>
      </c>
    </row>
    <row r="668" spans="2:6" x14ac:dyDescent="0.25">
      <c r="B668" s="24"/>
      <c r="C668" s="17"/>
      <c r="D668" s="5" t="e">
        <f>VLOOKUP(B668,'[1]Base de datos'!$B:$F,2,FALSE)</f>
        <v>#N/A</v>
      </c>
      <c r="E668" t="e">
        <f>VLOOKUP(B668,'[1]Base de datos'!$B:$E,3,FALSE)</f>
        <v>#N/A</v>
      </c>
      <c r="F668" t="e">
        <f>VLOOKUP(B668,'[1]Base de datos'!$B:$E,4,FALSE)</f>
        <v>#N/A</v>
      </c>
    </row>
    <row r="669" spans="2:6" x14ac:dyDescent="0.25">
      <c r="B669" s="24"/>
      <c r="C669" s="17"/>
      <c r="D669" s="5" t="e">
        <f>VLOOKUP(B669,'[1]Base de datos'!$B:$F,2,FALSE)</f>
        <v>#N/A</v>
      </c>
      <c r="E669" t="e">
        <f>VLOOKUP(B669,'[1]Base de datos'!$B:$E,3,FALSE)</f>
        <v>#N/A</v>
      </c>
      <c r="F669" t="e">
        <f>VLOOKUP(B669,'[1]Base de datos'!$B:$E,4,FALSE)</f>
        <v>#N/A</v>
      </c>
    </row>
    <row r="670" spans="2:6" x14ac:dyDescent="0.25">
      <c r="B670" s="24"/>
      <c r="C670" s="17"/>
      <c r="D670" s="5" t="e">
        <f>VLOOKUP(B670,'[1]Base de datos'!$B:$F,2,FALSE)</f>
        <v>#N/A</v>
      </c>
      <c r="E670" t="e">
        <f>VLOOKUP(B670,'[1]Base de datos'!$B:$E,3,FALSE)</f>
        <v>#N/A</v>
      </c>
      <c r="F670" t="e">
        <f>VLOOKUP(B670,'[1]Base de datos'!$B:$E,4,FALSE)</f>
        <v>#N/A</v>
      </c>
    </row>
    <row r="671" spans="2:6" x14ac:dyDescent="0.25">
      <c r="B671" s="24"/>
      <c r="C671" s="17"/>
      <c r="D671" s="5" t="e">
        <f>VLOOKUP(B671,'[1]Base de datos'!$B:$F,2,FALSE)</f>
        <v>#N/A</v>
      </c>
      <c r="E671" t="e">
        <f>VLOOKUP(B671,'[1]Base de datos'!$B:$E,3,FALSE)</f>
        <v>#N/A</v>
      </c>
      <c r="F671" t="e">
        <f>VLOOKUP(B671,'[1]Base de datos'!$B:$E,4,FALSE)</f>
        <v>#N/A</v>
      </c>
    </row>
    <row r="672" spans="2:6" x14ac:dyDescent="0.25">
      <c r="B672" s="24"/>
      <c r="C672" s="17"/>
      <c r="D672" s="5" t="e">
        <f>VLOOKUP(B672,'[1]Base de datos'!$B:$F,2,FALSE)</f>
        <v>#N/A</v>
      </c>
      <c r="E672" t="e">
        <f>VLOOKUP(B672,'[1]Base de datos'!$B:$E,3,FALSE)</f>
        <v>#N/A</v>
      </c>
      <c r="F672" t="e">
        <f>VLOOKUP(B672,'[1]Base de datos'!$B:$E,4,FALSE)</f>
        <v>#N/A</v>
      </c>
    </row>
    <row r="673" spans="2:6" x14ac:dyDescent="0.25">
      <c r="B673" s="24"/>
      <c r="C673" s="17"/>
      <c r="D673" s="5" t="e">
        <f>VLOOKUP(B673,'[1]Base de datos'!$B:$F,2,FALSE)</f>
        <v>#N/A</v>
      </c>
      <c r="E673" t="e">
        <f>VLOOKUP(B673,'[1]Base de datos'!$B:$E,3,FALSE)</f>
        <v>#N/A</v>
      </c>
      <c r="F673" t="e">
        <f>VLOOKUP(B673,'[1]Base de datos'!$B:$E,4,FALSE)</f>
        <v>#N/A</v>
      </c>
    </row>
    <row r="674" spans="2:6" x14ac:dyDescent="0.25">
      <c r="B674" s="24"/>
      <c r="C674" s="17"/>
      <c r="D674" s="5" t="e">
        <f>VLOOKUP(B674,'[1]Base de datos'!$B:$F,2,FALSE)</f>
        <v>#N/A</v>
      </c>
      <c r="E674" t="e">
        <f>VLOOKUP(B674,'[1]Base de datos'!$B:$E,3,FALSE)</f>
        <v>#N/A</v>
      </c>
      <c r="F674" t="e">
        <f>VLOOKUP(B674,'[1]Base de datos'!$B:$E,4,FALSE)</f>
        <v>#N/A</v>
      </c>
    </row>
    <row r="675" spans="2:6" x14ac:dyDescent="0.25">
      <c r="B675" s="24"/>
      <c r="C675" s="17"/>
      <c r="D675" s="5" t="e">
        <f>VLOOKUP(B675,'[1]Base de datos'!$B:$F,2,FALSE)</f>
        <v>#N/A</v>
      </c>
      <c r="E675" t="e">
        <f>VLOOKUP(B675,'[1]Base de datos'!$B:$E,3,FALSE)</f>
        <v>#N/A</v>
      </c>
      <c r="F675" t="e">
        <f>VLOOKUP(B675,'[1]Base de datos'!$B:$E,4,FALSE)</f>
        <v>#N/A</v>
      </c>
    </row>
    <row r="676" spans="2:6" x14ac:dyDescent="0.25">
      <c r="B676" s="24"/>
      <c r="C676" s="17"/>
      <c r="D676" s="5" t="e">
        <f>VLOOKUP(B676,'[1]Base de datos'!$B:$F,2,FALSE)</f>
        <v>#N/A</v>
      </c>
      <c r="E676" t="e">
        <f>VLOOKUP(B676,'[1]Base de datos'!$B:$E,3,FALSE)</f>
        <v>#N/A</v>
      </c>
      <c r="F676" t="e">
        <f>VLOOKUP(B676,'[1]Base de datos'!$B:$E,4,FALSE)</f>
        <v>#N/A</v>
      </c>
    </row>
    <row r="677" spans="2:6" x14ac:dyDescent="0.25">
      <c r="B677" s="24"/>
      <c r="C677" s="17"/>
      <c r="D677" s="5" t="e">
        <f>VLOOKUP(B677,'[1]Base de datos'!$B:$F,2,FALSE)</f>
        <v>#N/A</v>
      </c>
      <c r="E677" t="e">
        <f>VLOOKUP(B677,'[1]Base de datos'!$B:$E,3,FALSE)</f>
        <v>#N/A</v>
      </c>
      <c r="F677" t="e">
        <f>VLOOKUP(B677,'[1]Base de datos'!$B:$E,4,FALSE)</f>
        <v>#N/A</v>
      </c>
    </row>
    <row r="678" spans="2:6" x14ac:dyDescent="0.25">
      <c r="B678" s="24"/>
      <c r="C678" s="17"/>
      <c r="D678" s="5" t="e">
        <f>VLOOKUP(B678,'[1]Base de datos'!$B:$F,2,FALSE)</f>
        <v>#N/A</v>
      </c>
      <c r="E678" t="e">
        <f>VLOOKUP(B678,'[1]Base de datos'!$B:$E,3,FALSE)</f>
        <v>#N/A</v>
      </c>
      <c r="F678" t="e">
        <f>VLOOKUP(B678,'[1]Base de datos'!$B:$E,4,FALSE)</f>
        <v>#N/A</v>
      </c>
    </row>
    <row r="679" spans="2:6" x14ac:dyDescent="0.25">
      <c r="B679" s="24"/>
      <c r="C679" s="17"/>
      <c r="D679" s="5" t="e">
        <f>VLOOKUP(B679,'[1]Base de datos'!$B:$F,2,FALSE)</f>
        <v>#N/A</v>
      </c>
      <c r="E679" t="e">
        <f>VLOOKUP(B679,'[1]Base de datos'!$B:$E,3,FALSE)</f>
        <v>#N/A</v>
      </c>
      <c r="F679" t="e">
        <f>VLOOKUP(B679,'[1]Base de datos'!$B:$E,4,FALSE)</f>
        <v>#N/A</v>
      </c>
    </row>
    <row r="680" spans="2:6" x14ac:dyDescent="0.25">
      <c r="B680" s="24"/>
      <c r="C680" s="17"/>
      <c r="D680" s="5" t="e">
        <f>VLOOKUP(B680,'[1]Base de datos'!$B:$F,2,FALSE)</f>
        <v>#N/A</v>
      </c>
      <c r="E680" t="e">
        <f>VLOOKUP(B680,'[1]Base de datos'!$B:$E,3,FALSE)</f>
        <v>#N/A</v>
      </c>
      <c r="F680" t="e">
        <f>VLOOKUP(B680,'[1]Base de datos'!$B:$E,4,FALSE)</f>
        <v>#N/A</v>
      </c>
    </row>
    <row r="681" spans="2:6" x14ac:dyDescent="0.25">
      <c r="B681" s="24"/>
      <c r="C681" s="17"/>
      <c r="D681" s="5" t="e">
        <f>VLOOKUP(B681,'[1]Base de datos'!$B:$F,2,FALSE)</f>
        <v>#N/A</v>
      </c>
      <c r="E681" t="e">
        <f>VLOOKUP(B681,'[1]Base de datos'!$B:$E,3,FALSE)</f>
        <v>#N/A</v>
      </c>
      <c r="F681" t="e">
        <f>VLOOKUP(B681,'[1]Base de datos'!$B:$E,4,FALSE)</f>
        <v>#N/A</v>
      </c>
    </row>
    <row r="682" spans="2:6" x14ac:dyDescent="0.25">
      <c r="B682" s="24"/>
      <c r="C682" s="17"/>
      <c r="D682" s="5" t="e">
        <f>VLOOKUP(B682,'[1]Base de datos'!$B:$F,2,FALSE)</f>
        <v>#N/A</v>
      </c>
      <c r="E682" t="e">
        <f>VLOOKUP(B682,'[1]Base de datos'!$B:$E,3,FALSE)</f>
        <v>#N/A</v>
      </c>
      <c r="F682" t="e">
        <f>VLOOKUP(B682,'[1]Base de datos'!$B:$E,4,FALSE)</f>
        <v>#N/A</v>
      </c>
    </row>
    <row r="683" spans="2:6" x14ac:dyDescent="0.25">
      <c r="B683" s="24"/>
      <c r="C683" s="17"/>
      <c r="D683" s="5" t="e">
        <f>VLOOKUP(B683,'[1]Base de datos'!$B:$F,2,FALSE)</f>
        <v>#N/A</v>
      </c>
      <c r="E683" t="e">
        <f>VLOOKUP(B683,'[1]Base de datos'!$B:$E,3,FALSE)</f>
        <v>#N/A</v>
      </c>
      <c r="F683" t="e">
        <f>VLOOKUP(B683,'[1]Base de datos'!$B:$E,4,FALSE)</f>
        <v>#N/A</v>
      </c>
    </row>
    <row r="684" spans="2:6" x14ac:dyDescent="0.25">
      <c r="B684" s="24"/>
      <c r="C684" s="17"/>
      <c r="D684" s="5" t="e">
        <f>VLOOKUP(B684,'[1]Base de datos'!$B:$F,2,FALSE)</f>
        <v>#N/A</v>
      </c>
      <c r="E684" t="e">
        <f>VLOOKUP(B684,'[1]Base de datos'!$B:$E,3,FALSE)</f>
        <v>#N/A</v>
      </c>
      <c r="F684" t="e">
        <f>VLOOKUP(B684,'[1]Base de datos'!$B:$E,4,FALSE)</f>
        <v>#N/A</v>
      </c>
    </row>
    <row r="685" spans="2:6" x14ac:dyDescent="0.25">
      <c r="B685" s="24"/>
      <c r="C685" s="17"/>
      <c r="D685" s="5" t="e">
        <f>VLOOKUP(B685,'[1]Base de datos'!$B:$F,2,FALSE)</f>
        <v>#N/A</v>
      </c>
      <c r="E685" t="e">
        <f>VLOOKUP(B685,'[1]Base de datos'!$B:$E,3,FALSE)</f>
        <v>#N/A</v>
      </c>
      <c r="F685" t="e">
        <f>VLOOKUP(B685,'[1]Base de datos'!$B:$E,4,FALSE)</f>
        <v>#N/A</v>
      </c>
    </row>
    <row r="686" spans="2:6" x14ac:dyDescent="0.25">
      <c r="B686" s="24"/>
      <c r="C686" s="17"/>
      <c r="D686" s="5" t="e">
        <f>VLOOKUP(B686,'[1]Base de datos'!$B:$F,2,FALSE)</f>
        <v>#N/A</v>
      </c>
      <c r="E686" t="e">
        <f>VLOOKUP(B686,'[1]Base de datos'!$B:$E,3,FALSE)</f>
        <v>#N/A</v>
      </c>
      <c r="F686" t="e">
        <f>VLOOKUP(B686,'[1]Base de datos'!$B:$E,4,FALSE)</f>
        <v>#N/A</v>
      </c>
    </row>
    <row r="687" spans="2:6" x14ac:dyDescent="0.25">
      <c r="B687" s="24"/>
      <c r="C687" s="17"/>
      <c r="D687" s="5" t="e">
        <f>VLOOKUP(B687,'[1]Base de datos'!$B:$F,2,FALSE)</f>
        <v>#N/A</v>
      </c>
      <c r="E687" t="e">
        <f>VLOOKUP(B687,'[1]Base de datos'!$B:$E,3,FALSE)</f>
        <v>#N/A</v>
      </c>
      <c r="F687" t="e">
        <f>VLOOKUP(B687,'[1]Base de datos'!$B:$E,4,FALSE)</f>
        <v>#N/A</v>
      </c>
    </row>
    <row r="688" spans="2:6" x14ac:dyDescent="0.25">
      <c r="B688" s="24"/>
      <c r="C688" s="17"/>
      <c r="D688" s="5" t="e">
        <f>VLOOKUP(B688,'[1]Base de datos'!$B:$F,2,FALSE)</f>
        <v>#N/A</v>
      </c>
      <c r="E688" t="e">
        <f>VLOOKUP(B688,'[1]Base de datos'!$B:$E,3,FALSE)</f>
        <v>#N/A</v>
      </c>
      <c r="F688" t="e">
        <f>VLOOKUP(B688,'[1]Base de datos'!$B:$E,4,FALSE)</f>
        <v>#N/A</v>
      </c>
    </row>
    <row r="689" spans="2:6" x14ac:dyDescent="0.25">
      <c r="B689" s="24"/>
      <c r="C689" s="17"/>
      <c r="D689" s="5" t="e">
        <f>VLOOKUP(B689,'[1]Base de datos'!$B:$F,2,FALSE)</f>
        <v>#N/A</v>
      </c>
      <c r="E689" t="e">
        <f>VLOOKUP(B689,'[1]Base de datos'!$B:$E,3,FALSE)</f>
        <v>#N/A</v>
      </c>
      <c r="F689" t="e">
        <f>VLOOKUP(B689,'[1]Base de datos'!$B:$E,4,FALSE)</f>
        <v>#N/A</v>
      </c>
    </row>
    <row r="690" spans="2:6" x14ac:dyDescent="0.25">
      <c r="B690" s="24"/>
      <c r="C690" s="17"/>
      <c r="D690" s="5" t="e">
        <f>VLOOKUP(B690,'[1]Base de datos'!$B:$F,2,FALSE)</f>
        <v>#N/A</v>
      </c>
      <c r="E690" t="e">
        <f>VLOOKUP(B690,'[1]Base de datos'!$B:$E,3,FALSE)</f>
        <v>#N/A</v>
      </c>
      <c r="F690" t="e">
        <f>VLOOKUP(B690,'[1]Base de datos'!$B:$E,4,FALSE)</f>
        <v>#N/A</v>
      </c>
    </row>
    <row r="691" spans="2:6" x14ac:dyDescent="0.25">
      <c r="B691" s="24"/>
      <c r="C691" s="17"/>
      <c r="D691" s="5" t="e">
        <f>VLOOKUP(B691,'[1]Base de datos'!$B:$F,2,FALSE)</f>
        <v>#N/A</v>
      </c>
      <c r="E691" t="e">
        <f>VLOOKUP(B691,'[1]Base de datos'!$B:$E,3,FALSE)</f>
        <v>#N/A</v>
      </c>
      <c r="F691" t="e">
        <f>VLOOKUP(B691,'[1]Base de datos'!$B:$E,4,FALSE)</f>
        <v>#N/A</v>
      </c>
    </row>
    <row r="692" spans="2:6" x14ac:dyDescent="0.25">
      <c r="B692" s="24"/>
      <c r="C692" s="17"/>
      <c r="D692" s="5" t="e">
        <f>VLOOKUP(B692,'[1]Base de datos'!$B:$F,2,FALSE)</f>
        <v>#N/A</v>
      </c>
      <c r="E692" t="e">
        <f>VLOOKUP(B692,'[1]Base de datos'!$B:$E,3,FALSE)</f>
        <v>#N/A</v>
      </c>
      <c r="F692" t="e">
        <f>VLOOKUP(B692,'[1]Base de datos'!$B:$E,4,FALSE)</f>
        <v>#N/A</v>
      </c>
    </row>
    <row r="693" spans="2:6" x14ac:dyDescent="0.25">
      <c r="B693" s="24"/>
      <c r="C693" s="17"/>
      <c r="D693" s="5" t="e">
        <f>VLOOKUP(B693,'[1]Base de datos'!$B:$F,2,FALSE)</f>
        <v>#N/A</v>
      </c>
      <c r="E693" t="e">
        <f>VLOOKUP(B693,'[1]Base de datos'!$B:$E,3,FALSE)</f>
        <v>#N/A</v>
      </c>
      <c r="F693" t="e">
        <f>VLOOKUP(B693,'[1]Base de datos'!$B:$E,4,FALSE)</f>
        <v>#N/A</v>
      </c>
    </row>
    <row r="694" spans="2:6" x14ac:dyDescent="0.25">
      <c r="B694" s="24"/>
      <c r="C694" s="17"/>
      <c r="D694" s="5" t="e">
        <f>VLOOKUP(B694,'[1]Base de datos'!$B:$F,2,FALSE)</f>
        <v>#N/A</v>
      </c>
      <c r="E694" t="e">
        <f>VLOOKUP(B694,'[1]Base de datos'!$B:$E,3,FALSE)</f>
        <v>#N/A</v>
      </c>
      <c r="F694" t="e">
        <f>VLOOKUP(B694,'[1]Base de datos'!$B:$E,4,FALSE)</f>
        <v>#N/A</v>
      </c>
    </row>
    <row r="695" spans="2:6" x14ac:dyDescent="0.25">
      <c r="B695" s="24"/>
      <c r="C695" s="17"/>
      <c r="D695" s="5" t="e">
        <f>VLOOKUP(B695,'[1]Base de datos'!$B:$F,2,FALSE)</f>
        <v>#N/A</v>
      </c>
      <c r="E695" t="e">
        <f>VLOOKUP(B695,'[1]Base de datos'!$B:$E,3,FALSE)</f>
        <v>#N/A</v>
      </c>
      <c r="F695" t="e">
        <f>VLOOKUP(B695,'[1]Base de datos'!$B:$E,4,FALSE)</f>
        <v>#N/A</v>
      </c>
    </row>
    <row r="696" spans="2:6" x14ac:dyDescent="0.25">
      <c r="B696" s="24"/>
      <c r="C696" s="17"/>
      <c r="D696" s="5" t="e">
        <f>VLOOKUP(B696,'[1]Base de datos'!$B:$F,2,FALSE)</f>
        <v>#N/A</v>
      </c>
      <c r="E696" t="e">
        <f>VLOOKUP(B696,'[1]Base de datos'!$B:$E,3,FALSE)</f>
        <v>#N/A</v>
      </c>
      <c r="F696" t="e">
        <f>VLOOKUP(B696,'[1]Base de datos'!$B:$E,4,FALSE)</f>
        <v>#N/A</v>
      </c>
    </row>
    <row r="697" spans="2:6" x14ac:dyDescent="0.25">
      <c r="B697" s="24"/>
      <c r="C697" s="17"/>
      <c r="D697" s="5" t="e">
        <f>VLOOKUP(B697,'[1]Base de datos'!$B:$F,2,FALSE)</f>
        <v>#N/A</v>
      </c>
      <c r="E697" t="e">
        <f>VLOOKUP(B697,'[1]Base de datos'!$B:$E,3,FALSE)</f>
        <v>#N/A</v>
      </c>
      <c r="F697" t="e">
        <f>VLOOKUP(B697,'[1]Base de datos'!$B:$E,4,FALSE)</f>
        <v>#N/A</v>
      </c>
    </row>
    <row r="698" spans="2:6" x14ac:dyDescent="0.25">
      <c r="B698" s="24"/>
      <c r="C698" s="17"/>
      <c r="D698" s="5" t="e">
        <f>VLOOKUP(B698,'[1]Base de datos'!$B:$F,2,FALSE)</f>
        <v>#N/A</v>
      </c>
      <c r="E698" t="e">
        <f>VLOOKUP(B698,'[1]Base de datos'!$B:$E,3,FALSE)</f>
        <v>#N/A</v>
      </c>
      <c r="F698" t="e">
        <f>VLOOKUP(B698,'[1]Base de datos'!$B:$E,4,FALSE)</f>
        <v>#N/A</v>
      </c>
    </row>
    <row r="699" spans="2:6" x14ac:dyDescent="0.25">
      <c r="B699" s="24"/>
      <c r="C699" s="17"/>
      <c r="D699" s="5" t="e">
        <f>VLOOKUP(B699,'[1]Base de datos'!$B:$F,2,FALSE)</f>
        <v>#N/A</v>
      </c>
      <c r="E699" t="e">
        <f>VLOOKUP(B699,'[1]Base de datos'!$B:$E,3,FALSE)</f>
        <v>#N/A</v>
      </c>
      <c r="F699" t="e">
        <f>VLOOKUP(B699,'[1]Base de datos'!$B:$E,4,FALSE)</f>
        <v>#N/A</v>
      </c>
    </row>
    <row r="700" spans="2:6" x14ac:dyDescent="0.25">
      <c r="B700" s="24"/>
      <c r="C700" s="17"/>
      <c r="D700" s="5" t="e">
        <f>VLOOKUP(B700,'[1]Base de datos'!$B:$F,2,FALSE)</f>
        <v>#N/A</v>
      </c>
      <c r="E700" t="e">
        <f>VLOOKUP(B700,'[1]Base de datos'!$B:$E,3,FALSE)</f>
        <v>#N/A</v>
      </c>
      <c r="F700" t="e">
        <f>VLOOKUP(B700,'[1]Base de datos'!$B:$E,4,FALSE)</f>
        <v>#N/A</v>
      </c>
    </row>
    <row r="701" spans="2:6" x14ac:dyDescent="0.25">
      <c r="B701" s="24"/>
      <c r="C701" s="17"/>
      <c r="D701" s="5" t="e">
        <f>VLOOKUP(B701,'[1]Base de datos'!$B:$F,2,FALSE)</f>
        <v>#N/A</v>
      </c>
      <c r="E701" t="e">
        <f>VLOOKUP(B701,'[1]Base de datos'!$B:$E,3,FALSE)</f>
        <v>#N/A</v>
      </c>
      <c r="F701" t="e">
        <f>VLOOKUP(B701,'[1]Base de datos'!$B:$E,4,FALSE)</f>
        <v>#N/A</v>
      </c>
    </row>
    <row r="702" spans="2:6" x14ac:dyDescent="0.25">
      <c r="B702" s="24"/>
      <c r="C702" s="17"/>
      <c r="D702" s="5" t="e">
        <f>VLOOKUP(B702,'[1]Base de datos'!$B:$F,2,FALSE)</f>
        <v>#N/A</v>
      </c>
      <c r="E702" t="e">
        <f>VLOOKUP(B702,'[1]Base de datos'!$B:$E,3,FALSE)</f>
        <v>#N/A</v>
      </c>
      <c r="F702" t="e">
        <f>VLOOKUP(B702,'[1]Base de datos'!$B:$E,4,FALSE)</f>
        <v>#N/A</v>
      </c>
    </row>
    <row r="703" spans="2:6" x14ac:dyDescent="0.25">
      <c r="B703" s="24"/>
      <c r="C703" s="17"/>
      <c r="D703" s="5" t="e">
        <f>VLOOKUP(B703,'[1]Base de datos'!$B:$F,2,FALSE)</f>
        <v>#N/A</v>
      </c>
      <c r="E703" t="e">
        <f>VLOOKUP(B703,'[1]Base de datos'!$B:$E,3,FALSE)</f>
        <v>#N/A</v>
      </c>
      <c r="F703" t="e">
        <f>VLOOKUP(B703,'[1]Base de datos'!$B:$E,4,FALSE)</f>
        <v>#N/A</v>
      </c>
    </row>
    <row r="704" spans="2:6" x14ac:dyDescent="0.25">
      <c r="B704" s="24"/>
      <c r="C704" s="17"/>
      <c r="D704" s="5" t="e">
        <f>VLOOKUP(B704,'[1]Base de datos'!$B:$F,2,FALSE)</f>
        <v>#N/A</v>
      </c>
      <c r="E704" t="e">
        <f>VLOOKUP(B704,'[1]Base de datos'!$B:$E,3,FALSE)</f>
        <v>#N/A</v>
      </c>
      <c r="F704" t="e">
        <f>VLOOKUP(B704,'[1]Base de datos'!$B:$E,4,FALSE)</f>
        <v>#N/A</v>
      </c>
    </row>
    <row r="705" spans="2:6" x14ac:dyDescent="0.25">
      <c r="B705" s="24"/>
      <c r="C705" s="17"/>
      <c r="D705" s="5" t="e">
        <f>VLOOKUP(B705,'[1]Base de datos'!$B:$F,2,FALSE)</f>
        <v>#N/A</v>
      </c>
      <c r="E705" t="e">
        <f>VLOOKUP(B705,'[1]Base de datos'!$B:$E,3,FALSE)</f>
        <v>#N/A</v>
      </c>
      <c r="F705" t="e">
        <f>VLOOKUP(B705,'[1]Base de datos'!$B:$E,4,FALSE)</f>
        <v>#N/A</v>
      </c>
    </row>
    <row r="706" spans="2:6" x14ac:dyDescent="0.25">
      <c r="B706" s="24"/>
      <c r="C706" s="17"/>
      <c r="D706" s="5" t="e">
        <f>VLOOKUP(B706,'[1]Base de datos'!$B:$F,2,FALSE)</f>
        <v>#N/A</v>
      </c>
      <c r="E706" t="e">
        <f>VLOOKUP(B706,'[1]Base de datos'!$B:$E,3,FALSE)</f>
        <v>#N/A</v>
      </c>
      <c r="F706" t="e">
        <f>VLOOKUP(B706,'[1]Base de datos'!$B:$E,4,FALSE)</f>
        <v>#N/A</v>
      </c>
    </row>
    <row r="707" spans="2:6" x14ac:dyDescent="0.25">
      <c r="B707" s="24"/>
      <c r="C707" s="17"/>
      <c r="D707" s="5" t="e">
        <f>VLOOKUP(B707,'[1]Base de datos'!$B:$F,2,FALSE)</f>
        <v>#N/A</v>
      </c>
      <c r="E707" t="e">
        <f>VLOOKUP(B707,'[1]Base de datos'!$B:$E,3,FALSE)</f>
        <v>#N/A</v>
      </c>
      <c r="F707" t="e">
        <f>VLOOKUP(B707,'[1]Base de datos'!$B:$E,4,FALSE)</f>
        <v>#N/A</v>
      </c>
    </row>
    <row r="708" spans="2:6" x14ac:dyDescent="0.25">
      <c r="B708" s="24"/>
      <c r="C708" s="17"/>
      <c r="D708" s="5" t="e">
        <f>VLOOKUP(B708,'[1]Base de datos'!$B:$F,2,FALSE)</f>
        <v>#N/A</v>
      </c>
      <c r="E708" t="e">
        <f>VLOOKUP(B708,'[1]Base de datos'!$B:$E,3,FALSE)</f>
        <v>#N/A</v>
      </c>
      <c r="F708" t="e">
        <f>VLOOKUP(B708,'[1]Base de datos'!$B:$E,4,FALSE)</f>
        <v>#N/A</v>
      </c>
    </row>
    <row r="709" spans="2:6" x14ac:dyDescent="0.25">
      <c r="B709" s="24"/>
      <c r="C709" s="17"/>
      <c r="D709" s="5" t="e">
        <f>VLOOKUP(B709,'[1]Base de datos'!$B:$F,2,FALSE)</f>
        <v>#N/A</v>
      </c>
      <c r="E709" t="e">
        <f>VLOOKUP(B709,'[1]Base de datos'!$B:$E,3,FALSE)</f>
        <v>#N/A</v>
      </c>
      <c r="F709" t="e">
        <f>VLOOKUP(B709,'[1]Base de datos'!$B:$E,4,FALSE)</f>
        <v>#N/A</v>
      </c>
    </row>
    <row r="710" spans="2:6" x14ac:dyDescent="0.25">
      <c r="B710" s="24"/>
      <c r="C710" s="17"/>
      <c r="D710" s="5" t="e">
        <f>VLOOKUP(B710,'[1]Base de datos'!$B:$F,2,FALSE)</f>
        <v>#N/A</v>
      </c>
      <c r="E710" t="e">
        <f>VLOOKUP(B710,'[1]Base de datos'!$B:$E,3,FALSE)</f>
        <v>#N/A</v>
      </c>
      <c r="F710" t="e">
        <f>VLOOKUP(B710,'[1]Base de datos'!$B:$E,4,FALSE)</f>
        <v>#N/A</v>
      </c>
    </row>
    <row r="711" spans="2:6" x14ac:dyDescent="0.25">
      <c r="B711" s="24"/>
      <c r="C711" s="17"/>
      <c r="D711" s="5" t="e">
        <f>VLOOKUP(B711,'[1]Base de datos'!$B:$F,2,FALSE)</f>
        <v>#N/A</v>
      </c>
      <c r="E711" t="e">
        <f>VLOOKUP(B711,'[1]Base de datos'!$B:$E,3,FALSE)</f>
        <v>#N/A</v>
      </c>
      <c r="F711" t="e">
        <f>VLOOKUP(B711,'[1]Base de datos'!$B:$E,4,FALSE)</f>
        <v>#N/A</v>
      </c>
    </row>
    <row r="712" spans="2:6" x14ac:dyDescent="0.25">
      <c r="B712" s="24"/>
      <c r="C712" s="17"/>
      <c r="D712" s="5" t="e">
        <f>VLOOKUP(B712,'[1]Base de datos'!$B:$F,2,FALSE)</f>
        <v>#N/A</v>
      </c>
      <c r="E712" t="e">
        <f>VLOOKUP(B712,'[1]Base de datos'!$B:$E,3,FALSE)</f>
        <v>#N/A</v>
      </c>
      <c r="F712" t="e">
        <f>VLOOKUP(B712,'[1]Base de datos'!$B:$E,4,FALSE)</f>
        <v>#N/A</v>
      </c>
    </row>
    <row r="713" spans="2:6" x14ac:dyDescent="0.25">
      <c r="B713" s="24"/>
      <c r="C713" s="17"/>
      <c r="D713" s="5" t="e">
        <f>VLOOKUP(B713,'[1]Base de datos'!$B:$F,2,FALSE)</f>
        <v>#N/A</v>
      </c>
      <c r="E713" t="e">
        <f>VLOOKUP(B713,'[1]Base de datos'!$B:$E,3,FALSE)</f>
        <v>#N/A</v>
      </c>
      <c r="F713" t="e">
        <f>VLOOKUP(B713,'[1]Base de datos'!$B:$E,4,FALSE)</f>
        <v>#N/A</v>
      </c>
    </row>
    <row r="714" spans="2:6" x14ac:dyDescent="0.25">
      <c r="B714" s="24"/>
      <c r="C714" s="17"/>
      <c r="D714" s="5" t="e">
        <f>VLOOKUP(B714,'[1]Base de datos'!$B:$F,2,FALSE)</f>
        <v>#N/A</v>
      </c>
      <c r="E714" t="e">
        <f>VLOOKUP(B714,'[1]Base de datos'!$B:$E,3,FALSE)</f>
        <v>#N/A</v>
      </c>
      <c r="F714" t="e">
        <f>VLOOKUP(B714,'[1]Base de datos'!$B:$E,4,FALSE)</f>
        <v>#N/A</v>
      </c>
    </row>
    <row r="715" spans="2:6" x14ac:dyDescent="0.25">
      <c r="B715" s="24"/>
      <c r="C715" s="17"/>
      <c r="D715" s="5" t="e">
        <f>VLOOKUP(B715,'[1]Base de datos'!$B:$F,2,FALSE)</f>
        <v>#N/A</v>
      </c>
      <c r="E715" t="e">
        <f>VLOOKUP(B715,'[1]Base de datos'!$B:$E,3,FALSE)</f>
        <v>#N/A</v>
      </c>
      <c r="F715" t="e">
        <f>VLOOKUP(B715,'[1]Base de datos'!$B:$E,4,FALSE)</f>
        <v>#N/A</v>
      </c>
    </row>
    <row r="716" spans="2:6" x14ac:dyDescent="0.25">
      <c r="B716" s="24"/>
      <c r="C716" s="17"/>
      <c r="D716" s="5" t="e">
        <f>VLOOKUP(B716,'[1]Base de datos'!$B:$F,2,FALSE)</f>
        <v>#N/A</v>
      </c>
      <c r="E716" t="e">
        <f>VLOOKUP(B716,'[1]Base de datos'!$B:$E,3,FALSE)</f>
        <v>#N/A</v>
      </c>
      <c r="F716" t="e">
        <f>VLOOKUP(B716,'[1]Base de datos'!$B:$E,4,FALSE)</f>
        <v>#N/A</v>
      </c>
    </row>
    <row r="717" spans="2:6" x14ac:dyDescent="0.25">
      <c r="B717" s="24"/>
      <c r="C717" s="17"/>
      <c r="D717" s="5" t="e">
        <f>VLOOKUP(B717,'[1]Base de datos'!$B:$F,2,FALSE)</f>
        <v>#N/A</v>
      </c>
      <c r="E717" t="e">
        <f>VLOOKUP(B717,'[1]Base de datos'!$B:$E,3,FALSE)</f>
        <v>#N/A</v>
      </c>
      <c r="F717" t="e">
        <f>VLOOKUP(B717,'[1]Base de datos'!$B:$E,4,FALSE)</f>
        <v>#N/A</v>
      </c>
    </row>
    <row r="718" spans="2:6" x14ac:dyDescent="0.25">
      <c r="B718" s="24"/>
      <c r="C718" s="17"/>
      <c r="D718" s="5" t="e">
        <f>VLOOKUP(B718,'[1]Base de datos'!$B:$F,2,FALSE)</f>
        <v>#N/A</v>
      </c>
      <c r="E718" t="e">
        <f>VLOOKUP(B718,'[1]Base de datos'!$B:$E,3,FALSE)</f>
        <v>#N/A</v>
      </c>
      <c r="F718" t="e">
        <f>VLOOKUP(B718,'[1]Base de datos'!$B:$E,4,FALSE)</f>
        <v>#N/A</v>
      </c>
    </row>
    <row r="719" spans="2:6" x14ac:dyDescent="0.25">
      <c r="B719" s="24"/>
      <c r="C719" s="17"/>
      <c r="D719" s="5" t="e">
        <f>VLOOKUP(B719,'[1]Base de datos'!$B:$F,2,FALSE)</f>
        <v>#N/A</v>
      </c>
      <c r="E719" t="e">
        <f>VLOOKUP(B719,'[1]Base de datos'!$B:$E,3,FALSE)</f>
        <v>#N/A</v>
      </c>
      <c r="F719" t="e">
        <f>VLOOKUP(B719,'[1]Base de datos'!$B:$E,4,FALSE)</f>
        <v>#N/A</v>
      </c>
    </row>
    <row r="720" spans="2:6" x14ac:dyDescent="0.25">
      <c r="B720" s="24"/>
      <c r="C720" s="17"/>
      <c r="D720" s="5" t="e">
        <f>VLOOKUP(B720,'[1]Base de datos'!$B:$F,2,FALSE)</f>
        <v>#N/A</v>
      </c>
      <c r="E720" t="e">
        <f>VLOOKUP(B720,'[1]Base de datos'!$B:$E,3,FALSE)</f>
        <v>#N/A</v>
      </c>
      <c r="F720" t="e">
        <f>VLOOKUP(B720,'[1]Base de datos'!$B:$E,4,FALSE)</f>
        <v>#N/A</v>
      </c>
    </row>
    <row r="721" spans="2:6" x14ac:dyDescent="0.25">
      <c r="B721" s="24"/>
      <c r="C721" s="17"/>
      <c r="D721" s="5" t="e">
        <f>VLOOKUP(B721,'[1]Base de datos'!$B:$F,2,FALSE)</f>
        <v>#N/A</v>
      </c>
      <c r="E721" t="e">
        <f>VLOOKUP(B721,'[1]Base de datos'!$B:$E,3,FALSE)</f>
        <v>#N/A</v>
      </c>
      <c r="F721" t="e">
        <f>VLOOKUP(B721,'[1]Base de datos'!$B:$E,4,FALSE)</f>
        <v>#N/A</v>
      </c>
    </row>
    <row r="722" spans="2:6" x14ac:dyDescent="0.25">
      <c r="B722" s="24"/>
      <c r="C722" s="17"/>
      <c r="D722" s="5" t="e">
        <f>VLOOKUP(B722,'[1]Base de datos'!$B:$F,2,FALSE)</f>
        <v>#N/A</v>
      </c>
      <c r="E722" t="e">
        <f>VLOOKUP(B722,'[1]Base de datos'!$B:$E,3,FALSE)</f>
        <v>#N/A</v>
      </c>
      <c r="F722" t="e">
        <f>VLOOKUP(B722,'[1]Base de datos'!$B:$E,4,FALSE)</f>
        <v>#N/A</v>
      </c>
    </row>
    <row r="723" spans="2:6" x14ac:dyDescent="0.25">
      <c r="B723" s="24"/>
      <c r="C723" s="17"/>
      <c r="D723" s="5" t="e">
        <f>VLOOKUP(B723,'[1]Base de datos'!$B:$F,2,FALSE)</f>
        <v>#N/A</v>
      </c>
      <c r="E723" t="e">
        <f>VLOOKUP(B723,'[1]Base de datos'!$B:$E,3,FALSE)</f>
        <v>#N/A</v>
      </c>
      <c r="F723" t="e">
        <f>VLOOKUP(B723,'[1]Base de datos'!$B:$E,4,FALSE)</f>
        <v>#N/A</v>
      </c>
    </row>
    <row r="724" spans="2:6" x14ac:dyDescent="0.25">
      <c r="B724" s="24"/>
      <c r="C724" s="17"/>
      <c r="D724" s="5" t="e">
        <f>VLOOKUP(B724,'[1]Base de datos'!$B:$F,2,FALSE)</f>
        <v>#N/A</v>
      </c>
      <c r="E724" t="e">
        <f>VLOOKUP(B724,'[1]Base de datos'!$B:$E,3,FALSE)</f>
        <v>#N/A</v>
      </c>
      <c r="F724" t="e">
        <f>VLOOKUP(B724,'[1]Base de datos'!$B:$E,4,FALSE)</f>
        <v>#N/A</v>
      </c>
    </row>
    <row r="725" spans="2:6" x14ac:dyDescent="0.25">
      <c r="B725" s="24"/>
      <c r="C725" s="17"/>
      <c r="D725" s="5" t="e">
        <f>VLOOKUP(B725,'[1]Base de datos'!$B:$F,2,FALSE)</f>
        <v>#N/A</v>
      </c>
      <c r="E725" t="e">
        <f>VLOOKUP(B725,'[1]Base de datos'!$B:$E,3,FALSE)</f>
        <v>#N/A</v>
      </c>
      <c r="F725" t="e">
        <f>VLOOKUP(B725,'[1]Base de datos'!$B:$E,4,FALSE)</f>
        <v>#N/A</v>
      </c>
    </row>
    <row r="726" spans="2:6" x14ac:dyDescent="0.25">
      <c r="B726" s="24"/>
      <c r="C726" s="17"/>
      <c r="D726" s="5" t="e">
        <f>VLOOKUP(B726,'[1]Base de datos'!$B:$F,2,FALSE)</f>
        <v>#N/A</v>
      </c>
      <c r="E726" t="e">
        <f>VLOOKUP(B726,'[1]Base de datos'!$B:$E,3,FALSE)</f>
        <v>#N/A</v>
      </c>
      <c r="F726" t="e">
        <f>VLOOKUP(B726,'[1]Base de datos'!$B:$E,4,FALSE)</f>
        <v>#N/A</v>
      </c>
    </row>
    <row r="727" spans="2:6" x14ac:dyDescent="0.25">
      <c r="B727" s="24"/>
      <c r="C727" s="17"/>
      <c r="D727" s="5" t="e">
        <f>VLOOKUP(B727,'[1]Base de datos'!$B:$F,2,FALSE)</f>
        <v>#N/A</v>
      </c>
      <c r="E727" t="e">
        <f>VLOOKUP(B727,'[1]Base de datos'!$B:$E,3,FALSE)</f>
        <v>#N/A</v>
      </c>
      <c r="F727" t="e">
        <f>VLOOKUP(B727,'[1]Base de datos'!$B:$E,4,FALSE)</f>
        <v>#N/A</v>
      </c>
    </row>
    <row r="728" spans="2:6" x14ac:dyDescent="0.25">
      <c r="B728" s="24"/>
      <c r="C728" s="17"/>
      <c r="D728" s="5" t="e">
        <f>VLOOKUP(B728,'[1]Base de datos'!$B:$F,2,FALSE)</f>
        <v>#N/A</v>
      </c>
      <c r="E728" t="e">
        <f>VLOOKUP(B728,'[1]Base de datos'!$B:$E,3,FALSE)</f>
        <v>#N/A</v>
      </c>
      <c r="F728" t="e">
        <f>VLOOKUP(B728,'[1]Base de datos'!$B:$E,4,FALSE)</f>
        <v>#N/A</v>
      </c>
    </row>
    <row r="729" spans="2:6" x14ac:dyDescent="0.25">
      <c r="B729" s="24"/>
      <c r="C729" s="17"/>
      <c r="D729" s="5" t="e">
        <f>VLOOKUP(B729,'[1]Base de datos'!$B:$F,2,FALSE)</f>
        <v>#N/A</v>
      </c>
      <c r="E729" t="e">
        <f>VLOOKUP(B729,'[1]Base de datos'!$B:$E,3,FALSE)</f>
        <v>#N/A</v>
      </c>
      <c r="F729" t="e">
        <f>VLOOKUP(B729,'[1]Base de datos'!$B:$E,4,FALSE)</f>
        <v>#N/A</v>
      </c>
    </row>
    <row r="730" spans="2:6" x14ac:dyDescent="0.25">
      <c r="B730" s="24"/>
      <c r="C730" s="17"/>
      <c r="D730" s="5" t="e">
        <f>VLOOKUP(B730,'[1]Base de datos'!$B:$F,2,FALSE)</f>
        <v>#N/A</v>
      </c>
      <c r="E730" t="e">
        <f>VLOOKUP(B730,'[1]Base de datos'!$B:$E,3,FALSE)</f>
        <v>#N/A</v>
      </c>
      <c r="F730" t="e">
        <f>VLOOKUP(B730,'[1]Base de datos'!$B:$E,4,FALSE)</f>
        <v>#N/A</v>
      </c>
    </row>
    <row r="731" spans="2:6" x14ac:dyDescent="0.25">
      <c r="B731" s="24"/>
      <c r="C731" s="17"/>
      <c r="D731" s="5" t="e">
        <f>VLOOKUP(B731,'[1]Base de datos'!$B:$F,2,FALSE)</f>
        <v>#N/A</v>
      </c>
      <c r="E731" t="e">
        <f>VLOOKUP(B731,'[1]Base de datos'!$B:$E,3,FALSE)</f>
        <v>#N/A</v>
      </c>
      <c r="F731" t="e">
        <f>VLOOKUP(B731,'[1]Base de datos'!$B:$E,4,FALSE)</f>
        <v>#N/A</v>
      </c>
    </row>
    <row r="732" spans="2:6" x14ac:dyDescent="0.25">
      <c r="B732" s="24"/>
      <c r="C732" s="17"/>
      <c r="D732" s="5" t="e">
        <f>VLOOKUP(B732,'[1]Base de datos'!$B:$F,2,FALSE)</f>
        <v>#N/A</v>
      </c>
      <c r="E732" t="e">
        <f>VLOOKUP(B732,'[1]Base de datos'!$B:$E,3,FALSE)</f>
        <v>#N/A</v>
      </c>
      <c r="F732" t="e">
        <f>VLOOKUP(B732,'[1]Base de datos'!$B:$E,4,FALSE)</f>
        <v>#N/A</v>
      </c>
    </row>
    <row r="733" spans="2:6" x14ac:dyDescent="0.25">
      <c r="B733" s="24"/>
      <c r="C733" s="17"/>
      <c r="D733" s="5" t="e">
        <f>VLOOKUP(B733,'[1]Base de datos'!$B:$F,2,FALSE)</f>
        <v>#N/A</v>
      </c>
      <c r="E733" t="e">
        <f>VLOOKUP(B733,'[1]Base de datos'!$B:$E,3,FALSE)</f>
        <v>#N/A</v>
      </c>
      <c r="F733" t="e">
        <f>VLOOKUP(B733,'[1]Base de datos'!$B:$E,4,FALSE)</f>
        <v>#N/A</v>
      </c>
    </row>
    <row r="734" spans="2:6" x14ac:dyDescent="0.25">
      <c r="B734" s="24"/>
      <c r="C734" s="17"/>
      <c r="D734" s="5" t="e">
        <f>VLOOKUP(B734,'[1]Base de datos'!$B:$F,2,FALSE)</f>
        <v>#N/A</v>
      </c>
      <c r="E734" t="e">
        <f>VLOOKUP(B734,'[1]Base de datos'!$B:$E,3,FALSE)</f>
        <v>#N/A</v>
      </c>
      <c r="F734" t="e">
        <f>VLOOKUP(B734,'[1]Base de datos'!$B:$E,4,FALSE)</f>
        <v>#N/A</v>
      </c>
    </row>
    <row r="735" spans="2:6" x14ac:dyDescent="0.25">
      <c r="B735" s="24"/>
      <c r="C735" s="17"/>
      <c r="D735" s="5" t="e">
        <f>VLOOKUP(B735,'[1]Base de datos'!$B:$F,2,FALSE)</f>
        <v>#N/A</v>
      </c>
      <c r="E735" t="e">
        <f>VLOOKUP(B735,'[1]Base de datos'!$B:$E,3,FALSE)</f>
        <v>#N/A</v>
      </c>
      <c r="F735" t="e">
        <f>VLOOKUP(B735,'[1]Base de datos'!$B:$E,4,FALSE)</f>
        <v>#N/A</v>
      </c>
    </row>
    <row r="736" spans="2:6" x14ac:dyDescent="0.25">
      <c r="B736" s="24"/>
      <c r="C736" s="17"/>
      <c r="D736" s="5" t="e">
        <f>VLOOKUP(B736,'[1]Base de datos'!$B:$F,2,FALSE)</f>
        <v>#N/A</v>
      </c>
      <c r="E736" t="e">
        <f>VLOOKUP(B736,'[1]Base de datos'!$B:$E,3,FALSE)</f>
        <v>#N/A</v>
      </c>
      <c r="F736" t="e">
        <f>VLOOKUP(B736,'[1]Base de datos'!$B:$E,4,FALSE)</f>
        <v>#N/A</v>
      </c>
    </row>
    <row r="737" spans="2:6" x14ac:dyDescent="0.25">
      <c r="B737" s="24"/>
      <c r="C737" s="17"/>
      <c r="D737" s="5" t="e">
        <f>VLOOKUP(B737,'[1]Base de datos'!$B:$F,2,FALSE)</f>
        <v>#N/A</v>
      </c>
      <c r="E737" t="e">
        <f>VLOOKUP(B737,'[1]Base de datos'!$B:$E,3,FALSE)</f>
        <v>#N/A</v>
      </c>
      <c r="F737" t="e">
        <f>VLOOKUP(B737,'[1]Base de datos'!$B:$E,4,FALSE)</f>
        <v>#N/A</v>
      </c>
    </row>
    <row r="738" spans="2:6" x14ac:dyDescent="0.25">
      <c r="B738" s="24"/>
      <c r="C738" s="17"/>
      <c r="D738" s="5" t="e">
        <f>VLOOKUP(B738,'[1]Base de datos'!$B:$F,2,FALSE)</f>
        <v>#N/A</v>
      </c>
      <c r="E738" t="e">
        <f>VLOOKUP(B738,'[1]Base de datos'!$B:$E,3,FALSE)</f>
        <v>#N/A</v>
      </c>
      <c r="F738" t="e">
        <f>VLOOKUP(B738,'[1]Base de datos'!$B:$E,4,FALSE)</f>
        <v>#N/A</v>
      </c>
    </row>
    <row r="739" spans="2:6" x14ac:dyDescent="0.25">
      <c r="B739" s="24"/>
      <c r="C739" s="17"/>
      <c r="D739" s="5" t="e">
        <f>VLOOKUP(B739,'[1]Base de datos'!$B:$F,2,FALSE)</f>
        <v>#N/A</v>
      </c>
      <c r="E739" t="e">
        <f>VLOOKUP(B739,'[1]Base de datos'!$B:$E,3,FALSE)</f>
        <v>#N/A</v>
      </c>
      <c r="F739" t="e">
        <f>VLOOKUP(B739,'[1]Base de datos'!$B:$E,4,FALSE)</f>
        <v>#N/A</v>
      </c>
    </row>
    <row r="740" spans="2:6" x14ac:dyDescent="0.25">
      <c r="B740" s="24"/>
      <c r="C740" s="17"/>
      <c r="D740" s="5" t="e">
        <f>VLOOKUP(B740,'[1]Base de datos'!$B:$F,2,FALSE)</f>
        <v>#N/A</v>
      </c>
      <c r="E740" t="e">
        <f>VLOOKUP(B740,'[1]Base de datos'!$B:$E,3,FALSE)</f>
        <v>#N/A</v>
      </c>
      <c r="F740" t="e">
        <f>VLOOKUP(B740,'[1]Base de datos'!$B:$E,4,FALSE)</f>
        <v>#N/A</v>
      </c>
    </row>
    <row r="741" spans="2:6" x14ac:dyDescent="0.25">
      <c r="B741" s="24"/>
      <c r="C741" s="17"/>
      <c r="D741" s="5" t="e">
        <f>VLOOKUP(B741,'[1]Base de datos'!$B:$F,2,FALSE)</f>
        <v>#N/A</v>
      </c>
      <c r="E741" t="e">
        <f>VLOOKUP(B741,'[1]Base de datos'!$B:$E,3,FALSE)</f>
        <v>#N/A</v>
      </c>
      <c r="F741" t="e">
        <f>VLOOKUP(B741,'[1]Base de datos'!$B:$E,4,FALSE)</f>
        <v>#N/A</v>
      </c>
    </row>
    <row r="742" spans="2:6" x14ac:dyDescent="0.25">
      <c r="B742" s="24"/>
      <c r="C742" s="17"/>
      <c r="D742" s="5" t="e">
        <f>VLOOKUP(B742,'[1]Base de datos'!$B:$F,2,FALSE)</f>
        <v>#N/A</v>
      </c>
      <c r="E742" t="e">
        <f>VLOOKUP(B742,'[1]Base de datos'!$B:$E,3,FALSE)</f>
        <v>#N/A</v>
      </c>
      <c r="F742" t="e">
        <f>VLOOKUP(B742,'[1]Base de datos'!$B:$E,4,FALSE)</f>
        <v>#N/A</v>
      </c>
    </row>
    <row r="743" spans="2:6" x14ac:dyDescent="0.25">
      <c r="B743" s="24"/>
      <c r="C743" s="17"/>
      <c r="D743" s="5" t="e">
        <f>VLOOKUP(B743,'[1]Base de datos'!$B:$F,2,FALSE)</f>
        <v>#N/A</v>
      </c>
      <c r="E743" t="e">
        <f>VLOOKUP(B743,'[1]Base de datos'!$B:$E,3,FALSE)</f>
        <v>#N/A</v>
      </c>
      <c r="F743" t="e">
        <f>VLOOKUP(B743,'[1]Base de datos'!$B:$E,4,FALSE)</f>
        <v>#N/A</v>
      </c>
    </row>
    <row r="744" spans="2:6" x14ac:dyDescent="0.25">
      <c r="B744" s="24"/>
      <c r="C744" s="17"/>
      <c r="D744" s="5" t="e">
        <f>VLOOKUP(B744,'[1]Base de datos'!$B:$F,2,FALSE)</f>
        <v>#N/A</v>
      </c>
      <c r="E744" t="e">
        <f>VLOOKUP(B744,'[1]Base de datos'!$B:$E,3,FALSE)</f>
        <v>#N/A</v>
      </c>
      <c r="F744" t="e">
        <f>VLOOKUP(B744,'[1]Base de datos'!$B:$E,4,FALSE)</f>
        <v>#N/A</v>
      </c>
    </row>
    <row r="745" spans="2:6" x14ac:dyDescent="0.25">
      <c r="B745" s="24"/>
      <c r="C745" s="17"/>
      <c r="D745" s="5" t="e">
        <f>VLOOKUP(B745,'[1]Base de datos'!$B:$F,2,FALSE)</f>
        <v>#N/A</v>
      </c>
      <c r="E745" t="e">
        <f>VLOOKUP(B745,'[1]Base de datos'!$B:$E,3,FALSE)</f>
        <v>#N/A</v>
      </c>
      <c r="F745" t="e">
        <f>VLOOKUP(B745,'[1]Base de datos'!$B:$E,4,FALSE)</f>
        <v>#N/A</v>
      </c>
    </row>
    <row r="746" spans="2:6" x14ac:dyDescent="0.25">
      <c r="B746" s="24"/>
      <c r="C746" s="17"/>
      <c r="D746" s="5" t="e">
        <f>VLOOKUP(B746,'[1]Base de datos'!$B:$F,2,FALSE)</f>
        <v>#N/A</v>
      </c>
      <c r="E746" t="e">
        <f>VLOOKUP(B746,'[1]Base de datos'!$B:$E,3,FALSE)</f>
        <v>#N/A</v>
      </c>
      <c r="F746" t="e">
        <f>VLOOKUP(B746,'[1]Base de datos'!$B:$E,4,FALSE)</f>
        <v>#N/A</v>
      </c>
    </row>
    <row r="747" spans="2:6" x14ac:dyDescent="0.25">
      <c r="B747" s="24"/>
      <c r="C747" s="17"/>
      <c r="D747" s="5" t="e">
        <f>VLOOKUP(B747,'[1]Base de datos'!$B:$F,2,FALSE)</f>
        <v>#N/A</v>
      </c>
      <c r="E747" t="e">
        <f>VLOOKUP(B747,'[1]Base de datos'!$B:$E,3,FALSE)</f>
        <v>#N/A</v>
      </c>
      <c r="F747" t="e">
        <f>VLOOKUP(B747,'[1]Base de datos'!$B:$E,4,FALSE)</f>
        <v>#N/A</v>
      </c>
    </row>
    <row r="748" spans="2:6" x14ac:dyDescent="0.25">
      <c r="B748" s="24"/>
      <c r="C748" s="17"/>
      <c r="D748" s="5" t="e">
        <f>VLOOKUP(B748,'[1]Base de datos'!$B:$F,2,FALSE)</f>
        <v>#N/A</v>
      </c>
      <c r="E748" t="e">
        <f>VLOOKUP(B748,'[1]Base de datos'!$B:$E,3,FALSE)</f>
        <v>#N/A</v>
      </c>
      <c r="F748" t="e">
        <f>VLOOKUP(B748,'[1]Base de datos'!$B:$E,4,FALSE)</f>
        <v>#N/A</v>
      </c>
    </row>
    <row r="749" spans="2:6" x14ac:dyDescent="0.25">
      <c r="B749" s="24"/>
      <c r="C749" s="17"/>
      <c r="D749" s="5" t="e">
        <f>VLOOKUP(B749,'[1]Base de datos'!$B:$F,2,FALSE)</f>
        <v>#N/A</v>
      </c>
      <c r="E749" t="e">
        <f>VLOOKUP(B749,'[1]Base de datos'!$B:$E,3,FALSE)</f>
        <v>#N/A</v>
      </c>
      <c r="F749" t="e">
        <f>VLOOKUP(B749,'[1]Base de datos'!$B:$E,4,FALSE)</f>
        <v>#N/A</v>
      </c>
    </row>
    <row r="750" spans="2:6" x14ac:dyDescent="0.25">
      <c r="B750" s="24"/>
      <c r="C750" s="17"/>
      <c r="D750" s="5" t="e">
        <f>VLOOKUP(B750,'[1]Base de datos'!$B:$F,2,FALSE)</f>
        <v>#N/A</v>
      </c>
      <c r="E750" t="e">
        <f>VLOOKUP(B750,'[1]Base de datos'!$B:$E,3,FALSE)</f>
        <v>#N/A</v>
      </c>
      <c r="F750" t="e">
        <f>VLOOKUP(B750,'[1]Base de datos'!$B:$E,4,FALSE)</f>
        <v>#N/A</v>
      </c>
    </row>
    <row r="751" spans="2:6" x14ac:dyDescent="0.25">
      <c r="B751" s="24"/>
      <c r="C751" s="17"/>
      <c r="D751" s="5" t="e">
        <f>VLOOKUP(B751,'[1]Base de datos'!$B:$F,2,FALSE)</f>
        <v>#N/A</v>
      </c>
      <c r="E751" t="e">
        <f>VLOOKUP(B751,'[1]Base de datos'!$B:$E,3,FALSE)</f>
        <v>#N/A</v>
      </c>
      <c r="F751" t="e">
        <f>VLOOKUP(B751,'[1]Base de datos'!$B:$E,4,FALSE)</f>
        <v>#N/A</v>
      </c>
    </row>
    <row r="752" spans="2:6" x14ac:dyDescent="0.25">
      <c r="B752" s="24"/>
      <c r="C752" s="17"/>
      <c r="D752" s="5" t="e">
        <f>VLOOKUP(B752,'[1]Base de datos'!$B:$F,2,FALSE)</f>
        <v>#N/A</v>
      </c>
      <c r="E752" t="e">
        <f>VLOOKUP(B752,'[1]Base de datos'!$B:$E,3,FALSE)</f>
        <v>#N/A</v>
      </c>
      <c r="F752" t="e">
        <f>VLOOKUP(B752,'[1]Base de datos'!$B:$E,4,FALSE)</f>
        <v>#N/A</v>
      </c>
    </row>
    <row r="753" spans="2:6" x14ac:dyDescent="0.25">
      <c r="B753" s="24"/>
      <c r="C753" s="17"/>
      <c r="D753" s="5" t="e">
        <f>VLOOKUP(B753,'[1]Base de datos'!$B:$F,2,FALSE)</f>
        <v>#N/A</v>
      </c>
      <c r="E753" t="e">
        <f>VLOOKUP(B753,'[1]Base de datos'!$B:$E,3,FALSE)</f>
        <v>#N/A</v>
      </c>
      <c r="F753" t="e">
        <f>VLOOKUP(B753,'[1]Base de datos'!$B:$E,4,FALSE)</f>
        <v>#N/A</v>
      </c>
    </row>
    <row r="754" spans="2:6" x14ac:dyDescent="0.25">
      <c r="B754" s="24"/>
      <c r="C754" s="17"/>
      <c r="D754" s="5" t="e">
        <f>VLOOKUP(B754,'[1]Base de datos'!$B:$F,2,FALSE)</f>
        <v>#N/A</v>
      </c>
      <c r="E754" t="e">
        <f>VLOOKUP(B754,'[1]Base de datos'!$B:$E,3,FALSE)</f>
        <v>#N/A</v>
      </c>
      <c r="F754" t="e">
        <f>VLOOKUP(B754,'[1]Base de datos'!$B:$E,4,FALSE)</f>
        <v>#N/A</v>
      </c>
    </row>
    <row r="755" spans="2:6" x14ac:dyDescent="0.25">
      <c r="B755" s="24"/>
      <c r="C755" s="17"/>
      <c r="D755" s="5" t="e">
        <f>VLOOKUP(B755,'[1]Base de datos'!$B:$F,2,FALSE)</f>
        <v>#N/A</v>
      </c>
      <c r="E755" t="e">
        <f>VLOOKUP(B755,'[1]Base de datos'!$B:$E,3,FALSE)</f>
        <v>#N/A</v>
      </c>
      <c r="F755" t="e">
        <f>VLOOKUP(B755,'[1]Base de datos'!$B:$E,4,FALSE)</f>
        <v>#N/A</v>
      </c>
    </row>
    <row r="756" spans="2:6" x14ac:dyDescent="0.25">
      <c r="B756" s="24"/>
      <c r="C756" s="17"/>
      <c r="D756" s="5" t="e">
        <f>VLOOKUP(B756,'[1]Base de datos'!$B:$F,2,FALSE)</f>
        <v>#N/A</v>
      </c>
      <c r="E756" t="e">
        <f>VLOOKUP(B756,'[1]Base de datos'!$B:$E,3,FALSE)</f>
        <v>#N/A</v>
      </c>
      <c r="F756" t="e">
        <f>VLOOKUP(B756,'[1]Base de datos'!$B:$E,4,FALSE)</f>
        <v>#N/A</v>
      </c>
    </row>
    <row r="757" spans="2:6" x14ac:dyDescent="0.25">
      <c r="B757" s="24"/>
      <c r="C757" s="17"/>
      <c r="D757" s="5" t="e">
        <f>VLOOKUP(B757,'[1]Base de datos'!$B:$F,2,FALSE)</f>
        <v>#N/A</v>
      </c>
      <c r="E757" t="e">
        <f>VLOOKUP(B757,'[1]Base de datos'!$B:$E,3,FALSE)</f>
        <v>#N/A</v>
      </c>
      <c r="F757" t="e">
        <f>VLOOKUP(B757,'[1]Base de datos'!$B:$E,4,FALSE)</f>
        <v>#N/A</v>
      </c>
    </row>
    <row r="758" spans="2:6" x14ac:dyDescent="0.25">
      <c r="B758" s="24"/>
      <c r="C758" s="17"/>
      <c r="D758" s="5" t="e">
        <f>VLOOKUP(B758,'[1]Base de datos'!$B:$F,2,FALSE)</f>
        <v>#N/A</v>
      </c>
      <c r="E758" t="e">
        <f>VLOOKUP(B758,'[1]Base de datos'!$B:$E,3,FALSE)</f>
        <v>#N/A</v>
      </c>
      <c r="F758" t="e">
        <f>VLOOKUP(B758,'[1]Base de datos'!$B:$E,4,FALSE)</f>
        <v>#N/A</v>
      </c>
    </row>
    <row r="759" spans="2:6" x14ac:dyDescent="0.25">
      <c r="B759" s="24"/>
      <c r="C759" s="17"/>
      <c r="D759" s="5" t="e">
        <f>VLOOKUP(B759,'[1]Base de datos'!$B:$F,2,FALSE)</f>
        <v>#N/A</v>
      </c>
      <c r="E759" t="e">
        <f>VLOOKUP(B759,'[1]Base de datos'!$B:$E,3,FALSE)</f>
        <v>#N/A</v>
      </c>
      <c r="F759" t="e">
        <f>VLOOKUP(B759,'[1]Base de datos'!$B:$E,4,FALSE)</f>
        <v>#N/A</v>
      </c>
    </row>
    <row r="760" spans="2:6" x14ac:dyDescent="0.25">
      <c r="B760" s="24"/>
      <c r="C760" s="17"/>
      <c r="D760" s="5" t="e">
        <f>VLOOKUP(B760,'[1]Base de datos'!$B:$F,2,FALSE)</f>
        <v>#N/A</v>
      </c>
      <c r="E760" t="e">
        <f>VLOOKUP(B760,'[1]Base de datos'!$B:$E,3,FALSE)</f>
        <v>#N/A</v>
      </c>
      <c r="F760" t="e">
        <f>VLOOKUP(B760,'[1]Base de datos'!$B:$E,4,FALSE)</f>
        <v>#N/A</v>
      </c>
    </row>
    <row r="761" spans="2:6" x14ac:dyDescent="0.25">
      <c r="B761" s="24"/>
      <c r="C761" s="17"/>
      <c r="D761" s="5" t="e">
        <f>VLOOKUP(B761,'[1]Base de datos'!$B:$F,2,FALSE)</f>
        <v>#N/A</v>
      </c>
      <c r="E761" t="e">
        <f>VLOOKUP(B761,'[1]Base de datos'!$B:$E,3,FALSE)</f>
        <v>#N/A</v>
      </c>
      <c r="F761" t="e">
        <f>VLOOKUP(B761,'[1]Base de datos'!$B:$E,4,FALSE)</f>
        <v>#N/A</v>
      </c>
    </row>
    <row r="762" spans="2:6" x14ac:dyDescent="0.25">
      <c r="B762" s="24"/>
      <c r="C762" s="17"/>
      <c r="D762" s="5" t="e">
        <f>VLOOKUP(B762,'[1]Base de datos'!$B:$F,2,FALSE)</f>
        <v>#N/A</v>
      </c>
      <c r="E762" t="e">
        <f>VLOOKUP(B762,'[1]Base de datos'!$B:$E,3,FALSE)</f>
        <v>#N/A</v>
      </c>
      <c r="F762" t="e">
        <f>VLOOKUP(B762,'[1]Base de datos'!$B:$E,4,FALSE)</f>
        <v>#N/A</v>
      </c>
    </row>
    <row r="763" spans="2:6" x14ac:dyDescent="0.25">
      <c r="B763" s="24"/>
      <c r="C763" s="17"/>
      <c r="D763" s="5" t="e">
        <f>VLOOKUP(B763,'[1]Base de datos'!$B:$F,2,FALSE)</f>
        <v>#N/A</v>
      </c>
      <c r="E763" t="e">
        <f>VLOOKUP(B763,'[1]Base de datos'!$B:$E,3,FALSE)</f>
        <v>#N/A</v>
      </c>
      <c r="F763" t="e">
        <f>VLOOKUP(B763,'[1]Base de datos'!$B:$E,4,FALSE)</f>
        <v>#N/A</v>
      </c>
    </row>
    <row r="764" spans="2:6" x14ac:dyDescent="0.25">
      <c r="B764" s="24"/>
      <c r="C764" s="17"/>
      <c r="D764" s="5" t="e">
        <f>VLOOKUP(B764,'[1]Base de datos'!$B:$F,2,FALSE)</f>
        <v>#N/A</v>
      </c>
      <c r="E764" t="e">
        <f>VLOOKUP(B764,'[1]Base de datos'!$B:$E,3,FALSE)</f>
        <v>#N/A</v>
      </c>
      <c r="F764" t="e">
        <f>VLOOKUP(B764,'[1]Base de datos'!$B:$E,4,FALSE)</f>
        <v>#N/A</v>
      </c>
    </row>
    <row r="765" spans="2:6" x14ac:dyDescent="0.25">
      <c r="B765" s="24"/>
      <c r="C765" s="17"/>
      <c r="D765" s="5" t="e">
        <f>VLOOKUP(B765,'[1]Base de datos'!$B:$F,2,FALSE)</f>
        <v>#N/A</v>
      </c>
      <c r="E765" t="e">
        <f>VLOOKUP(B765,'[1]Base de datos'!$B:$E,3,FALSE)</f>
        <v>#N/A</v>
      </c>
      <c r="F765" t="e">
        <f>VLOOKUP(B765,'[1]Base de datos'!$B:$E,4,FALSE)</f>
        <v>#N/A</v>
      </c>
    </row>
    <row r="766" spans="2:6" x14ac:dyDescent="0.25">
      <c r="B766" s="24"/>
      <c r="C766" s="17"/>
      <c r="D766" s="5" t="e">
        <f>VLOOKUP(B766,'[1]Base de datos'!$B:$F,2,FALSE)</f>
        <v>#N/A</v>
      </c>
      <c r="E766" t="e">
        <f>VLOOKUP(B766,'[1]Base de datos'!$B:$E,3,FALSE)</f>
        <v>#N/A</v>
      </c>
      <c r="F766" t="e">
        <f>VLOOKUP(B766,'[1]Base de datos'!$B:$E,4,FALSE)</f>
        <v>#N/A</v>
      </c>
    </row>
    <row r="767" spans="2:6" x14ac:dyDescent="0.25">
      <c r="B767" s="24"/>
      <c r="C767" s="17"/>
      <c r="D767" s="5" t="e">
        <f>VLOOKUP(B767,'[1]Base de datos'!$B:$F,2,FALSE)</f>
        <v>#N/A</v>
      </c>
      <c r="E767" t="e">
        <f>VLOOKUP(B767,'[1]Base de datos'!$B:$E,3,FALSE)</f>
        <v>#N/A</v>
      </c>
      <c r="F767" t="e">
        <f>VLOOKUP(B767,'[1]Base de datos'!$B:$E,4,FALSE)</f>
        <v>#N/A</v>
      </c>
    </row>
    <row r="768" spans="2:6" x14ac:dyDescent="0.25">
      <c r="B768" s="24"/>
      <c r="C768" s="17"/>
      <c r="D768" s="5" t="e">
        <f>VLOOKUP(B768,'[1]Base de datos'!$B:$F,2,FALSE)</f>
        <v>#N/A</v>
      </c>
      <c r="E768" t="e">
        <f>VLOOKUP(B768,'[1]Base de datos'!$B:$E,3,FALSE)</f>
        <v>#N/A</v>
      </c>
      <c r="F768" t="e">
        <f>VLOOKUP(B768,'[1]Base de datos'!$B:$E,4,FALSE)</f>
        <v>#N/A</v>
      </c>
    </row>
    <row r="769" spans="2:6" x14ac:dyDescent="0.25">
      <c r="B769" s="24"/>
      <c r="C769" s="17"/>
      <c r="D769" s="5" t="e">
        <f>VLOOKUP(B769,'[1]Base de datos'!$B:$F,2,FALSE)</f>
        <v>#N/A</v>
      </c>
      <c r="E769" t="e">
        <f>VLOOKUP(B769,'[1]Base de datos'!$B:$E,3,FALSE)</f>
        <v>#N/A</v>
      </c>
      <c r="F769" t="e">
        <f>VLOOKUP(B769,'[1]Base de datos'!$B:$E,4,FALSE)</f>
        <v>#N/A</v>
      </c>
    </row>
    <row r="770" spans="2:6" x14ac:dyDescent="0.25">
      <c r="B770" s="24"/>
      <c r="C770" s="17"/>
      <c r="D770" s="5" t="e">
        <f>VLOOKUP(B770,'[1]Base de datos'!$B:$F,2,FALSE)</f>
        <v>#N/A</v>
      </c>
      <c r="E770" t="e">
        <f>VLOOKUP(B770,'[1]Base de datos'!$B:$E,3,FALSE)</f>
        <v>#N/A</v>
      </c>
      <c r="F770" t="e">
        <f>VLOOKUP(B770,'[1]Base de datos'!$B:$E,4,FALSE)</f>
        <v>#N/A</v>
      </c>
    </row>
    <row r="771" spans="2:6" x14ac:dyDescent="0.25">
      <c r="B771" s="24"/>
      <c r="C771" s="17"/>
      <c r="D771" s="5" t="e">
        <f>VLOOKUP(B771,'[1]Base de datos'!$B:$F,2,FALSE)</f>
        <v>#N/A</v>
      </c>
      <c r="E771" t="e">
        <f>VLOOKUP(B771,'[1]Base de datos'!$B:$E,3,FALSE)</f>
        <v>#N/A</v>
      </c>
      <c r="F771" t="e">
        <f>VLOOKUP(B771,'[1]Base de datos'!$B:$E,4,FALSE)</f>
        <v>#N/A</v>
      </c>
    </row>
    <row r="772" spans="2:6" x14ac:dyDescent="0.25">
      <c r="B772" s="24"/>
      <c r="C772" s="17"/>
      <c r="D772" s="5" t="e">
        <f>VLOOKUP(B772,'[1]Base de datos'!$B:$F,2,FALSE)</f>
        <v>#N/A</v>
      </c>
      <c r="E772" t="e">
        <f>VLOOKUP(B772,'[1]Base de datos'!$B:$E,3,FALSE)</f>
        <v>#N/A</v>
      </c>
      <c r="F772" t="e">
        <f>VLOOKUP(B772,'[1]Base de datos'!$B:$E,4,FALSE)</f>
        <v>#N/A</v>
      </c>
    </row>
    <row r="773" spans="2:6" x14ac:dyDescent="0.25">
      <c r="B773" s="24"/>
      <c r="C773" s="17"/>
      <c r="D773" s="5" t="e">
        <f>VLOOKUP(B773,'[1]Base de datos'!$B:$F,2,FALSE)</f>
        <v>#N/A</v>
      </c>
      <c r="E773" t="e">
        <f>VLOOKUP(B773,'[1]Base de datos'!$B:$E,3,FALSE)</f>
        <v>#N/A</v>
      </c>
      <c r="F773" t="e">
        <f>VLOOKUP(B773,'[1]Base de datos'!$B:$E,4,FALSE)</f>
        <v>#N/A</v>
      </c>
    </row>
    <row r="774" spans="2:6" x14ac:dyDescent="0.25">
      <c r="B774" s="24"/>
      <c r="C774" s="17"/>
      <c r="D774" s="5" t="e">
        <f>VLOOKUP(B774,'[1]Base de datos'!$B:$F,2,FALSE)</f>
        <v>#N/A</v>
      </c>
      <c r="E774" t="e">
        <f>VLOOKUP(B774,'[1]Base de datos'!$B:$E,3,FALSE)</f>
        <v>#N/A</v>
      </c>
      <c r="F774" t="e">
        <f>VLOOKUP(B774,'[1]Base de datos'!$B:$E,4,FALSE)</f>
        <v>#N/A</v>
      </c>
    </row>
    <row r="775" spans="2:6" x14ac:dyDescent="0.25">
      <c r="B775" s="24"/>
      <c r="C775" s="17"/>
      <c r="D775" s="5" t="e">
        <f>VLOOKUP(B775,'[1]Base de datos'!$B:$F,2,FALSE)</f>
        <v>#N/A</v>
      </c>
      <c r="E775" t="e">
        <f>VLOOKUP(B775,'[1]Base de datos'!$B:$E,3,FALSE)</f>
        <v>#N/A</v>
      </c>
      <c r="F775" t="e">
        <f>VLOOKUP(B775,'[1]Base de datos'!$B:$E,4,FALSE)</f>
        <v>#N/A</v>
      </c>
    </row>
    <row r="776" spans="2:6" x14ac:dyDescent="0.25">
      <c r="B776" s="24"/>
      <c r="C776" s="17"/>
      <c r="D776" s="5" t="e">
        <f>VLOOKUP(B776,'[1]Base de datos'!$B:$F,2,FALSE)</f>
        <v>#N/A</v>
      </c>
      <c r="E776" t="e">
        <f>VLOOKUP(B776,'[1]Base de datos'!$B:$E,3,FALSE)</f>
        <v>#N/A</v>
      </c>
      <c r="F776" t="e">
        <f>VLOOKUP(B776,'[1]Base de datos'!$B:$E,4,FALSE)</f>
        <v>#N/A</v>
      </c>
    </row>
    <row r="777" spans="2:6" x14ac:dyDescent="0.25">
      <c r="B777" s="24"/>
      <c r="C777" s="17"/>
      <c r="D777" s="5" t="e">
        <f>VLOOKUP(B777,'[1]Base de datos'!$B:$F,2,FALSE)</f>
        <v>#N/A</v>
      </c>
      <c r="E777" t="e">
        <f>VLOOKUP(B777,'[1]Base de datos'!$B:$E,3,FALSE)</f>
        <v>#N/A</v>
      </c>
      <c r="F777" t="e">
        <f>VLOOKUP(B777,'[1]Base de datos'!$B:$E,4,FALSE)</f>
        <v>#N/A</v>
      </c>
    </row>
    <row r="778" spans="2:6" x14ac:dyDescent="0.25">
      <c r="B778" s="24"/>
      <c r="C778" s="17"/>
      <c r="D778" s="5" t="e">
        <f>VLOOKUP(B778,'[1]Base de datos'!$B:$F,2,FALSE)</f>
        <v>#N/A</v>
      </c>
      <c r="E778" t="e">
        <f>VLOOKUP(B778,'[1]Base de datos'!$B:$E,3,FALSE)</f>
        <v>#N/A</v>
      </c>
      <c r="F778" t="e">
        <f>VLOOKUP(B778,'[1]Base de datos'!$B:$E,4,FALSE)</f>
        <v>#N/A</v>
      </c>
    </row>
    <row r="779" spans="2:6" x14ac:dyDescent="0.25">
      <c r="B779" s="24"/>
      <c r="C779" s="17"/>
      <c r="D779" s="5" t="e">
        <f>VLOOKUP(B779,'[1]Base de datos'!$B:$F,2,FALSE)</f>
        <v>#N/A</v>
      </c>
      <c r="E779" t="e">
        <f>VLOOKUP(B779,'[1]Base de datos'!$B:$E,3,FALSE)</f>
        <v>#N/A</v>
      </c>
      <c r="F779" t="e">
        <f>VLOOKUP(B779,'[1]Base de datos'!$B:$E,4,FALSE)</f>
        <v>#N/A</v>
      </c>
    </row>
    <row r="780" spans="2:6" x14ac:dyDescent="0.25">
      <c r="B780" s="24"/>
      <c r="C780" s="17"/>
      <c r="D780" s="5" t="e">
        <f>VLOOKUP(B780,'[1]Base de datos'!$B:$F,2,FALSE)</f>
        <v>#N/A</v>
      </c>
      <c r="E780" t="e">
        <f>VLOOKUP(B780,'[1]Base de datos'!$B:$E,3,FALSE)</f>
        <v>#N/A</v>
      </c>
      <c r="F780" t="e">
        <f>VLOOKUP(B780,'[1]Base de datos'!$B:$E,4,FALSE)</f>
        <v>#N/A</v>
      </c>
    </row>
    <row r="781" spans="2:6" x14ac:dyDescent="0.25">
      <c r="B781" s="24"/>
      <c r="C781" s="17"/>
      <c r="D781" s="5" t="e">
        <f>VLOOKUP(B781,'[1]Base de datos'!$B:$F,2,FALSE)</f>
        <v>#N/A</v>
      </c>
      <c r="E781" t="e">
        <f>VLOOKUP(B781,'[1]Base de datos'!$B:$E,3,FALSE)</f>
        <v>#N/A</v>
      </c>
      <c r="F781" t="e">
        <f>VLOOKUP(B781,'[1]Base de datos'!$B:$E,4,FALSE)</f>
        <v>#N/A</v>
      </c>
    </row>
    <row r="782" spans="2:6" x14ac:dyDescent="0.25">
      <c r="B782" s="24"/>
      <c r="C782" s="17"/>
      <c r="D782" s="5" t="e">
        <f>VLOOKUP(B782,'[1]Base de datos'!$B:$F,2,FALSE)</f>
        <v>#N/A</v>
      </c>
      <c r="E782" t="e">
        <f>VLOOKUP(B782,'[1]Base de datos'!$B:$E,3,FALSE)</f>
        <v>#N/A</v>
      </c>
      <c r="F782" t="e">
        <f>VLOOKUP(B782,'[1]Base de datos'!$B:$E,4,FALSE)</f>
        <v>#N/A</v>
      </c>
    </row>
    <row r="783" spans="2:6" x14ac:dyDescent="0.25">
      <c r="B783" s="24"/>
      <c r="C783" s="17"/>
      <c r="D783" s="5" t="e">
        <f>VLOOKUP(B783,'[1]Base de datos'!$B:$F,2,FALSE)</f>
        <v>#N/A</v>
      </c>
      <c r="E783" t="e">
        <f>VLOOKUP(B783,'[1]Base de datos'!$B:$E,3,FALSE)</f>
        <v>#N/A</v>
      </c>
      <c r="F783" t="e">
        <f>VLOOKUP(B783,'[1]Base de datos'!$B:$E,4,FALSE)</f>
        <v>#N/A</v>
      </c>
    </row>
    <row r="784" spans="2:6" x14ac:dyDescent="0.25">
      <c r="B784" s="24"/>
      <c r="C784" s="17"/>
      <c r="D784" s="5" t="e">
        <f>VLOOKUP(B784,'[1]Base de datos'!$B:$F,2,FALSE)</f>
        <v>#N/A</v>
      </c>
      <c r="E784" t="e">
        <f>VLOOKUP(B784,'[1]Base de datos'!$B:$E,3,FALSE)</f>
        <v>#N/A</v>
      </c>
      <c r="F784" t="e">
        <f>VLOOKUP(B784,'[1]Base de datos'!$B:$E,4,FALSE)</f>
        <v>#N/A</v>
      </c>
    </row>
    <row r="785" spans="2:6" x14ac:dyDescent="0.25">
      <c r="B785" s="24"/>
      <c r="C785" s="17"/>
      <c r="D785" s="5" t="e">
        <f>VLOOKUP(B785,'[1]Base de datos'!$B:$F,2,FALSE)</f>
        <v>#N/A</v>
      </c>
      <c r="E785" t="e">
        <f>VLOOKUP(B785,'[1]Base de datos'!$B:$E,3,FALSE)</f>
        <v>#N/A</v>
      </c>
      <c r="F785" t="e">
        <f>VLOOKUP(B785,'[1]Base de datos'!$B:$E,4,FALSE)</f>
        <v>#N/A</v>
      </c>
    </row>
    <row r="786" spans="2:6" x14ac:dyDescent="0.25">
      <c r="B786" s="24"/>
      <c r="C786" s="17"/>
      <c r="D786" s="5" t="e">
        <f>VLOOKUP(B786,'[1]Base de datos'!$B:$F,2,FALSE)</f>
        <v>#N/A</v>
      </c>
      <c r="E786" t="e">
        <f>VLOOKUP(B786,'[1]Base de datos'!$B:$E,3,FALSE)</f>
        <v>#N/A</v>
      </c>
      <c r="F786" t="e">
        <f>VLOOKUP(B786,'[1]Base de datos'!$B:$E,4,FALSE)</f>
        <v>#N/A</v>
      </c>
    </row>
    <row r="787" spans="2:6" x14ac:dyDescent="0.25">
      <c r="B787" s="24"/>
      <c r="C787" s="17"/>
      <c r="D787" s="5" t="e">
        <f>VLOOKUP(B787,'[1]Base de datos'!$B:$F,2,FALSE)</f>
        <v>#N/A</v>
      </c>
      <c r="E787" t="e">
        <f>VLOOKUP(B787,'[1]Base de datos'!$B:$E,3,FALSE)</f>
        <v>#N/A</v>
      </c>
      <c r="F787" t="e">
        <f>VLOOKUP(B787,'[1]Base de datos'!$B:$E,4,FALSE)</f>
        <v>#N/A</v>
      </c>
    </row>
    <row r="788" spans="2:6" x14ac:dyDescent="0.25">
      <c r="B788" s="24"/>
      <c r="C788" s="17"/>
      <c r="D788" s="5" t="e">
        <f>VLOOKUP(B788,'[1]Base de datos'!$B:$F,2,FALSE)</f>
        <v>#N/A</v>
      </c>
      <c r="E788" t="e">
        <f>VLOOKUP(B788,'[1]Base de datos'!$B:$E,3,FALSE)</f>
        <v>#N/A</v>
      </c>
      <c r="F788" t="e">
        <f>VLOOKUP(B788,'[1]Base de datos'!$B:$E,4,FALSE)</f>
        <v>#N/A</v>
      </c>
    </row>
    <row r="789" spans="2:6" x14ac:dyDescent="0.25">
      <c r="B789" s="24"/>
      <c r="C789" s="17"/>
      <c r="D789" s="5" t="e">
        <f>VLOOKUP(B789,'[1]Base de datos'!$B:$F,2,FALSE)</f>
        <v>#N/A</v>
      </c>
      <c r="E789" t="e">
        <f>VLOOKUP(B789,'[1]Base de datos'!$B:$E,3,FALSE)</f>
        <v>#N/A</v>
      </c>
      <c r="F789" t="e">
        <f>VLOOKUP(B789,'[1]Base de datos'!$B:$E,4,FALSE)</f>
        <v>#N/A</v>
      </c>
    </row>
    <row r="790" spans="2:6" x14ac:dyDescent="0.25">
      <c r="B790" s="24"/>
      <c r="C790" s="17"/>
      <c r="D790" s="5" t="e">
        <f>VLOOKUP(B790,'[1]Base de datos'!$B:$F,2,FALSE)</f>
        <v>#N/A</v>
      </c>
      <c r="E790" t="e">
        <f>VLOOKUP(B790,'[1]Base de datos'!$B:$E,3,FALSE)</f>
        <v>#N/A</v>
      </c>
      <c r="F790" t="e">
        <f>VLOOKUP(B790,'[1]Base de datos'!$B:$E,4,FALSE)</f>
        <v>#N/A</v>
      </c>
    </row>
    <row r="791" spans="2:6" x14ac:dyDescent="0.25">
      <c r="B791" s="24"/>
      <c r="C791" s="17"/>
      <c r="D791" s="5" t="e">
        <f>VLOOKUP(B791,'[1]Base de datos'!$B:$F,2,FALSE)</f>
        <v>#N/A</v>
      </c>
      <c r="E791" t="e">
        <f>VLOOKUP(B791,'[1]Base de datos'!$B:$E,3,FALSE)</f>
        <v>#N/A</v>
      </c>
      <c r="F791" t="e">
        <f>VLOOKUP(B791,'[1]Base de datos'!$B:$E,4,FALSE)</f>
        <v>#N/A</v>
      </c>
    </row>
    <row r="792" spans="2:6" x14ac:dyDescent="0.25">
      <c r="B792" s="24"/>
      <c r="C792" s="17"/>
      <c r="D792" s="5" t="e">
        <f>VLOOKUP(B792,'[1]Base de datos'!$B:$F,2,FALSE)</f>
        <v>#N/A</v>
      </c>
      <c r="E792" t="e">
        <f>VLOOKUP(B792,'[1]Base de datos'!$B:$E,3,FALSE)</f>
        <v>#N/A</v>
      </c>
      <c r="F792" t="e">
        <f>VLOOKUP(B792,'[1]Base de datos'!$B:$E,4,FALSE)</f>
        <v>#N/A</v>
      </c>
    </row>
    <row r="793" spans="2:6" x14ac:dyDescent="0.25">
      <c r="B793" s="24"/>
      <c r="C793" s="17"/>
      <c r="D793" s="5" t="e">
        <f>VLOOKUP(B793,'[1]Base de datos'!$B:$F,2,FALSE)</f>
        <v>#N/A</v>
      </c>
      <c r="E793" t="e">
        <f>VLOOKUP(B793,'[1]Base de datos'!$B:$E,3,FALSE)</f>
        <v>#N/A</v>
      </c>
      <c r="F793" t="e">
        <f>VLOOKUP(B793,'[1]Base de datos'!$B:$E,4,FALSE)</f>
        <v>#N/A</v>
      </c>
    </row>
    <row r="794" spans="2:6" x14ac:dyDescent="0.25">
      <c r="B794" s="24"/>
      <c r="C794" s="17"/>
      <c r="D794" s="5" t="e">
        <f>VLOOKUP(B794,'[1]Base de datos'!$B:$F,2,FALSE)</f>
        <v>#N/A</v>
      </c>
      <c r="E794" t="e">
        <f>VLOOKUP(B794,'[1]Base de datos'!$B:$E,3,FALSE)</f>
        <v>#N/A</v>
      </c>
      <c r="F794" t="e">
        <f>VLOOKUP(B794,'[1]Base de datos'!$B:$E,4,FALSE)</f>
        <v>#N/A</v>
      </c>
    </row>
    <row r="795" spans="2:6" x14ac:dyDescent="0.25">
      <c r="B795" s="24"/>
      <c r="C795" s="17"/>
      <c r="D795" s="5" t="e">
        <f>VLOOKUP(B795,'[1]Base de datos'!$B:$F,2,FALSE)</f>
        <v>#N/A</v>
      </c>
      <c r="E795" t="e">
        <f>VLOOKUP(B795,'[1]Base de datos'!$B:$E,3,FALSE)</f>
        <v>#N/A</v>
      </c>
      <c r="F795" t="e">
        <f>VLOOKUP(B795,'[1]Base de datos'!$B:$E,4,FALSE)</f>
        <v>#N/A</v>
      </c>
    </row>
    <row r="796" spans="2:6" x14ac:dyDescent="0.25">
      <c r="B796" s="24"/>
      <c r="C796" s="17"/>
      <c r="D796" s="5" t="e">
        <f>VLOOKUP(B796,'[1]Base de datos'!$B:$F,2,FALSE)</f>
        <v>#N/A</v>
      </c>
      <c r="E796" t="e">
        <f>VLOOKUP(B796,'[1]Base de datos'!$B:$E,3,FALSE)</f>
        <v>#N/A</v>
      </c>
      <c r="F796" t="e">
        <f>VLOOKUP(B796,'[1]Base de datos'!$B:$E,4,FALSE)</f>
        <v>#N/A</v>
      </c>
    </row>
    <row r="797" spans="2:6" x14ac:dyDescent="0.25">
      <c r="B797" s="24"/>
      <c r="C797" s="17"/>
      <c r="D797" s="5" t="e">
        <f>VLOOKUP(B797,'[1]Base de datos'!$B:$F,2,FALSE)</f>
        <v>#N/A</v>
      </c>
      <c r="E797" t="e">
        <f>VLOOKUP(B797,'[1]Base de datos'!$B:$E,3,FALSE)</f>
        <v>#N/A</v>
      </c>
      <c r="F797" t="e">
        <f>VLOOKUP(B797,'[1]Base de datos'!$B:$E,4,FALSE)</f>
        <v>#N/A</v>
      </c>
    </row>
    <row r="798" spans="2:6" x14ac:dyDescent="0.25">
      <c r="B798" s="24"/>
      <c r="C798" s="17"/>
      <c r="D798" s="5" t="e">
        <f>VLOOKUP(B798,'[1]Base de datos'!$B:$F,2,FALSE)</f>
        <v>#N/A</v>
      </c>
      <c r="E798" t="e">
        <f>VLOOKUP(B798,'[1]Base de datos'!$B:$E,3,FALSE)</f>
        <v>#N/A</v>
      </c>
      <c r="F798" t="e">
        <f>VLOOKUP(B798,'[1]Base de datos'!$B:$E,4,FALSE)</f>
        <v>#N/A</v>
      </c>
    </row>
    <row r="799" spans="2:6" x14ac:dyDescent="0.25">
      <c r="B799" s="24"/>
      <c r="C799" s="17"/>
      <c r="D799" s="5" t="e">
        <f>VLOOKUP(B799,'[1]Base de datos'!$B:$F,2,FALSE)</f>
        <v>#N/A</v>
      </c>
      <c r="E799" t="e">
        <f>VLOOKUP(B799,'[1]Base de datos'!$B:$E,3,FALSE)</f>
        <v>#N/A</v>
      </c>
      <c r="F799" t="e">
        <f>VLOOKUP(B799,'[1]Base de datos'!$B:$E,4,FALSE)</f>
        <v>#N/A</v>
      </c>
    </row>
    <row r="800" spans="2:6" x14ac:dyDescent="0.25">
      <c r="B800" s="24"/>
      <c r="C800" s="17"/>
      <c r="D800" s="5" t="e">
        <f>VLOOKUP(B800,'[1]Base de datos'!$B:$F,2,FALSE)</f>
        <v>#N/A</v>
      </c>
      <c r="E800" t="e">
        <f>VLOOKUP(B800,'[1]Base de datos'!$B:$E,3,FALSE)</f>
        <v>#N/A</v>
      </c>
      <c r="F800" t="e">
        <f>VLOOKUP(B800,'[1]Base de datos'!$B:$E,4,FALSE)</f>
        <v>#N/A</v>
      </c>
    </row>
    <row r="801" spans="2:6" x14ac:dyDescent="0.25">
      <c r="B801" s="24"/>
      <c r="C801" s="17"/>
      <c r="D801" s="5" t="e">
        <f>VLOOKUP(B801,'[1]Base de datos'!$B:$F,2,FALSE)</f>
        <v>#N/A</v>
      </c>
      <c r="E801" t="e">
        <f>VLOOKUP(B801,'[1]Base de datos'!$B:$E,3,FALSE)</f>
        <v>#N/A</v>
      </c>
      <c r="F801" t="e">
        <f>VLOOKUP(B801,'[1]Base de datos'!$B:$E,4,FALSE)</f>
        <v>#N/A</v>
      </c>
    </row>
    <row r="802" spans="2:6" x14ac:dyDescent="0.25">
      <c r="B802" s="24"/>
      <c r="C802" s="17"/>
      <c r="D802" s="5" t="e">
        <f>VLOOKUP(B802,'[1]Base de datos'!$B:$F,2,FALSE)</f>
        <v>#N/A</v>
      </c>
      <c r="E802" t="e">
        <f>VLOOKUP(B802,'[1]Base de datos'!$B:$E,3,FALSE)</f>
        <v>#N/A</v>
      </c>
      <c r="F802" t="e">
        <f>VLOOKUP(B802,'[1]Base de datos'!$B:$E,4,FALSE)</f>
        <v>#N/A</v>
      </c>
    </row>
    <row r="803" spans="2:6" x14ac:dyDescent="0.25">
      <c r="B803" s="24"/>
      <c r="C803" s="17"/>
      <c r="D803" s="5" t="e">
        <f>VLOOKUP(B803,'[1]Base de datos'!$B:$F,2,FALSE)</f>
        <v>#N/A</v>
      </c>
      <c r="E803" t="e">
        <f>VLOOKUP(B803,'[1]Base de datos'!$B:$E,3,FALSE)</f>
        <v>#N/A</v>
      </c>
      <c r="F803" t="e">
        <f>VLOOKUP(B803,'[1]Base de datos'!$B:$E,4,FALSE)</f>
        <v>#N/A</v>
      </c>
    </row>
    <row r="804" spans="2:6" x14ac:dyDescent="0.25">
      <c r="B804" s="24"/>
      <c r="C804" s="17"/>
      <c r="D804" s="5" t="e">
        <f>VLOOKUP(B804,'[1]Base de datos'!$B:$F,2,FALSE)</f>
        <v>#N/A</v>
      </c>
      <c r="E804" t="e">
        <f>VLOOKUP(B804,'[1]Base de datos'!$B:$E,3,FALSE)</f>
        <v>#N/A</v>
      </c>
      <c r="F804" t="e">
        <f>VLOOKUP(B804,'[1]Base de datos'!$B:$E,4,FALSE)</f>
        <v>#N/A</v>
      </c>
    </row>
    <row r="805" spans="2:6" x14ac:dyDescent="0.25">
      <c r="B805" s="24"/>
      <c r="C805" s="17"/>
      <c r="D805" s="5" t="e">
        <f>VLOOKUP(B805,'[1]Base de datos'!$B:$F,2,FALSE)</f>
        <v>#N/A</v>
      </c>
      <c r="E805" t="e">
        <f>VLOOKUP(B805,'[1]Base de datos'!$B:$E,3,FALSE)</f>
        <v>#N/A</v>
      </c>
      <c r="F805" t="e">
        <f>VLOOKUP(B805,'[1]Base de datos'!$B:$E,4,FALSE)</f>
        <v>#N/A</v>
      </c>
    </row>
    <row r="806" spans="2:6" x14ac:dyDescent="0.25">
      <c r="B806" s="24"/>
      <c r="C806" s="17"/>
      <c r="D806" s="5" t="e">
        <f>VLOOKUP(B806,'[1]Base de datos'!$B:$F,2,FALSE)</f>
        <v>#N/A</v>
      </c>
      <c r="E806" t="e">
        <f>VLOOKUP(B806,'[1]Base de datos'!$B:$E,3,FALSE)</f>
        <v>#N/A</v>
      </c>
      <c r="F806" t="e">
        <f>VLOOKUP(B806,'[1]Base de datos'!$B:$E,4,FALSE)</f>
        <v>#N/A</v>
      </c>
    </row>
    <row r="807" spans="2:6" x14ac:dyDescent="0.25">
      <c r="B807" s="24"/>
      <c r="C807" s="17"/>
      <c r="D807" s="5" t="e">
        <f>VLOOKUP(B807,'[1]Base de datos'!$B:$F,2,FALSE)</f>
        <v>#N/A</v>
      </c>
      <c r="E807" t="e">
        <f>VLOOKUP(B807,'[1]Base de datos'!$B:$E,3,FALSE)</f>
        <v>#N/A</v>
      </c>
      <c r="F807" t="e">
        <f>VLOOKUP(B807,'[1]Base de datos'!$B:$E,4,FALSE)</f>
        <v>#N/A</v>
      </c>
    </row>
    <row r="808" spans="2:6" x14ac:dyDescent="0.25">
      <c r="B808" s="24"/>
      <c r="C808" s="17"/>
      <c r="D808" s="5" t="e">
        <f>VLOOKUP(B808,'[1]Base de datos'!$B:$F,2,FALSE)</f>
        <v>#N/A</v>
      </c>
      <c r="E808" t="e">
        <f>VLOOKUP(B808,'[1]Base de datos'!$B:$E,3,FALSE)</f>
        <v>#N/A</v>
      </c>
      <c r="F808" t="e">
        <f>VLOOKUP(B808,'[1]Base de datos'!$B:$E,4,FALSE)</f>
        <v>#N/A</v>
      </c>
    </row>
    <row r="809" spans="2:6" x14ac:dyDescent="0.25">
      <c r="B809" s="24"/>
      <c r="C809" s="17"/>
      <c r="D809" s="5" t="e">
        <f>VLOOKUP(B809,'[1]Base de datos'!$B:$F,2,FALSE)</f>
        <v>#N/A</v>
      </c>
      <c r="E809" t="e">
        <f>VLOOKUP(B809,'[1]Base de datos'!$B:$E,3,FALSE)</f>
        <v>#N/A</v>
      </c>
      <c r="F809" t="e">
        <f>VLOOKUP(B809,'[1]Base de datos'!$B:$E,4,FALSE)</f>
        <v>#N/A</v>
      </c>
    </row>
    <row r="810" spans="2:6" x14ac:dyDescent="0.25">
      <c r="B810" s="24"/>
      <c r="C810" s="17"/>
      <c r="D810" s="5" t="e">
        <f>VLOOKUP(B810,'[1]Base de datos'!$B:$F,2,FALSE)</f>
        <v>#N/A</v>
      </c>
      <c r="E810" t="e">
        <f>VLOOKUP(B810,'[1]Base de datos'!$B:$E,3,FALSE)</f>
        <v>#N/A</v>
      </c>
      <c r="F810" t="e">
        <f>VLOOKUP(B810,'[1]Base de datos'!$B:$E,4,FALSE)</f>
        <v>#N/A</v>
      </c>
    </row>
    <row r="811" spans="2:6" x14ac:dyDescent="0.25">
      <c r="B811" s="24"/>
      <c r="C811" s="17"/>
      <c r="D811" s="5" t="e">
        <f>VLOOKUP(B811,'[1]Base de datos'!$B:$F,2,FALSE)</f>
        <v>#N/A</v>
      </c>
      <c r="E811" t="e">
        <f>VLOOKUP(B811,'[1]Base de datos'!$B:$E,3,FALSE)</f>
        <v>#N/A</v>
      </c>
      <c r="F811" t="e">
        <f>VLOOKUP(B811,'[1]Base de datos'!$B:$E,4,FALSE)</f>
        <v>#N/A</v>
      </c>
    </row>
    <row r="812" spans="2:6" x14ac:dyDescent="0.25">
      <c r="B812" s="24"/>
      <c r="C812" s="17"/>
      <c r="D812" s="5" t="e">
        <f>VLOOKUP(B812,'[1]Base de datos'!$B:$F,2,FALSE)</f>
        <v>#N/A</v>
      </c>
      <c r="E812" t="e">
        <f>VLOOKUP(B812,'[1]Base de datos'!$B:$E,3,FALSE)</f>
        <v>#N/A</v>
      </c>
      <c r="F812" t="e">
        <f>VLOOKUP(B812,'[1]Base de datos'!$B:$E,4,FALSE)</f>
        <v>#N/A</v>
      </c>
    </row>
    <row r="813" spans="2:6" x14ac:dyDescent="0.25">
      <c r="B813" s="24"/>
      <c r="C813" s="17"/>
      <c r="D813" s="5" t="e">
        <f>VLOOKUP(B813,'[1]Base de datos'!$B:$F,2,FALSE)</f>
        <v>#N/A</v>
      </c>
      <c r="E813" t="e">
        <f>VLOOKUP(B813,'[1]Base de datos'!$B:$E,3,FALSE)</f>
        <v>#N/A</v>
      </c>
      <c r="F813" t="e">
        <f>VLOOKUP(B813,'[1]Base de datos'!$B:$E,4,FALSE)</f>
        <v>#N/A</v>
      </c>
    </row>
    <row r="814" spans="2:6" x14ac:dyDescent="0.25">
      <c r="B814" s="24"/>
      <c r="C814" s="17"/>
      <c r="D814" s="5" t="e">
        <f>VLOOKUP(B814,'[1]Base de datos'!$B:$F,2,FALSE)</f>
        <v>#N/A</v>
      </c>
      <c r="E814" t="e">
        <f>VLOOKUP(B814,'[1]Base de datos'!$B:$E,3,FALSE)</f>
        <v>#N/A</v>
      </c>
      <c r="F814" t="e">
        <f>VLOOKUP(B814,'[1]Base de datos'!$B:$E,4,FALSE)</f>
        <v>#N/A</v>
      </c>
    </row>
    <row r="815" spans="2:6" x14ac:dyDescent="0.25">
      <c r="B815" s="24"/>
      <c r="C815" s="17"/>
      <c r="D815" s="5" t="e">
        <f>VLOOKUP(B815,'[1]Base de datos'!$B:$F,2,FALSE)</f>
        <v>#N/A</v>
      </c>
      <c r="E815" t="e">
        <f>VLOOKUP(B815,'[1]Base de datos'!$B:$E,3,FALSE)</f>
        <v>#N/A</v>
      </c>
      <c r="F815" t="e">
        <f>VLOOKUP(B815,'[1]Base de datos'!$B:$E,4,FALSE)</f>
        <v>#N/A</v>
      </c>
    </row>
    <row r="816" spans="2:6" x14ac:dyDescent="0.25">
      <c r="B816" s="24"/>
      <c r="C816" s="17"/>
      <c r="D816" s="5" t="e">
        <f>VLOOKUP(B816,'[1]Base de datos'!$B:$F,2,FALSE)</f>
        <v>#N/A</v>
      </c>
      <c r="E816" t="e">
        <f>VLOOKUP(B816,'[1]Base de datos'!$B:$E,3,FALSE)</f>
        <v>#N/A</v>
      </c>
      <c r="F816" t="e">
        <f>VLOOKUP(B816,'[1]Base de datos'!$B:$E,4,FALSE)</f>
        <v>#N/A</v>
      </c>
    </row>
    <row r="817" spans="2:6" x14ac:dyDescent="0.25">
      <c r="B817" s="24"/>
      <c r="C817" s="17"/>
      <c r="D817" s="5" t="e">
        <f>VLOOKUP(B817,'[1]Base de datos'!$B:$F,2,FALSE)</f>
        <v>#N/A</v>
      </c>
      <c r="E817" t="e">
        <f>VLOOKUP(B817,'[1]Base de datos'!$B:$E,3,FALSE)</f>
        <v>#N/A</v>
      </c>
      <c r="F817" t="e">
        <f>VLOOKUP(B817,'[1]Base de datos'!$B:$E,4,FALSE)</f>
        <v>#N/A</v>
      </c>
    </row>
    <row r="818" spans="2:6" x14ac:dyDescent="0.25">
      <c r="B818" s="24"/>
      <c r="C818" s="17"/>
      <c r="D818" s="5" t="e">
        <f>VLOOKUP(B818,'[1]Base de datos'!$B:$F,2,FALSE)</f>
        <v>#N/A</v>
      </c>
      <c r="E818" t="e">
        <f>VLOOKUP(B818,'[1]Base de datos'!$B:$E,3,FALSE)</f>
        <v>#N/A</v>
      </c>
      <c r="F818" t="e">
        <f>VLOOKUP(B818,'[1]Base de datos'!$B:$E,4,FALSE)</f>
        <v>#N/A</v>
      </c>
    </row>
    <row r="819" spans="2:6" x14ac:dyDescent="0.25">
      <c r="B819" s="24"/>
      <c r="C819" s="17"/>
      <c r="D819" s="5" t="e">
        <f>VLOOKUP(B819,'[1]Base de datos'!$B:$F,2,FALSE)</f>
        <v>#N/A</v>
      </c>
      <c r="E819" t="e">
        <f>VLOOKUP(B819,'[1]Base de datos'!$B:$E,3,FALSE)</f>
        <v>#N/A</v>
      </c>
      <c r="F819" t="e">
        <f>VLOOKUP(B819,'[1]Base de datos'!$B:$E,4,FALSE)</f>
        <v>#N/A</v>
      </c>
    </row>
    <row r="820" spans="2:6" x14ac:dyDescent="0.25">
      <c r="B820" s="24"/>
      <c r="C820" s="17"/>
      <c r="D820" s="5" t="e">
        <f>VLOOKUP(B820,'[1]Base de datos'!$B:$F,2,FALSE)</f>
        <v>#N/A</v>
      </c>
      <c r="E820" t="e">
        <f>VLOOKUP(B820,'[1]Base de datos'!$B:$E,3,FALSE)</f>
        <v>#N/A</v>
      </c>
      <c r="F820" t="e">
        <f>VLOOKUP(B820,'[1]Base de datos'!$B:$E,4,FALSE)</f>
        <v>#N/A</v>
      </c>
    </row>
    <row r="821" spans="2:6" x14ac:dyDescent="0.25">
      <c r="B821" s="24"/>
      <c r="C821" s="17"/>
      <c r="D821" s="5" t="e">
        <f>VLOOKUP(B821,'[1]Base de datos'!$B:$F,2,FALSE)</f>
        <v>#N/A</v>
      </c>
      <c r="E821" t="e">
        <f>VLOOKUP(B821,'[1]Base de datos'!$B:$E,3,FALSE)</f>
        <v>#N/A</v>
      </c>
      <c r="F821" t="e">
        <f>VLOOKUP(B821,'[1]Base de datos'!$B:$E,4,FALSE)</f>
        <v>#N/A</v>
      </c>
    </row>
    <row r="822" spans="2:6" x14ac:dyDescent="0.25">
      <c r="B822" s="24"/>
      <c r="C822" s="17"/>
      <c r="D822" s="5" t="e">
        <f>VLOOKUP(B822,'[1]Base de datos'!$B:$F,2,FALSE)</f>
        <v>#N/A</v>
      </c>
      <c r="E822" t="e">
        <f>VLOOKUP(B822,'[1]Base de datos'!$B:$E,3,FALSE)</f>
        <v>#N/A</v>
      </c>
      <c r="F822" t="e">
        <f>VLOOKUP(B822,'[1]Base de datos'!$B:$E,4,FALSE)</f>
        <v>#N/A</v>
      </c>
    </row>
    <row r="823" spans="2:6" x14ac:dyDescent="0.25">
      <c r="B823" s="24"/>
      <c r="C823" s="17"/>
      <c r="D823" s="5" t="e">
        <f>VLOOKUP(B823,'[1]Base de datos'!$B:$F,2,FALSE)</f>
        <v>#N/A</v>
      </c>
      <c r="E823" t="e">
        <f>VLOOKUP(B823,'[1]Base de datos'!$B:$E,3,FALSE)</f>
        <v>#N/A</v>
      </c>
      <c r="F823" t="e">
        <f>VLOOKUP(B823,'[1]Base de datos'!$B:$E,4,FALSE)</f>
        <v>#N/A</v>
      </c>
    </row>
    <row r="824" spans="2:6" x14ac:dyDescent="0.25">
      <c r="B824" s="24"/>
      <c r="C824" s="17"/>
      <c r="D824" s="5" t="e">
        <f>VLOOKUP(B824,'[1]Base de datos'!$B:$F,2,FALSE)</f>
        <v>#N/A</v>
      </c>
      <c r="E824" t="e">
        <f>VLOOKUP(B824,'[1]Base de datos'!$B:$E,3,FALSE)</f>
        <v>#N/A</v>
      </c>
      <c r="F824" t="e">
        <f>VLOOKUP(B824,'[1]Base de datos'!$B:$E,4,FALSE)</f>
        <v>#N/A</v>
      </c>
    </row>
    <row r="825" spans="2:6" x14ac:dyDescent="0.25">
      <c r="B825" s="24"/>
      <c r="C825" s="17"/>
      <c r="D825" s="5" t="e">
        <f>VLOOKUP(B825,'[1]Base de datos'!$B:$F,2,FALSE)</f>
        <v>#N/A</v>
      </c>
      <c r="E825" t="e">
        <f>VLOOKUP(B825,'[1]Base de datos'!$B:$E,3,FALSE)</f>
        <v>#N/A</v>
      </c>
      <c r="F825" t="e">
        <f>VLOOKUP(B825,'[1]Base de datos'!$B:$E,4,FALSE)</f>
        <v>#N/A</v>
      </c>
    </row>
    <row r="826" spans="2:6" x14ac:dyDescent="0.25">
      <c r="B826" s="24"/>
      <c r="C826" s="17"/>
      <c r="D826" s="5" t="e">
        <f>VLOOKUP(B826,'[1]Base de datos'!$B:$F,2,FALSE)</f>
        <v>#N/A</v>
      </c>
      <c r="E826" t="e">
        <f>VLOOKUP(B826,'[1]Base de datos'!$B:$E,3,FALSE)</f>
        <v>#N/A</v>
      </c>
      <c r="F826" t="e">
        <f>VLOOKUP(B826,'[1]Base de datos'!$B:$E,4,FALSE)</f>
        <v>#N/A</v>
      </c>
    </row>
    <row r="827" spans="2:6" x14ac:dyDescent="0.25">
      <c r="B827" s="24"/>
      <c r="C827" s="17"/>
      <c r="D827" s="5" t="e">
        <f>VLOOKUP(B827,'[1]Base de datos'!$B:$F,2,FALSE)</f>
        <v>#N/A</v>
      </c>
      <c r="E827" t="e">
        <f>VLOOKUP(B827,'[1]Base de datos'!$B:$E,3,FALSE)</f>
        <v>#N/A</v>
      </c>
      <c r="F827" t="e">
        <f>VLOOKUP(B827,'[1]Base de datos'!$B:$E,4,FALSE)</f>
        <v>#N/A</v>
      </c>
    </row>
    <row r="828" spans="2:6" x14ac:dyDescent="0.25">
      <c r="B828" s="24"/>
      <c r="C828" s="17"/>
      <c r="D828" s="5" t="e">
        <f>VLOOKUP(B828,'[1]Base de datos'!$B:$F,2,FALSE)</f>
        <v>#N/A</v>
      </c>
      <c r="E828" t="e">
        <f>VLOOKUP(B828,'[1]Base de datos'!$B:$E,3,FALSE)</f>
        <v>#N/A</v>
      </c>
      <c r="F828" t="e">
        <f>VLOOKUP(B828,'[1]Base de datos'!$B:$E,4,FALSE)</f>
        <v>#N/A</v>
      </c>
    </row>
    <row r="829" spans="2:6" x14ac:dyDescent="0.25">
      <c r="B829" s="24"/>
      <c r="C829" s="17"/>
      <c r="D829" s="5" t="e">
        <f>VLOOKUP(B829,'[1]Base de datos'!$B:$F,2,FALSE)</f>
        <v>#N/A</v>
      </c>
      <c r="E829" t="e">
        <f>VLOOKUP(B829,'[1]Base de datos'!$B:$E,3,FALSE)</f>
        <v>#N/A</v>
      </c>
      <c r="F829" t="e">
        <f>VLOOKUP(B829,'[1]Base de datos'!$B:$E,4,FALSE)</f>
        <v>#N/A</v>
      </c>
    </row>
    <row r="830" spans="2:6" x14ac:dyDescent="0.25">
      <c r="B830" s="24"/>
      <c r="C830" s="17"/>
      <c r="D830" s="5" t="e">
        <f>VLOOKUP(B830,'[1]Base de datos'!$B:$F,2,FALSE)</f>
        <v>#N/A</v>
      </c>
      <c r="E830" t="e">
        <f>VLOOKUP(B830,'[1]Base de datos'!$B:$E,3,FALSE)</f>
        <v>#N/A</v>
      </c>
      <c r="F830" t="e">
        <f>VLOOKUP(B830,'[1]Base de datos'!$B:$E,4,FALSE)</f>
        <v>#N/A</v>
      </c>
    </row>
    <row r="831" spans="2:6" x14ac:dyDescent="0.25">
      <c r="B831" s="24"/>
      <c r="C831" s="17"/>
      <c r="D831" s="5" t="e">
        <f>VLOOKUP(B831,'[1]Base de datos'!$B:$F,2,FALSE)</f>
        <v>#N/A</v>
      </c>
      <c r="E831" t="e">
        <f>VLOOKUP(B831,'[1]Base de datos'!$B:$E,3,FALSE)</f>
        <v>#N/A</v>
      </c>
      <c r="F831" t="e">
        <f>VLOOKUP(B831,'[1]Base de datos'!$B:$E,4,FALSE)</f>
        <v>#N/A</v>
      </c>
    </row>
    <row r="832" spans="2:6" x14ac:dyDescent="0.25">
      <c r="B832" s="24"/>
      <c r="C832" s="17"/>
      <c r="D832" s="5" t="e">
        <f>VLOOKUP(B832,'[1]Base de datos'!$B:$F,2,FALSE)</f>
        <v>#N/A</v>
      </c>
      <c r="E832" t="e">
        <f>VLOOKUP(B832,'[1]Base de datos'!$B:$E,3,FALSE)</f>
        <v>#N/A</v>
      </c>
      <c r="F832" t="e">
        <f>VLOOKUP(B832,'[1]Base de datos'!$B:$E,4,FALSE)</f>
        <v>#N/A</v>
      </c>
    </row>
    <row r="833" spans="2:6" x14ac:dyDescent="0.25">
      <c r="B833" s="24"/>
      <c r="C833" s="17"/>
      <c r="D833" s="5" t="e">
        <f>VLOOKUP(B833,'[1]Base de datos'!$B:$F,2,FALSE)</f>
        <v>#N/A</v>
      </c>
      <c r="E833" t="e">
        <f>VLOOKUP(B833,'[1]Base de datos'!$B:$E,3,FALSE)</f>
        <v>#N/A</v>
      </c>
      <c r="F833" t="e">
        <f>VLOOKUP(B833,'[1]Base de datos'!$B:$E,4,FALSE)</f>
        <v>#N/A</v>
      </c>
    </row>
    <row r="834" spans="2:6" x14ac:dyDescent="0.25">
      <c r="B834" s="24"/>
      <c r="C834" s="17"/>
      <c r="D834" s="5" t="e">
        <f>VLOOKUP(B834,'[1]Base de datos'!$B:$F,2,FALSE)</f>
        <v>#N/A</v>
      </c>
      <c r="E834" t="e">
        <f>VLOOKUP(B834,'[1]Base de datos'!$B:$E,3,FALSE)</f>
        <v>#N/A</v>
      </c>
      <c r="F834" t="e">
        <f>VLOOKUP(B834,'[1]Base de datos'!$B:$E,4,FALSE)</f>
        <v>#N/A</v>
      </c>
    </row>
    <row r="835" spans="2:6" x14ac:dyDescent="0.25">
      <c r="B835" s="24"/>
      <c r="C835" s="17"/>
      <c r="D835" s="5" t="e">
        <f>VLOOKUP(B835,'[1]Base de datos'!$B:$F,2,FALSE)</f>
        <v>#N/A</v>
      </c>
      <c r="E835" t="e">
        <f>VLOOKUP(B835,'[1]Base de datos'!$B:$E,3,FALSE)</f>
        <v>#N/A</v>
      </c>
      <c r="F835" t="e">
        <f>VLOOKUP(B835,'[1]Base de datos'!$B:$E,4,FALSE)</f>
        <v>#N/A</v>
      </c>
    </row>
    <row r="836" spans="2:6" x14ac:dyDescent="0.25">
      <c r="B836" s="24"/>
      <c r="C836" s="17"/>
      <c r="D836" s="5" t="e">
        <f>VLOOKUP(B836,'[1]Base de datos'!$B:$F,2,FALSE)</f>
        <v>#N/A</v>
      </c>
      <c r="E836" t="e">
        <f>VLOOKUP(B836,'[1]Base de datos'!$B:$E,3,FALSE)</f>
        <v>#N/A</v>
      </c>
      <c r="F836" t="e">
        <f>VLOOKUP(B836,'[1]Base de datos'!$B:$E,4,FALSE)</f>
        <v>#N/A</v>
      </c>
    </row>
    <row r="837" spans="2:6" x14ac:dyDescent="0.25">
      <c r="B837" s="24"/>
      <c r="C837" s="17"/>
      <c r="D837" s="5" t="e">
        <f>VLOOKUP(B837,'[1]Base de datos'!$B:$F,2,FALSE)</f>
        <v>#N/A</v>
      </c>
      <c r="E837" t="e">
        <f>VLOOKUP(B837,'[1]Base de datos'!$B:$E,3,FALSE)</f>
        <v>#N/A</v>
      </c>
      <c r="F837" t="e">
        <f>VLOOKUP(B837,'[1]Base de datos'!$B:$E,4,FALSE)</f>
        <v>#N/A</v>
      </c>
    </row>
    <row r="838" spans="2:6" x14ac:dyDescent="0.25">
      <c r="B838" s="24"/>
      <c r="C838" s="17"/>
      <c r="D838" s="5" t="e">
        <f>VLOOKUP(B838,'[1]Base de datos'!$B:$F,2,FALSE)</f>
        <v>#N/A</v>
      </c>
      <c r="E838" t="e">
        <f>VLOOKUP(B838,'[1]Base de datos'!$B:$E,3,FALSE)</f>
        <v>#N/A</v>
      </c>
      <c r="F838" t="e">
        <f>VLOOKUP(B838,'[1]Base de datos'!$B:$E,4,FALSE)</f>
        <v>#N/A</v>
      </c>
    </row>
    <row r="839" spans="2:6" x14ac:dyDescent="0.25">
      <c r="B839" s="24"/>
      <c r="C839" s="17"/>
      <c r="D839" s="5" t="e">
        <f>VLOOKUP(B839,'[1]Base de datos'!$B:$F,2,FALSE)</f>
        <v>#N/A</v>
      </c>
      <c r="E839" t="e">
        <f>VLOOKUP(B839,'[1]Base de datos'!$B:$E,3,FALSE)</f>
        <v>#N/A</v>
      </c>
      <c r="F839" t="e">
        <f>VLOOKUP(B839,'[1]Base de datos'!$B:$E,4,FALSE)</f>
        <v>#N/A</v>
      </c>
    </row>
    <row r="840" spans="2:6" x14ac:dyDescent="0.25">
      <c r="B840" s="24"/>
      <c r="C840" s="17"/>
      <c r="D840" s="5" t="e">
        <f>VLOOKUP(B840,'[1]Base de datos'!$B:$F,2,FALSE)</f>
        <v>#N/A</v>
      </c>
      <c r="E840" t="e">
        <f>VLOOKUP(B840,'[1]Base de datos'!$B:$E,3,FALSE)</f>
        <v>#N/A</v>
      </c>
      <c r="F840" t="e">
        <f>VLOOKUP(B840,'[1]Base de datos'!$B:$E,4,FALSE)</f>
        <v>#N/A</v>
      </c>
    </row>
    <row r="841" spans="2:6" x14ac:dyDescent="0.25">
      <c r="B841" s="24"/>
      <c r="C841" s="17"/>
      <c r="D841" s="5" t="e">
        <f>VLOOKUP(B841,'[1]Base de datos'!$B:$F,2,FALSE)</f>
        <v>#N/A</v>
      </c>
      <c r="E841" t="e">
        <f>VLOOKUP(B841,'[1]Base de datos'!$B:$E,3,FALSE)</f>
        <v>#N/A</v>
      </c>
      <c r="F841" t="e">
        <f>VLOOKUP(B841,'[1]Base de datos'!$B:$E,4,FALSE)</f>
        <v>#N/A</v>
      </c>
    </row>
    <row r="842" spans="2:6" x14ac:dyDescent="0.25">
      <c r="B842" s="24"/>
      <c r="C842" s="17"/>
      <c r="D842" s="5" t="e">
        <f>VLOOKUP(B842,'[1]Base de datos'!$B:$F,2,FALSE)</f>
        <v>#N/A</v>
      </c>
      <c r="E842" t="e">
        <f>VLOOKUP(B842,'[1]Base de datos'!$B:$E,3,FALSE)</f>
        <v>#N/A</v>
      </c>
      <c r="F842" t="e">
        <f>VLOOKUP(B842,'[1]Base de datos'!$B:$E,4,FALSE)</f>
        <v>#N/A</v>
      </c>
    </row>
    <row r="843" spans="2:6" x14ac:dyDescent="0.25">
      <c r="B843" s="24"/>
      <c r="C843" s="17"/>
      <c r="D843" s="5" t="e">
        <f>VLOOKUP(B843,'[1]Base de datos'!$B:$F,2,FALSE)</f>
        <v>#N/A</v>
      </c>
      <c r="E843" t="e">
        <f>VLOOKUP(B843,'[1]Base de datos'!$B:$E,3,FALSE)</f>
        <v>#N/A</v>
      </c>
      <c r="F843" t="e">
        <f>VLOOKUP(B843,'[1]Base de datos'!$B:$E,4,FALSE)</f>
        <v>#N/A</v>
      </c>
    </row>
    <row r="844" spans="2:6" x14ac:dyDescent="0.25">
      <c r="B844" s="24"/>
      <c r="C844" s="17"/>
      <c r="D844" s="5" t="e">
        <f>VLOOKUP(B844,'[1]Base de datos'!$B:$F,2,FALSE)</f>
        <v>#N/A</v>
      </c>
      <c r="E844" t="e">
        <f>VLOOKUP(B844,'[1]Base de datos'!$B:$E,3,FALSE)</f>
        <v>#N/A</v>
      </c>
      <c r="F844" t="e">
        <f>VLOOKUP(B844,'[1]Base de datos'!$B:$E,4,FALSE)</f>
        <v>#N/A</v>
      </c>
    </row>
    <row r="845" spans="2:6" x14ac:dyDescent="0.25">
      <c r="B845" s="24"/>
      <c r="C845" s="17"/>
      <c r="D845" s="5" t="e">
        <f>VLOOKUP(B845,'[1]Base de datos'!$B:$F,2,FALSE)</f>
        <v>#N/A</v>
      </c>
      <c r="E845" t="e">
        <f>VLOOKUP(B845,'[1]Base de datos'!$B:$E,3,FALSE)</f>
        <v>#N/A</v>
      </c>
      <c r="F845" t="e">
        <f>VLOOKUP(B845,'[1]Base de datos'!$B:$E,4,FALSE)</f>
        <v>#N/A</v>
      </c>
    </row>
    <row r="846" spans="2:6" x14ac:dyDescent="0.25">
      <c r="B846" s="24"/>
      <c r="C846" s="17"/>
      <c r="D846" s="5" t="e">
        <f>VLOOKUP(B846,'[1]Base de datos'!$B:$F,2,FALSE)</f>
        <v>#N/A</v>
      </c>
      <c r="E846" t="e">
        <f>VLOOKUP(B846,'[1]Base de datos'!$B:$E,3,FALSE)</f>
        <v>#N/A</v>
      </c>
      <c r="F846" t="e">
        <f>VLOOKUP(B846,'[1]Base de datos'!$B:$E,4,FALSE)</f>
        <v>#N/A</v>
      </c>
    </row>
    <row r="847" spans="2:6" x14ac:dyDescent="0.25">
      <c r="B847" s="24"/>
      <c r="C847" s="17"/>
      <c r="D847" s="5" t="e">
        <f>VLOOKUP(B847,'[1]Base de datos'!$B:$F,2,FALSE)</f>
        <v>#N/A</v>
      </c>
      <c r="E847" t="e">
        <f>VLOOKUP(B847,'[1]Base de datos'!$B:$E,3,FALSE)</f>
        <v>#N/A</v>
      </c>
      <c r="F847" t="e">
        <f>VLOOKUP(B847,'[1]Base de datos'!$B:$E,4,FALSE)</f>
        <v>#N/A</v>
      </c>
    </row>
    <row r="848" spans="2:6" x14ac:dyDescent="0.25">
      <c r="B848" s="24"/>
      <c r="C848" s="17"/>
      <c r="D848" s="5" t="e">
        <f>VLOOKUP(B848,'[1]Base de datos'!$B:$F,2,FALSE)</f>
        <v>#N/A</v>
      </c>
      <c r="E848" t="e">
        <f>VLOOKUP(B848,'[1]Base de datos'!$B:$E,3,FALSE)</f>
        <v>#N/A</v>
      </c>
      <c r="F848" t="e">
        <f>VLOOKUP(B848,'[1]Base de datos'!$B:$E,4,FALSE)</f>
        <v>#N/A</v>
      </c>
    </row>
    <row r="849" spans="2:6" x14ac:dyDescent="0.25">
      <c r="B849" s="24"/>
      <c r="C849" s="17"/>
      <c r="D849" s="5" t="e">
        <f>VLOOKUP(B849,'[1]Base de datos'!$B:$F,2,FALSE)</f>
        <v>#N/A</v>
      </c>
      <c r="E849" t="e">
        <f>VLOOKUP(B849,'[1]Base de datos'!$B:$E,3,FALSE)</f>
        <v>#N/A</v>
      </c>
      <c r="F849" t="e">
        <f>VLOOKUP(B849,'[1]Base de datos'!$B:$E,4,FALSE)</f>
        <v>#N/A</v>
      </c>
    </row>
    <row r="850" spans="2:6" x14ac:dyDescent="0.25">
      <c r="B850" s="24"/>
      <c r="C850" s="17"/>
      <c r="D850" s="5" t="e">
        <f>VLOOKUP(B850,'[1]Base de datos'!$B:$F,2,FALSE)</f>
        <v>#N/A</v>
      </c>
      <c r="E850" t="e">
        <f>VLOOKUP(B850,'[1]Base de datos'!$B:$E,3,FALSE)</f>
        <v>#N/A</v>
      </c>
      <c r="F850" t="e">
        <f>VLOOKUP(B850,'[1]Base de datos'!$B:$E,4,FALSE)</f>
        <v>#N/A</v>
      </c>
    </row>
    <row r="851" spans="2:6" x14ac:dyDescent="0.25">
      <c r="B851" s="24"/>
      <c r="C851" s="17"/>
      <c r="D851" s="5" t="e">
        <f>VLOOKUP(B851,'[1]Base de datos'!$B:$F,2,FALSE)</f>
        <v>#N/A</v>
      </c>
      <c r="E851" t="e">
        <f>VLOOKUP(B851,'[1]Base de datos'!$B:$E,3,FALSE)</f>
        <v>#N/A</v>
      </c>
      <c r="F851" t="e">
        <f>VLOOKUP(B851,'[1]Base de datos'!$B:$E,4,FALSE)</f>
        <v>#N/A</v>
      </c>
    </row>
    <row r="852" spans="2:6" x14ac:dyDescent="0.25">
      <c r="B852" s="24"/>
      <c r="C852" s="17"/>
      <c r="D852" s="5" t="e">
        <f>VLOOKUP(B852,'[1]Base de datos'!$B:$F,2,FALSE)</f>
        <v>#N/A</v>
      </c>
      <c r="E852" t="e">
        <f>VLOOKUP(B852,'[1]Base de datos'!$B:$E,3,FALSE)</f>
        <v>#N/A</v>
      </c>
      <c r="F852" t="e">
        <f>VLOOKUP(B852,'[1]Base de datos'!$B:$E,4,FALSE)</f>
        <v>#N/A</v>
      </c>
    </row>
    <row r="853" spans="2:6" x14ac:dyDescent="0.25">
      <c r="B853" s="24"/>
      <c r="C853" s="17"/>
      <c r="D853" s="5" t="e">
        <f>VLOOKUP(B853,'[1]Base de datos'!$B:$F,2,FALSE)</f>
        <v>#N/A</v>
      </c>
      <c r="E853" t="e">
        <f>VLOOKUP(B853,'[1]Base de datos'!$B:$E,3,FALSE)</f>
        <v>#N/A</v>
      </c>
      <c r="F853" t="e">
        <f>VLOOKUP(B853,'[1]Base de datos'!$B:$E,4,FALSE)</f>
        <v>#N/A</v>
      </c>
    </row>
    <row r="854" spans="2:6" x14ac:dyDescent="0.25">
      <c r="B854" s="24"/>
      <c r="C854" s="17"/>
      <c r="D854" s="5" t="e">
        <f>VLOOKUP(B854,'[1]Base de datos'!$B:$F,2,FALSE)</f>
        <v>#N/A</v>
      </c>
      <c r="E854" t="e">
        <f>VLOOKUP(B854,'[1]Base de datos'!$B:$E,3,FALSE)</f>
        <v>#N/A</v>
      </c>
      <c r="F854" t="e">
        <f>VLOOKUP(B854,'[1]Base de datos'!$B:$E,4,FALSE)</f>
        <v>#N/A</v>
      </c>
    </row>
    <row r="855" spans="2:6" x14ac:dyDescent="0.25">
      <c r="B855" s="24"/>
      <c r="C855" s="17"/>
      <c r="D855" s="5" t="e">
        <f>VLOOKUP(B855,'[1]Base de datos'!$B:$F,2,FALSE)</f>
        <v>#N/A</v>
      </c>
      <c r="E855" t="e">
        <f>VLOOKUP(B855,'[1]Base de datos'!$B:$E,3,FALSE)</f>
        <v>#N/A</v>
      </c>
      <c r="F855" t="e">
        <f>VLOOKUP(B855,'[1]Base de datos'!$B:$E,4,FALSE)</f>
        <v>#N/A</v>
      </c>
    </row>
    <row r="856" spans="2:6" x14ac:dyDescent="0.25">
      <c r="B856" s="24"/>
      <c r="C856" s="17"/>
      <c r="D856" s="5" t="e">
        <f>VLOOKUP(B856,'[1]Base de datos'!$B:$F,2,FALSE)</f>
        <v>#N/A</v>
      </c>
      <c r="E856" t="e">
        <f>VLOOKUP(B856,'[1]Base de datos'!$B:$E,3,FALSE)</f>
        <v>#N/A</v>
      </c>
      <c r="F856" t="e">
        <f>VLOOKUP(B856,'[1]Base de datos'!$B:$E,4,FALSE)</f>
        <v>#N/A</v>
      </c>
    </row>
    <row r="857" spans="2:6" x14ac:dyDescent="0.25">
      <c r="B857" s="24"/>
      <c r="C857" s="17"/>
      <c r="D857" s="5" t="e">
        <f>VLOOKUP(B857,'[1]Base de datos'!$B:$F,2,FALSE)</f>
        <v>#N/A</v>
      </c>
      <c r="E857" t="e">
        <f>VLOOKUP(B857,'[1]Base de datos'!$B:$E,3,FALSE)</f>
        <v>#N/A</v>
      </c>
      <c r="F857" t="e">
        <f>VLOOKUP(B857,'[1]Base de datos'!$B:$E,4,FALSE)</f>
        <v>#N/A</v>
      </c>
    </row>
    <row r="858" spans="2:6" x14ac:dyDescent="0.25">
      <c r="B858" s="24"/>
      <c r="C858" s="17"/>
      <c r="D858" s="5" t="e">
        <f>VLOOKUP(B858,'[1]Base de datos'!$B:$F,2,FALSE)</f>
        <v>#N/A</v>
      </c>
      <c r="E858" t="e">
        <f>VLOOKUP(B858,'[1]Base de datos'!$B:$E,3,FALSE)</f>
        <v>#N/A</v>
      </c>
      <c r="F858" t="e">
        <f>VLOOKUP(B858,'[1]Base de datos'!$B:$E,4,FALSE)</f>
        <v>#N/A</v>
      </c>
    </row>
    <row r="859" spans="2:6" x14ac:dyDescent="0.25">
      <c r="B859" s="24"/>
      <c r="C859" s="17"/>
      <c r="D859" s="5" t="e">
        <f>VLOOKUP(B859,'[1]Base de datos'!$B:$F,2,FALSE)</f>
        <v>#N/A</v>
      </c>
      <c r="E859" t="e">
        <f>VLOOKUP(B859,'[1]Base de datos'!$B:$E,3,FALSE)</f>
        <v>#N/A</v>
      </c>
      <c r="F859" t="e">
        <f>VLOOKUP(B859,'[1]Base de datos'!$B:$E,4,FALSE)</f>
        <v>#N/A</v>
      </c>
    </row>
    <row r="860" spans="2:6" x14ac:dyDescent="0.25">
      <c r="B860" s="24"/>
      <c r="C860" s="17"/>
      <c r="D860" s="5" t="e">
        <f>VLOOKUP(B860,'[1]Base de datos'!$B:$F,2,FALSE)</f>
        <v>#N/A</v>
      </c>
      <c r="E860" t="e">
        <f>VLOOKUP(B860,'[1]Base de datos'!$B:$E,3,FALSE)</f>
        <v>#N/A</v>
      </c>
      <c r="F860" t="e">
        <f>VLOOKUP(B860,'[1]Base de datos'!$B:$E,4,FALSE)</f>
        <v>#N/A</v>
      </c>
    </row>
    <row r="861" spans="2:6" x14ac:dyDescent="0.25">
      <c r="B861" s="24"/>
      <c r="C861" s="17"/>
      <c r="D861" s="5" t="e">
        <f>VLOOKUP(B861,'[1]Base de datos'!$B:$F,2,FALSE)</f>
        <v>#N/A</v>
      </c>
      <c r="E861" t="e">
        <f>VLOOKUP(B861,'[1]Base de datos'!$B:$E,3,FALSE)</f>
        <v>#N/A</v>
      </c>
      <c r="F861" t="e">
        <f>VLOOKUP(B861,'[1]Base de datos'!$B:$E,4,FALSE)</f>
        <v>#N/A</v>
      </c>
    </row>
    <row r="862" spans="2:6" x14ac:dyDescent="0.25">
      <c r="B862" s="24"/>
      <c r="C862" s="17"/>
      <c r="D862" s="5" t="e">
        <f>VLOOKUP(B862,'[1]Base de datos'!$B:$F,2,FALSE)</f>
        <v>#N/A</v>
      </c>
      <c r="E862" t="e">
        <f>VLOOKUP(B862,'[1]Base de datos'!$B:$E,3,FALSE)</f>
        <v>#N/A</v>
      </c>
      <c r="F862" t="e">
        <f>VLOOKUP(B862,'[1]Base de datos'!$B:$E,4,FALSE)</f>
        <v>#N/A</v>
      </c>
    </row>
    <row r="863" spans="2:6" x14ac:dyDescent="0.25">
      <c r="B863" s="24"/>
      <c r="C863" s="17"/>
      <c r="D863" s="5" t="e">
        <f>VLOOKUP(B863,'[1]Base de datos'!$B:$F,2,FALSE)</f>
        <v>#N/A</v>
      </c>
      <c r="E863" t="e">
        <f>VLOOKUP(B863,'[1]Base de datos'!$B:$E,3,FALSE)</f>
        <v>#N/A</v>
      </c>
      <c r="F863" t="e">
        <f>VLOOKUP(B863,'[1]Base de datos'!$B:$E,4,FALSE)</f>
        <v>#N/A</v>
      </c>
    </row>
    <row r="864" spans="2:6" x14ac:dyDescent="0.25">
      <c r="B864" s="24"/>
      <c r="C864" s="17"/>
      <c r="D864" s="5" t="e">
        <f>VLOOKUP(B864,'[1]Base de datos'!$B:$F,2,FALSE)</f>
        <v>#N/A</v>
      </c>
      <c r="E864" t="e">
        <f>VLOOKUP(B864,'[1]Base de datos'!$B:$E,3,FALSE)</f>
        <v>#N/A</v>
      </c>
      <c r="F864" t="e">
        <f>VLOOKUP(B864,'[1]Base de datos'!$B:$E,4,FALSE)</f>
        <v>#N/A</v>
      </c>
    </row>
    <row r="865" spans="2:6" x14ac:dyDescent="0.25">
      <c r="B865" s="24"/>
      <c r="C865" s="17"/>
      <c r="D865" s="5" t="e">
        <f>VLOOKUP(B865,'[1]Base de datos'!$B:$F,2,FALSE)</f>
        <v>#N/A</v>
      </c>
      <c r="E865" t="e">
        <f>VLOOKUP(B865,'[1]Base de datos'!$B:$E,3,FALSE)</f>
        <v>#N/A</v>
      </c>
      <c r="F865" t="e">
        <f>VLOOKUP(B865,'[1]Base de datos'!$B:$E,4,FALSE)</f>
        <v>#N/A</v>
      </c>
    </row>
    <row r="866" spans="2:6" x14ac:dyDescent="0.25">
      <c r="B866" s="24"/>
      <c r="C866" s="17"/>
      <c r="D866" s="5" t="e">
        <f>VLOOKUP(B866,'[1]Base de datos'!$B:$F,2,FALSE)</f>
        <v>#N/A</v>
      </c>
      <c r="E866" t="e">
        <f>VLOOKUP(B866,'[1]Base de datos'!$B:$E,3,FALSE)</f>
        <v>#N/A</v>
      </c>
      <c r="F866" t="e">
        <f>VLOOKUP(B866,'[1]Base de datos'!$B:$E,4,FALSE)</f>
        <v>#N/A</v>
      </c>
    </row>
    <row r="867" spans="2:6" x14ac:dyDescent="0.25">
      <c r="B867" s="24"/>
      <c r="C867" s="17"/>
      <c r="D867" s="5" t="e">
        <f>VLOOKUP(B867,'[1]Base de datos'!$B:$F,2,FALSE)</f>
        <v>#N/A</v>
      </c>
      <c r="E867" t="e">
        <f>VLOOKUP(B867,'[1]Base de datos'!$B:$E,3,FALSE)</f>
        <v>#N/A</v>
      </c>
      <c r="F867" t="e">
        <f>VLOOKUP(B867,'[1]Base de datos'!$B:$E,4,FALSE)</f>
        <v>#N/A</v>
      </c>
    </row>
    <row r="868" spans="2:6" x14ac:dyDescent="0.25">
      <c r="B868" s="24"/>
      <c r="C868" s="17"/>
      <c r="D868" s="5" t="e">
        <f>VLOOKUP(B868,'[1]Base de datos'!$B:$F,2,FALSE)</f>
        <v>#N/A</v>
      </c>
      <c r="E868" t="e">
        <f>VLOOKUP(B868,'[1]Base de datos'!$B:$E,3,FALSE)</f>
        <v>#N/A</v>
      </c>
      <c r="F868" t="e">
        <f>VLOOKUP(B868,'[1]Base de datos'!$B:$E,4,FALSE)</f>
        <v>#N/A</v>
      </c>
    </row>
    <row r="869" spans="2:6" x14ac:dyDescent="0.25">
      <c r="B869" s="24"/>
      <c r="C869" s="17"/>
      <c r="D869" s="5" t="e">
        <f>VLOOKUP(B869,'[1]Base de datos'!$B:$F,2,FALSE)</f>
        <v>#N/A</v>
      </c>
      <c r="E869" t="e">
        <f>VLOOKUP(B869,'[1]Base de datos'!$B:$E,3,FALSE)</f>
        <v>#N/A</v>
      </c>
      <c r="F869" t="e">
        <f>VLOOKUP(B869,'[1]Base de datos'!$B:$E,4,FALSE)</f>
        <v>#N/A</v>
      </c>
    </row>
    <row r="870" spans="2:6" x14ac:dyDescent="0.25">
      <c r="B870" s="24"/>
      <c r="C870" s="17"/>
      <c r="D870" s="5" t="e">
        <f>VLOOKUP(B870,'[1]Base de datos'!$B:$F,2,FALSE)</f>
        <v>#N/A</v>
      </c>
      <c r="E870" t="e">
        <f>VLOOKUP(B870,'[1]Base de datos'!$B:$E,3,FALSE)</f>
        <v>#N/A</v>
      </c>
      <c r="F870" t="e">
        <f>VLOOKUP(B870,'[1]Base de datos'!$B:$E,4,FALSE)</f>
        <v>#N/A</v>
      </c>
    </row>
    <row r="871" spans="2:6" x14ac:dyDescent="0.25">
      <c r="B871" s="24"/>
      <c r="C871" s="17"/>
      <c r="D871" s="5" t="e">
        <f>VLOOKUP(B871,'[1]Base de datos'!$B:$F,2,FALSE)</f>
        <v>#N/A</v>
      </c>
      <c r="E871" t="e">
        <f>VLOOKUP(B871,'[1]Base de datos'!$B:$E,3,FALSE)</f>
        <v>#N/A</v>
      </c>
      <c r="F871" t="e">
        <f>VLOOKUP(B871,'[1]Base de datos'!$B:$E,4,FALSE)</f>
        <v>#N/A</v>
      </c>
    </row>
    <row r="872" spans="2:6" x14ac:dyDescent="0.25">
      <c r="B872" s="24"/>
      <c r="C872" s="17"/>
      <c r="D872" s="5" t="e">
        <f>VLOOKUP(B872,'[1]Base de datos'!$B:$F,2,FALSE)</f>
        <v>#N/A</v>
      </c>
      <c r="E872" t="e">
        <f>VLOOKUP(B872,'[1]Base de datos'!$B:$E,3,FALSE)</f>
        <v>#N/A</v>
      </c>
      <c r="F872" t="e">
        <f>VLOOKUP(B872,'[1]Base de datos'!$B:$E,4,FALSE)</f>
        <v>#N/A</v>
      </c>
    </row>
    <row r="873" spans="2:6" x14ac:dyDescent="0.25">
      <c r="B873" s="24"/>
      <c r="C873" s="17"/>
      <c r="D873" s="5" t="e">
        <f>VLOOKUP(B873,'[1]Base de datos'!$B:$F,2,FALSE)</f>
        <v>#N/A</v>
      </c>
      <c r="E873" t="e">
        <f>VLOOKUP(B873,'[1]Base de datos'!$B:$E,3,FALSE)</f>
        <v>#N/A</v>
      </c>
      <c r="F873" t="e">
        <f>VLOOKUP(B873,'[1]Base de datos'!$B:$E,4,FALSE)</f>
        <v>#N/A</v>
      </c>
    </row>
    <row r="874" spans="2:6" x14ac:dyDescent="0.25">
      <c r="B874" s="24"/>
      <c r="C874" s="17"/>
      <c r="D874" s="5" t="e">
        <f>VLOOKUP(B874,'[1]Base de datos'!$B:$F,2,FALSE)</f>
        <v>#N/A</v>
      </c>
      <c r="E874" t="e">
        <f>VLOOKUP(B874,'[1]Base de datos'!$B:$E,3,FALSE)</f>
        <v>#N/A</v>
      </c>
      <c r="F874" t="e">
        <f>VLOOKUP(B874,'[1]Base de datos'!$B:$E,4,FALSE)</f>
        <v>#N/A</v>
      </c>
    </row>
    <row r="875" spans="2:6" x14ac:dyDescent="0.25">
      <c r="B875" s="24"/>
      <c r="C875" s="17"/>
      <c r="D875" s="5" t="e">
        <f>VLOOKUP(B875,'[1]Base de datos'!$B:$F,2,FALSE)</f>
        <v>#N/A</v>
      </c>
      <c r="E875" t="e">
        <f>VLOOKUP(B875,'[1]Base de datos'!$B:$E,3,FALSE)</f>
        <v>#N/A</v>
      </c>
      <c r="F875" t="e">
        <f>VLOOKUP(B875,'[1]Base de datos'!$B:$E,4,FALSE)</f>
        <v>#N/A</v>
      </c>
    </row>
    <row r="876" spans="2:6" x14ac:dyDescent="0.25">
      <c r="B876" s="24"/>
      <c r="C876" s="17"/>
      <c r="D876" s="5" t="e">
        <f>VLOOKUP(B876,'[1]Base de datos'!$B:$F,2,FALSE)</f>
        <v>#N/A</v>
      </c>
      <c r="E876" t="e">
        <f>VLOOKUP(B876,'[1]Base de datos'!$B:$E,3,FALSE)</f>
        <v>#N/A</v>
      </c>
      <c r="F876" t="e">
        <f>VLOOKUP(B876,'[1]Base de datos'!$B:$E,4,FALSE)</f>
        <v>#N/A</v>
      </c>
    </row>
    <row r="877" spans="2:6" x14ac:dyDescent="0.25">
      <c r="B877" s="24"/>
      <c r="C877" s="17"/>
      <c r="D877" s="5" t="e">
        <f>VLOOKUP(B877,'[1]Base de datos'!$B:$F,2,FALSE)</f>
        <v>#N/A</v>
      </c>
      <c r="E877" t="e">
        <f>VLOOKUP(B877,'[1]Base de datos'!$B:$E,3,FALSE)</f>
        <v>#N/A</v>
      </c>
      <c r="F877" t="e">
        <f>VLOOKUP(B877,'[1]Base de datos'!$B:$E,4,FALSE)</f>
        <v>#N/A</v>
      </c>
    </row>
    <row r="878" spans="2:6" x14ac:dyDescent="0.25">
      <c r="B878" s="24"/>
      <c r="C878" s="17"/>
      <c r="D878" s="5" t="e">
        <f>VLOOKUP(B878,'[1]Base de datos'!$B:$F,2,FALSE)</f>
        <v>#N/A</v>
      </c>
      <c r="E878" t="e">
        <f>VLOOKUP(B878,'[1]Base de datos'!$B:$E,3,FALSE)</f>
        <v>#N/A</v>
      </c>
      <c r="F878" t="e">
        <f>VLOOKUP(B878,'[1]Base de datos'!$B:$E,4,FALSE)</f>
        <v>#N/A</v>
      </c>
    </row>
    <row r="879" spans="2:6" x14ac:dyDescent="0.25">
      <c r="B879" s="24"/>
      <c r="C879" s="17"/>
      <c r="D879" s="5" t="e">
        <f>VLOOKUP(B879,'[1]Base de datos'!$B:$F,2,FALSE)</f>
        <v>#N/A</v>
      </c>
      <c r="E879" t="e">
        <f>VLOOKUP(B879,'[1]Base de datos'!$B:$E,3,FALSE)</f>
        <v>#N/A</v>
      </c>
      <c r="F879" t="e">
        <f>VLOOKUP(B879,'[1]Base de datos'!$B:$E,4,FALSE)</f>
        <v>#N/A</v>
      </c>
    </row>
    <row r="880" spans="2:6" x14ac:dyDescent="0.25">
      <c r="B880" s="24"/>
      <c r="C880" s="17"/>
      <c r="D880" s="5" t="e">
        <f>VLOOKUP(B880,'[1]Base de datos'!$B:$F,2,FALSE)</f>
        <v>#N/A</v>
      </c>
      <c r="E880" t="e">
        <f>VLOOKUP(B880,'[1]Base de datos'!$B:$E,3,FALSE)</f>
        <v>#N/A</v>
      </c>
      <c r="F880" t="e">
        <f>VLOOKUP(B880,'[1]Base de datos'!$B:$E,4,FALSE)</f>
        <v>#N/A</v>
      </c>
    </row>
    <row r="881" spans="2:6" x14ac:dyDescent="0.25">
      <c r="B881" s="24"/>
      <c r="C881" s="17"/>
      <c r="D881" s="5" t="e">
        <f>VLOOKUP(B881,'[1]Base de datos'!$B:$F,2,FALSE)</f>
        <v>#N/A</v>
      </c>
      <c r="E881" t="e">
        <f>VLOOKUP(B881,'[1]Base de datos'!$B:$E,3,FALSE)</f>
        <v>#N/A</v>
      </c>
      <c r="F881" t="e">
        <f>VLOOKUP(B881,'[1]Base de datos'!$B:$E,4,FALSE)</f>
        <v>#N/A</v>
      </c>
    </row>
    <row r="882" spans="2:6" x14ac:dyDescent="0.25">
      <c r="B882" s="24"/>
      <c r="C882" s="17"/>
      <c r="D882" s="5" t="e">
        <f>VLOOKUP(B882,'[1]Base de datos'!$B:$F,2,FALSE)</f>
        <v>#N/A</v>
      </c>
      <c r="E882" t="e">
        <f>VLOOKUP(B882,'[1]Base de datos'!$B:$E,3,FALSE)</f>
        <v>#N/A</v>
      </c>
      <c r="F882" t="e">
        <f>VLOOKUP(B882,'[1]Base de datos'!$B:$E,4,FALSE)</f>
        <v>#N/A</v>
      </c>
    </row>
    <row r="883" spans="2:6" x14ac:dyDescent="0.25">
      <c r="B883" s="24"/>
      <c r="C883" s="17"/>
      <c r="D883" s="5" t="e">
        <f>VLOOKUP(B883,'[1]Base de datos'!$B:$F,2,FALSE)</f>
        <v>#N/A</v>
      </c>
      <c r="E883" t="e">
        <f>VLOOKUP(B883,'[1]Base de datos'!$B:$E,3,FALSE)</f>
        <v>#N/A</v>
      </c>
      <c r="F883" t="e">
        <f>VLOOKUP(B883,'[1]Base de datos'!$B:$E,4,FALSE)</f>
        <v>#N/A</v>
      </c>
    </row>
    <row r="884" spans="2:6" x14ac:dyDescent="0.25">
      <c r="B884" s="24"/>
      <c r="C884" s="17"/>
      <c r="D884" s="5" t="e">
        <f>VLOOKUP(B884,'[1]Base de datos'!$B:$F,2,FALSE)</f>
        <v>#N/A</v>
      </c>
      <c r="E884" t="e">
        <f>VLOOKUP(B884,'[1]Base de datos'!$B:$E,3,FALSE)</f>
        <v>#N/A</v>
      </c>
      <c r="F884" t="e">
        <f>VLOOKUP(B884,'[1]Base de datos'!$B:$E,4,FALSE)</f>
        <v>#N/A</v>
      </c>
    </row>
    <row r="885" spans="2:6" x14ac:dyDescent="0.25">
      <c r="B885" s="24"/>
      <c r="C885" s="17"/>
      <c r="D885" s="5" t="e">
        <f>VLOOKUP(B885,'[1]Base de datos'!$B:$F,2,FALSE)</f>
        <v>#N/A</v>
      </c>
      <c r="E885" t="e">
        <f>VLOOKUP(B885,'[1]Base de datos'!$B:$E,3,FALSE)</f>
        <v>#N/A</v>
      </c>
      <c r="F885" t="e">
        <f>VLOOKUP(B885,'[1]Base de datos'!$B:$E,4,FALSE)</f>
        <v>#N/A</v>
      </c>
    </row>
    <row r="886" spans="2:6" x14ac:dyDescent="0.25">
      <c r="B886" s="24"/>
      <c r="C886" s="17"/>
      <c r="D886" s="5" t="e">
        <f>VLOOKUP(B886,'[1]Base de datos'!$B:$F,2,FALSE)</f>
        <v>#N/A</v>
      </c>
      <c r="E886" t="e">
        <f>VLOOKUP(B886,'[1]Base de datos'!$B:$E,3,FALSE)</f>
        <v>#N/A</v>
      </c>
      <c r="F886" t="e">
        <f>VLOOKUP(B886,'[1]Base de datos'!$B:$E,4,FALSE)</f>
        <v>#N/A</v>
      </c>
    </row>
    <row r="887" spans="2:6" x14ac:dyDescent="0.25">
      <c r="B887" s="24"/>
      <c r="C887" s="17"/>
      <c r="D887" s="5" t="e">
        <f>VLOOKUP(B887,'[1]Base de datos'!$B:$F,2,FALSE)</f>
        <v>#N/A</v>
      </c>
      <c r="E887" t="e">
        <f>VLOOKUP(B887,'[1]Base de datos'!$B:$E,3,FALSE)</f>
        <v>#N/A</v>
      </c>
      <c r="F887" t="e">
        <f>VLOOKUP(B887,'[1]Base de datos'!$B:$E,4,FALSE)</f>
        <v>#N/A</v>
      </c>
    </row>
    <row r="888" spans="2:6" x14ac:dyDescent="0.25">
      <c r="B888" s="24"/>
      <c r="C888" s="17"/>
      <c r="D888" s="5" t="e">
        <f>VLOOKUP(B888,'[1]Base de datos'!$B:$F,2,FALSE)</f>
        <v>#N/A</v>
      </c>
      <c r="E888" t="e">
        <f>VLOOKUP(B888,'[1]Base de datos'!$B:$E,3,FALSE)</f>
        <v>#N/A</v>
      </c>
      <c r="F888" t="e">
        <f>VLOOKUP(B888,'[1]Base de datos'!$B:$E,4,FALSE)</f>
        <v>#N/A</v>
      </c>
    </row>
    <row r="889" spans="2:6" x14ac:dyDescent="0.25">
      <c r="B889" s="24"/>
      <c r="C889" s="17"/>
      <c r="D889" s="5" t="e">
        <f>VLOOKUP(B889,'[1]Base de datos'!$B:$F,2,FALSE)</f>
        <v>#N/A</v>
      </c>
      <c r="E889" t="e">
        <f>VLOOKUP(B889,'[1]Base de datos'!$B:$E,3,FALSE)</f>
        <v>#N/A</v>
      </c>
      <c r="F889" t="e">
        <f>VLOOKUP(B889,'[1]Base de datos'!$B:$E,4,FALSE)</f>
        <v>#N/A</v>
      </c>
    </row>
    <row r="890" spans="2:6" x14ac:dyDescent="0.25">
      <c r="B890" s="24"/>
      <c r="C890" s="17"/>
      <c r="D890" s="5" t="e">
        <f>VLOOKUP(B890,'[1]Base de datos'!$B:$F,2,FALSE)</f>
        <v>#N/A</v>
      </c>
      <c r="E890" t="e">
        <f>VLOOKUP(B890,'[1]Base de datos'!$B:$E,3,FALSE)</f>
        <v>#N/A</v>
      </c>
      <c r="F890" t="e">
        <f>VLOOKUP(B890,'[1]Base de datos'!$B:$E,4,FALSE)</f>
        <v>#N/A</v>
      </c>
    </row>
    <row r="891" spans="2:6" x14ac:dyDescent="0.25">
      <c r="B891" s="24"/>
      <c r="C891" s="17"/>
      <c r="D891" s="5" t="e">
        <f>VLOOKUP(B891,'[1]Base de datos'!$B:$F,2,FALSE)</f>
        <v>#N/A</v>
      </c>
      <c r="E891" t="e">
        <f>VLOOKUP(B891,'[1]Base de datos'!$B:$E,3,FALSE)</f>
        <v>#N/A</v>
      </c>
      <c r="F891" t="e">
        <f>VLOOKUP(B891,'[1]Base de datos'!$B:$E,4,FALSE)</f>
        <v>#N/A</v>
      </c>
    </row>
    <row r="892" spans="2:6" x14ac:dyDescent="0.25">
      <c r="B892" s="24"/>
      <c r="C892" s="17"/>
      <c r="D892" s="5" t="e">
        <f>VLOOKUP(B892,'[1]Base de datos'!$B:$F,2,FALSE)</f>
        <v>#N/A</v>
      </c>
      <c r="E892" t="e">
        <f>VLOOKUP(B892,'[1]Base de datos'!$B:$E,3,FALSE)</f>
        <v>#N/A</v>
      </c>
      <c r="F892" t="e">
        <f>VLOOKUP(B892,'[1]Base de datos'!$B:$E,4,FALSE)</f>
        <v>#N/A</v>
      </c>
    </row>
    <row r="893" spans="2:6" x14ac:dyDescent="0.25">
      <c r="B893" s="24"/>
      <c r="C893" s="17"/>
      <c r="D893" s="5" t="e">
        <f>VLOOKUP(B893,'[1]Base de datos'!$B:$F,2,FALSE)</f>
        <v>#N/A</v>
      </c>
      <c r="E893" t="e">
        <f>VLOOKUP(B893,'[1]Base de datos'!$B:$E,3,FALSE)</f>
        <v>#N/A</v>
      </c>
      <c r="F893" t="e">
        <f>VLOOKUP(B893,'[1]Base de datos'!$B:$E,4,FALSE)</f>
        <v>#N/A</v>
      </c>
    </row>
    <row r="894" spans="2:6" x14ac:dyDescent="0.25">
      <c r="B894" s="24"/>
      <c r="C894" s="17"/>
      <c r="D894" s="5" t="e">
        <f>VLOOKUP(B894,'[1]Base de datos'!$B:$F,2,FALSE)</f>
        <v>#N/A</v>
      </c>
      <c r="E894" t="e">
        <f>VLOOKUP(B894,'[1]Base de datos'!$B:$E,3,FALSE)</f>
        <v>#N/A</v>
      </c>
      <c r="F894" t="e">
        <f>VLOOKUP(B894,'[1]Base de datos'!$B:$E,4,FALSE)</f>
        <v>#N/A</v>
      </c>
    </row>
    <row r="895" spans="2:6" x14ac:dyDescent="0.25">
      <c r="B895" s="24"/>
      <c r="C895" s="17"/>
      <c r="D895" s="5" t="e">
        <f>VLOOKUP(B895,'[1]Base de datos'!$B:$F,2,FALSE)</f>
        <v>#N/A</v>
      </c>
      <c r="E895" t="e">
        <f>VLOOKUP(B895,'[1]Base de datos'!$B:$E,3,FALSE)</f>
        <v>#N/A</v>
      </c>
      <c r="F895" t="e">
        <f>VLOOKUP(B895,'[1]Base de datos'!$B:$E,4,FALSE)</f>
        <v>#N/A</v>
      </c>
    </row>
    <row r="896" spans="2:6" x14ac:dyDescent="0.25">
      <c r="B896" s="24"/>
      <c r="C896" s="17"/>
      <c r="D896" s="5" t="e">
        <f>VLOOKUP(B896,'[1]Base de datos'!$B:$F,2,FALSE)</f>
        <v>#N/A</v>
      </c>
      <c r="E896" t="e">
        <f>VLOOKUP(B896,'[1]Base de datos'!$B:$E,3,FALSE)</f>
        <v>#N/A</v>
      </c>
      <c r="F896" t="e">
        <f>VLOOKUP(B896,'[1]Base de datos'!$B:$E,4,FALSE)</f>
        <v>#N/A</v>
      </c>
    </row>
    <row r="897" spans="2:6" x14ac:dyDescent="0.25">
      <c r="B897" s="24"/>
      <c r="C897" s="17"/>
      <c r="D897" s="5" t="e">
        <f>VLOOKUP(B897,'[1]Base de datos'!$B:$F,2,FALSE)</f>
        <v>#N/A</v>
      </c>
      <c r="E897" t="e">
        <f>VLOOKUP(B897,'[1]Base de datos'!$B:$E,3,FALSE)</f>
        <v>#N/A</v>
      </c>
      <c r="F897" t="e">
        <f>VLOOKUP(B897,'[1]Base de datos'!$B:$E,4,FALSE)</f>
        <v>#N/A</v>
      </c>
    </row>
    <row r="898" spans="2:6" x14ac:dyDescent="0.25">
      <c r="B898" s="24"/>
      <c r="C898" s="17"/>
      <c r="D898" s="5" t="e">
        <f>VLOOKUP(B898,'[1]Base de datos'!$B:$F,2,FALSE)</f>
        <v>#N/A</v>
      </c>
      <c r="E898" t="e">
        <f>VLOOKUP(B898,'[1]Base de datos'!$B:$E,3,FALSE)</f>
        <v>#N/A</v>
      </c>
      <c r="F898" t="e">
        <f>VLOOKUP(B898,'[1]Base de datos'!$B:$E,4,FALSE)</f>
        <v>#N/A</v>
      </c>
    </row>
    <row r="899" spans="2:6" x14ac:dyDescent="0.25">
      <c r="B899" s="24"/>
      <c r="C899" s="17"/>
      <c r="D899" s="5" t="e">
        <f>VLOOKUP(B899,'[1]Base de datos'!$B:$F,2,FALSE)</f>
        <v>#N/A</v>
      </c>
      <c r="E899" t="e">
        <f>VLOOKUP(B899,'[1]Base de datos'!$B:$E,3,FALSE)</f>
        <v>#N/A</v>
      </c>
      <c r="F899" t="e">
        <f>VLOOKUP(B899,'[1]Base de datos'!$B:$E,4,FALSE)</f>
        <v>#N/A</v>
      </c>
    </row>
    <row r="900" spans="2:6" x14ac:dyDescent="0.25">
      <c r="B900" s="24"/>
      <c r="C900" s="17"/>
      <c r="D900" s="5" t="e">
        <f>VLOOKUP(B900,'[1]Base de datos'!$B:$F,2,FALSE)</f>
        <v>#N/A</v>
      </c>
      <c r="E900" t="e">
        <f>VLOOKUP(B900,'[1]Base de datos'!$B:$E,3,FALSE)</f>
        <v>#N/A</v>
      </c>
      <c r="F900" t="e">
        <f>VLOOKUP(B900,'[1]Base de datos'!$B:$E,4,FALSE)</f>
        <v>#N/A</v>
      </c>
    </row>
    <row r="901" spans="2:6" x14ac:dyDescent="0.25">
      <c r="B901" s="24"/>
      <c r="C901" s="17"/>
      <c r="D901" s="5" t="e">
        <f>VLOOKUP(B901,'[1]Base de datos'!$B:$F,2,FALSE)</f>
        <v>#N/A</v>
      </c>
      <c r="E901" t="e">
        <f>VLOOKUP(B901,'[1]Base de datos'!$B:$E,3,FALSE)</f>
        <v>#N/A</v>
      </c>
      <c r="F901" t="e">
        <f>VLOOKUP(B901,'[1]Base de datos'!$B:$E,4,FALSE)</f>
        <v>#N/A</v>
      </c>
    </row>
    <row r="902" spans="2:6" x14ac:dyDescent="0.25">
      <c r="B902" s="24"/>
      <c r="C902" s="17"/>
      <c r="D902" s="5" t="e">
        <f>VLOOKUP(B902,'[1]Base de datos'!$B:$F,2,FALSE)</f>
        <v>#N/A</v>
      </c>
      <c r="E902" t="e">
        <f>VLOOKUP(B902,'[1]Base de datos'!$B:$E,3,FALSE)</f>
        <v>#N/A</v>
      </c>
      <c r="F902" t="e">
        <f>VLOOKUP(B902,'[1]Base de datos'!$B:$E,4,FALSE)</f>
        <v>#N/A</v>
      </c>
    </row>
    <row r="903" spans="2:6" x14ac:dyDescent="0.25">
      <c r="B903" s="24"/>
      <c r="C903" s="17"/>
      <c r="D903" s="5" t="e">
        <f>VLOOKUP(B903,'[1]Base de datos'!$B:$F,2,FALSE)</f>
        <v>#N/A</v>
      </c>
      <c r="E903" t="e">
        <f>VLOOKUP(B903,'[1]Base de datos'!$B:$E,3,FALSE)</f>
        <v>#N/A</v>
      </c>
      <c r="F903" t="e">
        <f>VLOOKUP(B903,'[1]Base de datos'!$B:$E,4,FALSE)</f>
        <v>#N/A</v>
      </c>
    </row>
    <row r="904" spans="2:6" x14ac:dyDescent="0.25">
      <c r="B904" s="24"/>
      <c r="C904" s="17"/>
      <c r="D904" s="5" t="e">
        <f>VLOOKUP(B904,'[1]Base de datos'!$B:$F,2,FALSE)</f>
        <v>#N/A</v>
      </c>
      <c r="E904" t="e">
        <f>VLOOKUP(B904,'[1]Base de datos'!$B:$E,3,FALSE)</f>
        <v>#N/A</v>
      </c>
      <c r="F904" t="e">
        <f>VLOOKUP(B904,'[1]Base de datos'!$B:$E,4,FALSE)</f>
        <v>#N/A</v>
      </c>
    </row>
    <row r="905" spans="2:6" x14ac:dyDescent="0.25">
      <c r="B905" s="24"/>
      <c r="C905" s="17"/>
      <c r="D905" s="5" t="e">
        <f>VLOOKUP(B905,'[1]Base de datos'!$B:$F,2,FALSE)</f>
        <v>#N/A</v>
      </c>
      <c r="E905" t="e">
        <f>VLOOKUP(B905,'[1]Base de datos'!$B:$E,3,FALSE)</f>
        <v>#N/A</v>
      </c>
      <c r="F905" t="e">
        <f>VLOOKUP(B905,'[1]Base de datos'!$B:$E,4,FALSE)</f>
        <v>#N/A</v>
      </c>
    </row>
    <row r="906" spans="2:6" x14ac:dyDescent="0.25">
      <c r="B906" s="24"/>
      <c r="C906" s="17"/>
      <c r="D906" s="5" t="e">
        <f>VLOOKUP(B906,'[1]Base de datos'!$B:$F,2,FALSE)</f>
        <v>#N/A</v>
      </c>
      <c r="E906" t="e">
        <f>VLOOKUP(B906,'[1]Base de datos'!$B:$E,3,FALSE)</f>
        <v>#N/A</v>
      </c>
      <c r="F906" t="e">
        <f>VLOOKUP(B906,'[1]Base de datos'!$B:$E,4,FALSE)</f>
        <v>#N/A</v>
      </c>
    </row>
    <row r="907" spans="2:6" x14ac:dyDescent="0.25">
      <c r="B907" s="24"/>
      <c r="C907" s="17"/>
      <c r="D907" s="5" t="e">
        <f>VLOOKUP(B907,'[1]Base de datos'!$B:$F,2,FALSE)</f>
        <v>#N/A</v>
      </c>
      <c r="E907" t="e">
        <f>VLOOKUP(B907,'[1]Base de datos'!$B:$E,3,FALSE)</f>
        <v>#N/A</v>
      </c>
      <c r="F907" t="e">
        <f>VLOOKUP(B907,'[1]Base de datos'!$B:$E,4,FALSE)</f>
        <v>#N/A</v>
      </c>
    </row>
    <row r="908" spans="2:6" x14ac:dyDescent="0.25">
      <c r="B908" s="24"/>
      <c r="C908" s="17"/>
      <c r="D908" s="5" t="e">
        <f>VLOOKUP(B908,'[1]Base de datos'!$B:$F,2,FALSE)</f>
        <v>#N/A</v>
      </c>
      <c r="E908" t="e">
        <f>VLOOKUP(B908,'[1]Base de datos'!$B:$E,3,FALSE)</f>
        <v>#N/A</v>
      </c>
      <c r="F908" t="e">
        <f>VLOOKUP(B908,'[1]Base de datos'!$B:$E,4,FALSE)</f>
        <v>#N/A</v>
      </c>
    </row>
    <row r="909" spans="2:6" x14ac:dyDescent="0.25">
      <c r="B909" s="24"/>
      <c r="C909" s="17"/>
      <c r="D909" s="5" t="e">
        <f>VLOOKUP(B909,'[1]Base de datos'!$B:$F,2,FALSE)</f>
        <v>#N/A</v>
      </c>
      <c r="E909" t="e">
        <f>VLOOKUP(B909,'[1]Base de datos'!$B:$E,3,FALSE)</f>
        <v>#N/A</v>
      </c>
      <c r="F909" t="e">
        <f>VLOOKUP(B909,'[1]Base de datos'!$B:$E,4,FALSE)</f>
        <v>#N/A</v>
      </c>
    </row>
    <row r="910" spans="2:6" x14ac:dyDescent="0.25">
      <c r="B910" s="24"/>
      <c r="C910" s="17"/>
      <c r="D910" s="5" t="e">
        <f>VLOOKUP(B910,'[1]Base de datos'!$B:$F,2,FALSE)</f>
        <v>#N/A</v>
      </c>
      <c r="E910" t="e">
        <f>VLOOKUP(B910,'[1]Base de datos'!$B:$E,3,FALSE)</f>
        <v>#N/A</v>
      </c>
      <c r="F910" t="e">
        <f>VLOOKUP(B910,'[1]Base de datos'!$B:$E,4,FALSE)</f>
        <v>#N/A</v>
      </c>
    </row>
    <row r="911" spans="2:6" x14ac:dyDescent="0.25">
      <c r="B911" s="24"/>
      <c r="C911" s="17"/>
      <c r="D911" s="5" t="e">
        <f>VLOOKUP(B911,'[1]Base de datos'!$B:$F,2,FALSE)</f>
        <v>#N/A</v>
      </c>
      <c r="E911" t="e">
        <f>VLOOKUP(B911,'[1]Base de datos'!$B:$E,3,FALSE)</f>
        <v>#N/A</v>
      </c>
      <c r="F911" t="e">
        <f>VLOOKUP(B911,'[1]Base de datos'!$B:$E,4,FALSE)</f>
        <v>#N/A</v>
      </c>
    </row>
    <row r="912" spans="2:6" x14ac:dyDescent="0.25">
      <c r="B912" s="24"/>
      <c r="C912" s="17"/>
      <c r="D912" s="5" t="e">
        <f>VLOOKUP(B912,'[1]Base de datos'!$B:$F,2,FALSE)</f>
        <v>#N/A</v>
      </c>
      <c r="E912" t="e">
        <f>VLOOKUP(B912,'[1]Base de datos'!$B:$E,3,FALSE)</f>
        <v>#N/A</v>
      </c>
      <c r="F912" t="e">
        <f>VLOOKUP(B912,'[1]Base de datos'!$B:$E,4,FALSE)</f>
        <v>#N/A</v>
      </c>
    </row>
    <row r="913" spans="2:6" x14ac:dyDescent="0.25">
      <c r="B913" s="24"/>
      <c r="C913" s="17"/>
      <c r="D913" s="5" t="e">
        <f>VLOOKUP(B913,'[1]Base de datos'!$B:$F,2,FALSE)</f>
        <v>#N/A</v>
      </c>
      <c r="E913" t="e">
        <f>VLOOKUP(B913,'[1]Base de datos'!$B:$E,3,FALSE)</f>
        <v>#N/A</v>
      </c>
      <c r="F913" t="e">
        <f>VLOOKUP(B913,'[1]Base de datos'!$B:$E,4,FALSE)</f>
        <v>#N/A</v>
      </c>
    </row>
    <row r="914" spans="2:6" x14ac:dyDescent="0.25">
      <c r="B914" s="24"/>
      <c r="C914" s="17"/>
      <c r="D914" s="5" t="e">
        <f>VLOOKUP(B914,'[1]Base de datos'!$B:$F,2,FALSE)</f>
        <v>#N/A</v>
      </c>
      <c r="E914" t="e">
        <f>VLOOKUP(B914,'[1]Base de datos'!$B:$E,3,FALSE)</f>
        <v>#N/A</v>
      </c>
      <c r="F914" t="e">
        <f>VLOOKUP(B914,'[1]Base de datos'!$B:$E,4,FALSE)</f>
        <v>#N/A</v>
      </c>
    </row>
    <row r="915" spans="2:6" x14ac:dyDescent="0.25">
      <c r="B915" s="24"/>
      <c r="C915" s="17"/>
      <c r="D915" s="5" t="e">
        <f>VLOOKUP(B915,'[1]Base de datos'!$B:$F,2,FALSE)</f>
        <v>#N/A</v>
      </c>
      <c r="E915" t="e">
        <f>VLOOKUP(B915,'[1]Base de datos'!$B:$E,3,FALSE)</f>
        <v>#N/A</v>
      </c>
      <c r="F915" t="e">
        <f>VLOOKUP(B915,'[1]Base de datos'!$B:$E,4,FALSE)</f>
        <v>#N/A</v>
      </c>
    </row>
    <row r="916" spans="2:6" x14ac:dyDescent="0.25">
      <c r="B916" s="24"/>
      <c r="C916" s="17"/>
      <c r="D916" s="5" t="e">
        <f>VLOOKUP(B916,'[1]Base de datos'!$B:$F,2,FALSE)</f>
        <v>#N/A</v>
      </c>
      <c r="E916" t="e">
        <f>VLOOKUP(B916,'[1]Base de datos'!$B:$E,3,FALSE)</f>
        <v>#N/A</v>
      </c>
      <c r="F916" t="e">
        <f>VLOOKUP(B916,'[1]Base de datos'!$B:$E,4,FALSE)</f>
        <v>#N/A</v>
      </c>
    </row>
    <row r="917" spans="2:6" x14ac:dyDescent="0.25">
      <c r="B917" s="24"/>
      <c r="C917" s="17"/>
      <c r="D917" s="5" t="e">
        <f>VLOOKUP(B917,'[1]Base de datos'!$B:$F,2,FALSE)</f>
        <v>#N/A</v>
      </c>
      <c r="E917" t="e">
        <f>VLOOKUP(B917,'[1]Base de datos'!$B:$E,3,FALSE)</f>
        <v>#N/A</v>
      </c>
      <c r="F917" t="e">
        <f>VLOOKUP(B917,'[1]Base de datos'!$B:$E,4,FALSE)</f>
        <v>#N/A</v>
      </c>
    </row>
    <row r="918" spans="2:6" x14ac:dyDescent="0.25">
      <c r="B918" s="24"/>
      <c r="C918" s="17"/>
      <c r="D918" s="5" t="e">
        <f>VLOOKUP(B918,'[1]Base de datos'!$B:$F,2,FALSE)</f>
        <v>#N/A</v>
      </c>
      <c r="E918" t="e">
        <f>VLOOKUP(B918,'[1]Base de datos'!$B:$E,3,FALSE)</f>
        <v>#N/A</v>
      </c>
      <c r="F918" t="e">
        <f>VLOOKUP(B918,'[1]Base de datos'!$B:$E,4,FALSE)</f>
        <v>#N/A</v>
      </c>
    </row>
    <row r="919" spans="2:6" x14ac:dyDescent="0.25">
      <c r="B919" s="24"/>
      <c r="C919" s="17"/>
      <c r="D919" s="5" t="e">
        <f>VLOOKUP(B919,'[1]Base de datos'!$B:$F,2,FALSE)</f>
        <v>#N/A</v>
      </c>
      <c r="E919" t="e">
        <f>VLOOKUP(B919,'[1]Base de datos'!$B:$E,3,FALSE)</f>
        <v>#N/A</v>
      </c>
      <c r="F919" t="e">
        <f>VLOOKUP(B919,'[1]Base de datos'!$B:$E,4,FALSE)</f>
        <v>#N/A</v>
      </c>
    </row>
    <row r="920" spans="2:6" x14ac:dyDescent="0.25">
      <c r="B920" s="24"/>
      <c r="C920" s="17"/>
      <c r="D920" s="5" t="e">
        <f>VLOOKUP(B920,'[1]Base de datos'!$B:$F,2,FALSE)</f>
        <v>#N/A</v>
      </c>
      <c r="E920" t="e">
        <f>VLOOKUP(B920,'[1]Base de datos'!$B:$E,3,FALSE)</f>
        <v>#N/A</v>
      </c>
      <c r="F920" t="e">
        <f>VLOOKUP(B920,'[1]Base de datos'!$B:$E,4,FALSE)</f>
        <v>#N/A</v>
      </c>
    </row>
    <row r="921" spans="2:6" x14ac:dyDescent="0.25">
      <c r="B921" s="24"/>
      <c r="C921" s="17"/>
      <c r="D921" s="5" t="e">
        <f>VLOOKUP(B921,'[1]Base de datos'!$B:$F,2,FALSE)</f>
        <v>#N/A</v>
      </c>
      <c r="E921" t="e">
        <f>VLOOKUP(B921,'[1]Base de datos'!$B:$E,3,FALSE)</f>
        <v>#N/A</v>
      </c>
      <c r="F921" t="e">
        <f>VLOOKUP(B921,'[1]Base de datos'!$B:$E,4,FALSE)</f>
        <v>#N/A</v>
      </c>
    </row>
    <row r="922" spans="2:6" x14ac:dyDescent="0.25">
      <c r="B922" s="24"/>
      <c r="C922" s="17"/>
      <c r="D922" s="5" t="e">
        <f>VLOOKUP(B922,'[1]Base de datos'!$B:$F,2,FALSE)</f>
        <v>#N/A</v>
      </c>
      <c r="E922" t="e">
        <f>VLOOKUP(B922,'[1]Base de datos'!$B:$E,3,FALSE)</f>
        <v>#N/A</v>
      </c>
      <c r="F922" t="e">
        <f>VLOOKUP(B922,'[1]Base de datos'!$B:$E,4,FALSE)</f>
        <v>#N/A</v>
      </c>
    </row>
    <row r="923" spans="2:6" x14ac:dyDescent="0.25">
      <c r="B923" s="24"/>
      <c r="C923" s="17"/>
      <c r="D923" s="5" t="e">
        <f>VLOOKUP(B923,'[1]Base de datos'!$B:$F,2,FALSE)</f>
        <v>#N/A</v>
      </c>
      <c r="E923" t="e">
        <f>VLOOKUP(B923,'[1]Base de datos'!$B:$E,3,FALSE)</f>
        <v>#N/A</v>
      </c>
      <c r="F923" t="e">
        <f>VLOOKUP(B923,'[1]Base de datos'!$B:$E,4,FALSE)</f>
        <v>#N/A</v>
      </c>
    </row>
    <row r="924" spans="2:6" x14ac:dyDescent="0.25">
      <c r="B924" s="24"/>
      <c r="C924" s="17"/>
      <c r="D924" s="5" t="e">
        <f>VLOOKUP(B924,'[1]Base de datos'!$B:$F,2,FALSE)</f>
        <v>#N/A</v>
      </c>
      <c r="E924" t="e">
        <f>VLOOKUP(B924,'[1]Base de datos'!$B:$E,3,FALSE)</f>
        <v>#N/A</v>
      </c>
      <c r="F924" t="e">
        <f>VLOOKUP(B924,'[1]Base de datos'!$B:$E,4,FALSE)</f>
        <v>#N/A</v>
      </c>
    </row>
    <row r="925" spans="2:6" x14ac:dyDescent="0.25">
      <c r="B925" s="24"/>
      <c r="C925" s="17"/>
      <c r="D925" s="5" t="e">
        <f>VLOOKUP(B925,'[1]Base de datos'!$B:$F,2,FALSE)</f>
        <v>#N/A</v>
      </c>
      <c r="E925" t="e">
        <f>VLOOKUP(B925,'[1]Base de datos'!$B:$E,3,FALSE)</f>
        <v>#N/A</v>
      </c>
      <c r="F925" t="e">
        <f>VLOOKUP(B925,'[1]Base de datos'!$B:$E,4,FALSE)</f>
        <v>#N/A</v>
      </c>
    </row>
    <row r="926" spans="2:6" x14ac:dyDescent="0.25">
      <c r="B926" s="24"/>
      <c r="C926" s="17"/>
      <c r="D926" s="5" t="e">
        <f>VLOOKUP(B926,'[1]Base de datos'!$B:$F,2,FALSE)</f>
        <v>#N/A</v>
      </c>
      <c r="E926" t="e">
        <f>VLOOKUP(B926,'[1]Base de datos'!$B:$E,3,FALSE)</f>
        <v>#N/A</v>
      </c>
      <c r="F926" t="e">
        <f>VLOOKUP(B926,'[1]Base de datos'!$B:$E,4,FALSE)</f>
        <v>#N/A</v>
      </c>
    </row>
    <row r="927" spans="2:6" x14ac:dyDescent="0.25">
      <c r="B927" s="24"/>
      <c r="C927" s="17"/>
      <c r="D927" s="5" t="e">
        <f>VLOOKUP(B927,'[1]Base de datos'!$B:$F,2,FALSE)</f>
        <v>#N/A</v>
      </c>
      <c r="E927" t="e">
        <f>VLOOKUP(B927,'[1]Base de datos'!$B:$E,3,FALSE)</f>
        <v>#N/A</v>
      </c>
      <c r="F927" t="e">
        <f>VLOOKUP(B927,'[1]Base de datos'!$B:$E,4,FALSE)</f>
        <v>#N/A</v>
      </c>
    </row>
    <row r="928" spans="2:6" x14ac:dyDescent="0.25">
      <c r="B928" s="24"/>
      <c r="C928" s="17"/>
      <c r="D928" s="5" t="e">
        <f>VLOOKUP(B928,'[1]Base de datos'!$B:$F,2,FALSE)</f>
        <v>#N/A</v>
      </c>
      <c r="E928" t="e">
        <f>VLOOKUP(B928,'[1]Base de datos'!$B:$E,3,FALSE)</f>
        <v>#N/A</v>
      </c>
      <c r="F928" t="e">
        <f>VLOOKUP(B928,'[1]Base de datos'!$B:$E,4,FALSE)</f>
        <v>#N/A</v>
      </c>
    </row>
    <row r="929" spans="2:6" x14ac:dyDescent="0.25">
      <c r="B929" s="24"/>
      <c r="C929" s="17"/>
      <c r="D929" s="5" t="e">
        <f>VLOOKUP(B929,'[1]Base de datos'!$B:$F,2,FALSE)</f>
        <v>#N/A</v>
      </c>
      <c r="E929" t="e">
        <f>VLOOKUP(B929,'[1]Base de datos'!$B:$E,3,FALSE)</f>
        <v>#N/A</v>
      </c>
      <c r="F929" t="e">
        <f>VLOOKUP(B929,'[1]Base de datos'!$B:$E,4,FALSE)</f>
        <v>#N/A</v>
      </c>
    </row>
    <row r="930" spans="2:6" x14ac:dyDescent="0.25">
      <c r="B930" s="24"/>
      <c r="C930" s="17"/>
      <c r="D930" s="5" t="e">
        <f>VLOOKUP(B930,'[1]Base de datos'!$B:$F,2,FALSE)</f>
        <v>#N/A</v>
      </c>
      <c r="E930" t="e">
        <f>VLOOKUP(B930,'[1]Base de datos'!$B:$E,3,FALSE)</f>
        <v>#N/A</v>
      </c>
      <c r="F930" t="e">
        <f>VLOOKUP(B930,'[1]Base de datos'!$B:$E,4,FALSE)</f>
        <v>#N/A</v>
      </c>
    </row>
    <row r="931" spans="2:6" x14ac:dyDescent="0.25">
      <c r="B931" s="24"/>
      <c r="C931" s="17"/>
      <c r="D931" s="5" t="e">
        <f>VLOOKUP(B931,'[1]Base de datos'!$B:$F,2,FALSE)</f>
        <v>#N/A</v>
      </c>
      <c r="E931" t="e">
        <f>VLOOKUP(B931,'[1]Base de datos'!$B:$E,3,FALSE)</f>
        <v>#N/A</v>
      </c>
      <c r="F931" t="e">
        <f>VLOOKUP(B931,'[1]Base de datos'!$B:$E,4,FALSE)</f>
        <v>#N/A</v>
      </c>
    </row>
    <row r="932" spans="2:6" x14ac:dyDescent="0.25">
      <c r="B932" s="24"/>
      <c r="C932" s="17"/>
      <c r="D932" s="5" t="e">
        <f>VLOOKUP(B932,'[1]Base de datos'!$B:$F,2,FALSE)</f>
        <v>#N/A</v>
      </c>
      <c r="E932" t="e">
        <f>VLOOKUP(B932,'[1]Base de datos'!$B:$E,3,FALSE)</f>
        <v>#N/A</v>
      </c>
      <c r="F932" t="e">
        <f>VLOOKUP(B932,'[1]Base de datos'!$B:$E,4,FALSE)</f>
        <v>#N/A</v>
      </c>
    </row>
    <row r="933" spans="2:6" x14ac:dyDescent="0.25">
      <c r="B933" s="24"/>
      <c r="C933" s="17"/>
      <c r="D933" s="5" t="e">
        <f>VLOOKUP(B933,'[1]Base de datos'!$B:$F,2,FALSE)</f>
        <v>#N/A</v>
      </c>
      <c r="E933" t="e">
        <f>VLOOKUP(B933,'[1]Base de datos'!$B:$E,3,FALSE)</f>
        <v>#N/A</v>
      </c>
      <c r="F933" t="e">
        <f>VLOOKUP(B933,'[1]Base de datos'!$B:$E,4,FALSE)</f>
        <v>#N/A</v>
      </c>
    </row>
    <row r="934" spans="2:6" x14ac:dyDescent="0.25">
      <c r="B934" s="24"/>
      <c r="C934" s="17"/>
      <c r="D934" s="5" t="e">
        <f>VLOOKUP(B934,'[1]Base de datos'!$B:$F,2,FALSE)</f>
        <v>#N/A</v>
      </c>
      <c r="E934" t="e">
        <f>VLOOKUP(B934,'[1]Base de datos'!$B:$E,3,FALSE)</f>
        <v>#N/A</v>
      </c>
      <c r="F934" t="e">
        <f>VLOOKUP(B934,'[1]Base de datos'!$B:$E,4,FALSE)</f>
        <v>#N/A</v>
      </c>
    </row>
    <row r="935" spans="2:6" x14ac:dyDescent="0.25">
      <c r="B935" s="24"/>
      <c r="C935" s="17"/>
      <c r="D935" s="5" t="e">
        <f>VLOOKUP(B935,'[1]Base de datos'!$B:$F,2,FALSE)</f>
        <v>#N/A</v>
      </c>
      <c r="E935" t="e">
        <f>VLOOKUP(B935,'[1]Base de datos'!$B:$E,3,FALSE)</f>
        <v>#N/A</v>
      </c>
      <c r="F935" t="e">
        <f>VLOOKUP(B935,'[1]Base de datos'!$B:$E,4,FALSE)</f>
        <v>#N/A</v>
      </c>
    </row>
    <row r="936" spans="2:6" x14ac:dyDescent="0.25">
      <c r="B936" s="24"/>
      <c r="C936" s="17"/>
      <c r="D936" s="5" t="e">
        <f>VLOOKUP(B936,'[1]Base de datos'!$B:$F,2,FALSE)</f>
        <v>#N/A</v>
      </c>
      <c r="E936" t="e">
        <f>VLOOKUP(B936,'[1]Base de datos'!$B:$E,3,FALSE)</f>
        <v>#N/A</v>
      </c>
      <c r="F936" t="e">
        <f>VLOOKUP(B936,'[1]Base de datos'!$B:$E,4,FALSE)</f>
        <v>#N/A</v>
      </c>
    </row>
    <row r="937" spans="2:6" x14ac:dyDescent="0.25">
      <c r="B937" s="24"/>
      <c r="C937" s="17"/>
      <c r="D937" s="5" t="e">
        <f>VLOOKUP(B937,'[1]Base de datos'!$B:$F,2,FALSE)</f>
        <v>#N/A</v>
      </c>
      <c r="E937" t="e">
        <f>VLOOKUP(B937,'[1]Base de datos'!$B:$E,3,FALSE)</f>
        <v>#N/A</v>
      </c>
      <c r="F937" t="e">
        <f>VLOOKUP(B937,'[1]Base de datos'!$B:$E,4,FALSE)</f>
        <v>#N/A</v>
      </c>
    </row>
    <row r="938" spans="2:6" x14ac:dyDescent="0.25">
      <c r="B938" s="24"/>
      <c r="C938" s="17"/>
      <c r="D938" s="5" t="e">
        <f>VLOOKUP(B938,'[1]Base de datos'!$B:$F,2,FALSE)</f>
        <v>#N/A</v>
      </c>
      <c r="E938" t="e">
        <f>VLOOKUP(B938,'[1]Base de datos'!$B:$E,3,FALSE)</f>
        <v>#N/A</v>
      </c>
      <c r="F938" t="e">
        <f>VLOOKUP(B938,'[1]Base de datos'!$B:$E,4,FALSE)</f>
        <v>#N/A</v>
      </c>
    </row>
    <row r="939" spans="2:6" x14ac:dyDescent="0.25">
      <c r="B939" s="24"/>
      <c r="C939" s="17"/>
      <c r="D939" s="5" t="e">
        <f>VLOOKUP(B939,'[1]Base de datos'!$B:$F,2,FALSE)</f>
        <v>#N/A</v>
      </c>
      <c r="E939" t="e">
        <f>VLOOKUP(B939,'[1]Base de datos'!$B:$E,3,FALSE)</f>
        <v>#N/A</v>
      </c>
      <c r="F939" t="e">
        <f>VLOOKUP(B939,'[1]Base de datos'!$B:$E,4,FALSE)</f>
        <v>#N/A</v>
      </c>
    </row>
    <row r="940" spans="2:6" x14ac:dyDescent="0.25">
      <c r="B940" s="24"/>
      <c r="C940" s="17"/>
      <c r="D940" s="5" t="e">
        <f>VLOOKUP(B940,'[1]Base de datos'!$B:$F,2,FALSE)</f>
        <v>#N/A</v>
      </c>
      <c r="E940" t="e">
        <f>VLOOKUP(B940,'[1]Base de datos'!$B:$E,3,FALSE)</f>
        <v>#N/A</v>
      </c>
      <c r="F940" t="e">
        <f>VLOOKUP(B940,'[1]Base de datos'!$B:$E,4,FALSE)</f>
        <v>#N/A</v>
      </c>
    </row>
    <row r="941" spans="2:6" x14ac:dyDescent="0.25">
      <c r="B941" s="24"/>
      <c r="C941" s="17"/>
      <c r="D941" s="5" t="e">
        <f>VLOOKUP(B941,'[1]Base de datos'!$B:$F,2,FALSE)</f>
        <v>#N/A</v>
      </c>
      <c r="E941" t="e">
        <f>VLOOKUP(B941,'[1]Base de datos'!$B:$E,3,FALSE)</f>
        <v>#N/A</v>
      </c>
      <c r="F941" t="e">
        <f>VLOOKUP(B941,'[1]Base de datos'!$B:$E,4,FALSE)</f>
        <v>#N/A</v>
      </c>
    </row>
    <row r="942" spans="2:6" x14ac:dyDescent="0.25">
      <c r="B942" s="24"/>
      <c r="C942" s="17"/>
      <c r="D942" s="5" t="e">
        <f>VLOOKUP(B942,'[1]Base de datos'!$B:$F,2,FALSE)</f>
        <v>#N/A</v>
      </c>
      <c r="E942" t="e">
        <f>VLOOKUP(B942,'[1]Base de datos'!$B:$E,3,FALSE)</f>
        <v>#N/A</v>
      </c>
      <c r="F942" t="e">
        <f>VLOOKUP(B942,'[1]Base de datos'!$B:$E,4,FALSE)</f>
        <v>#N/A</v>
      </c>
    </row>
    <row r="943" spans="2:6" x14ac:dyDescent="0.25">
      <c r="B943" s="24"/>
      <c r="C943" s="17"/>
      <c r="D943" s="5" t="e">
        <f>VLOOKUP(B943,'[1]Base de datos'!$B:$F,2,FALSE)</f>
        <v>#N/A</v>
      </c>
      <c r="E943" t="e">
        <f>VLOOKUP(B943,'[1]Base de datos'!$B:$E,3,FALSE)</f>
        <v>#N/A</v>
      </c>
      <c r="F943" t="e">
        <f>VLOOKUP(B943,'[1]Base de datos'!$B:$E,4,FALSE)</f>
        <v>#N/A</v>
      </c>
    </row>
    <row r="944" spans="2:6" x14ac:dyDescent="0.25">
      <c r="B944" s="24"/>
      <c r="C944" s="17"/>
      <c r="D944" s="5" t="e">
        <f>VLOOKUP(B944,'[1]Base de datos'!$B:$F,2,FALSE)</f>
        <v>#N/A</v>
      </c>
      <c r="E944" t="e">
        <f>VLOOKUP(B944,'[1]Base de datos'!$B:$E,3,FALSE)</f>
        <v>#N/A</v>
      </c>
      <c r="F944" t="e">
        <f>VLOOKUP(B944,'[1]Base de datos'!$B:$E,4,FALSE)</f>
        <v>#N/A</v>
      </c>
    </row>
    <row r="945" spans="2:6" x14ac:dyDescent="0.25">
      <c r="B945" s="24"/>
      <c r="C945" s="17"/>
      <c r="D945" s="5" t="e">
        <f>VLOOKUP(B945,'[1]Base de datos'!$B:$F,2,FALSE)</f>
        <v>#N/A</v>
      </c>
      <c r="E945" t="e">
        <f>VLOOKUP(B945,'[1]Base de datos'!$B:$E,3,FALSE)</f>
        <v>#N/A</v>
      </c>
      <c r="F945" t="e">
        <f>VLOOKUP(B945,'[1]Base de datos'!$B:$E,4,FALSE)</f>
        <v>#N/A</v>
      </c>
    </row>
    <row r="946" spans="2:6" x14ac:dyDescent="0.25">
      <c r="B946" s="24"/>
      <c r="C946" s="17"/>
      <c r="D946" s="5" t="e">
        <f>VLOOKUP(B946,'[1]Base de datos'!$B:$F,2,FALSE)</f>
        <v>#N/A</v>
      </c>
      <c r="E946" t="e">
        <f>VLOOKUP(B946,'[1]Base de datos'!$B:$E,3,FALSE)</f>
        <v>#N/A</v>
      </c>
      <c r="F946" t="e">
        <f>VLOOKUP(B946,'[1]Base de datos'!$B:$E,4,FALSE)</f>
        <v>#N/A</v>
      </c>
    </row>
    <row r="947" spans="2:6" x14ac:dyDescent="0.25">
      <c r="B947" s="24"/>
      <c r="C947" s="17"/>
      <c r="D947" s="5" t="e">
        <f>VLOOKUP(B947,'[1]Base de datos'!$B:$F,2,FALSE)</f>
        <v>#N/A</v>
      </c>
      <c r="E947" t="e">
        <f>VLOOKUP(B947,'[1]Base de datos'!$B:$E,3,FALSE)</f>
        <v>#N/A</v>
      </c>
      <c r="F947" t="e">
        <f>VLOOKUP(B947,'[1]Base de datos'!$B:$E,4,FALSE)</f>
        <v>#N/A</v>
      </c>
    </row>
    <row r="948" spans="2:6" x14ac:dyDescent="0.25">
      <c r="B948" s="24"/>
      <c r="C948" s="17"/>
      <c r="D948" s="5" t="e">
        <f>VLOOKUP(B948,'[1]Base de datos'!$B:$F,2,FALSE)</f>
        <v>#N/A</v>
      </c>
      <c r="E948" t="e">
        <f>VLOOKUP(B948,'[1]Base de datos'!$B:$E,3,FALSE)</f>
        <v>#N/A</v>
      </c>
      <c r="F948" t="e">
        <f>VLOOKUP(B948,'[1]Base de datos'!$B:$E,4,FALSE)</f>
        <v>#N/A</v>
      </c>
    </row>
    <row r="949" spans="2:6" x14ac:dyDescent="0.25">
      <c r="B949" s="24"/>
      <c r="C949" s="17"/>
      <c r="D949" s="5" t="e">
        <f>VLOOKUP(B949,'[1]Base de datos'!$B:$F,2,FALSE)</f>
        <v>#N/A</v>
      </c>
      <c r="E949" t="e">
        <f>VLOOKUP(B949,'[1]Base de datos'!$B:$E,3,FALSE)</f>
        <v>#N/A</v>
      </c>
      <c r="F949" t="e">
        <f>VLOOKUP(B949,'[1]Base de datos'!$B:$E,4,FALSE)</f>
        <v>#N/A</v>
      </c>
    </row>
    <row r="950" spans="2:6" x14ac:dyDescent="0.25">
      <c r="B950" s="24"/>
      <c r="C950" s="17"/>
      <c r="D950" s="5" t="e">
        <f>VLOOKUP(B950,'[1]Base de datos'!$B:$F,2,FALSE)</f>
        <v>#N/A</v>
      </c>
      <c r="E950" t="e">
        <f>VLOOKUP(B950,'[1]Base de datos'!$B:$E,3,FALSE)</f>
        <v>#N/A</v>
      </c>
      <c r="F950" t="e">
        <f>VLOOKUP(B950,'[1]Base de datos'!$B:$E,4,FALSE)</f>
        <v>#N/A</v>
      </c>
    </row>
    <row r="951" spans="2:6" x14ac:dyDescent="0.25">
      <c r="B951" s="24"/>
      <c r="C951" s="17"/>
      <c r="D951" s="5" t="e">
        <f>VLOOKUP(B951,'[1]Base de datos'!$B:$F,2,FALSE)</f>
        <v>#N/A</v>
      </c>
      <c r="E951" t="e">
        <f>VLOOKUP(B951,'[1]Base de datos'!$B:$E,3,FALSE)</f>
        <v>#N/A</v>
      </c>
      <c r="F951" t="e">
        <f>VLOOKUP(B951,'[1]Base de datos'!$B:$E,4,FALSE)</f>
        <v>#N/A</v>
      </c>
    </row>
    <row r="952" spans="2:6" x14ac:dyDescent="0.25">
      <c r="B952" s="24"/>
      <c r="C952" s="17"/>
      <c r="D952" s="5" t="e">
        <f>VLOOKUP(B952,'[1]Base de datos'!$B:$F,2,FALSE)</f>
        <v>#N/A</v>
      </c>
      <c r="E952" t="e">
        <f>VLOOKUP(B952,'[1]Base de datos'!$B:$E,3,FALSE)</f>
        <v>#N/A</v>
      </c>
      <c r="F952" t="e">
        <f>VLOOKUP(B952,'[1]Base de datos'!$B:$E,4,FALSE)</f>
        <v>#N/A</v>
      </c>
    </row>
    <row r="953" spans="2:6" x14ac:dyDescent="0.25">
      <c r="B953" s="24"/>
      <c r="C953" s="17"/>
      <c r="D953" s="5" t="e">
        <f>VLOOKUP(B953,'[1]Base de datos'!$B:$F,2,FALSE)</f>
        <v>#N/A</v>
      </c>
      <c r="E953" t="e">
        <f>VLOOKUP(B953,'[1]Base de datos'!$B:$E,3,FALSE)</f>
        <v>#N/A</v>
      </c>
      <c r="F953" t="e">
        <f>VLOOKUP(B953,'[1]Base de datos'!$B:$E,4,FALSE)</f>
        <v>#N/A</v>
      </c>
    </row>
    <row r="954" spans="2:6" x14ac:dyDescent="0.25">
      <c r="B954" s="24"/>
      <c r="C954" s="17"/>
      <c r="D954" s="5" t="e">
        <f>VLOOKUP(B954,'[1]Base de datos'!$B:$F,2,FALSE)</f>
        <v>#N/A</v>
      </c>
      <c r="E954" t="e">
        <f>VLOOKUP(B954,'[1]Base de datos'!$B:$E,3,FALSE)</f>
        <v>#N/A</v>
      </c>
      <c r="F954" t="e">
        <f>VLOOKUP(B954,'[1]Base de datos'!$B:$E,4,FALSE)</f>
        <v>#N/A</v>
      </c>
    </row>
    <row r="955" spans="2:6" x14ac:dyDescent="0.25">
      <c r="B955" s="24"/>
      <c r="C955" s="17"/>
      <c r="D955" s="5" t="e">
        <f>VLOOKUP(B955,'[1]Base de datos'!$B:$F,2,FALSE)</f>
        <v>#N/A</v>
      </c>
      <c r="E955" t="e">
        <f>VLOOKUP(B955,'[1]Base de datos'!$B:$E,3,FALSE)</f>
        <v>#N/A</v>
      </c>
      <c r="F955" t="e">
        <f>VLOOKUP(B955,'[1]Base de datos'!$B:$E,4,FALSE)</f>
        <v>#N/A</v>
      </c>
    </row>
    <row r="956" spans="2:6" x14ac:dyDescent="0.25">
      <c r="B956" s="24"/>
      <c r="C956" s="17"/>
      <c r="D956" s="5" t="e">
        <f>VLOOKUP(B956,'[1]Base de datos'!$B:$F,2,FALSE)</f>
        <v>#N/A</v>
      </c>
      <c r="E956" t="e">
        <f>VLOOKUP(B956,'[1]Base de datos'!$B:$E,3,FALSE)</f>
        <v>#N/A</v>
      </c>
      <c r="F956" t="e">
        <f>VLOOKUP(B956,'[1]Base de datos'!$B:$E,4,FALSE)</f>
        <v>#N/A</v>
      </c>
    </row>
    <row r="957" spans="2:6" x14ac:dyDescent="0.25">
      <c r="B957" s="24"/>
      <c r="C957" s="17"/>
      <c r="D957" s="5" t="e">
        <f>VLOOKUP(B957,'[1]Base de datos'!$B:$F,2,FALSE)</f>
        <v>#N/A</v>
      </c>
      <c r="E957" t="e">
        <f>VLOOKUP(B957,'[1]Base de datos'!$B:$E,3,FALSE)</f>
        <v>#N/A</v>
      </c>
      <c r="F957" t="e">
        <f>VLOOKUP(B957,'[1]Base de datos'!$B:$E,4,FALSE)</f>
        <v>#N/A</v>
      </c>
    </row>
    <row r="958" spans="2:6" x14ac:dyDescent="0.25">
      <c r="B958" s="24"/>
      <c r="C958" s="17"/>
      <c r="D958" s="5" t="e">
        <f>VLOOKUP(B958,'[1]Base de datos'!$B:$F,2,FALSE)</f>
        <v>#N/A</v>
      </c>
      <c r="E958" t="e">
        <f>VLOOKUP(B958,'[1]Base de datos'!$B:$E,3,FALSE)</f>
        <v>#N/A</v>
      </c>
      <c r="F958" t="e">
        <f>VLOOKUP(B958,'[1]Base de datos'!$B:$E,4,FALSE)</f>
        <v>#N/A</v>
      </c>
    </row>
    <row r="959" spans="2:6" x14ac:dyDescent="0.25">
      <c r="B959" s="24"/>
      <c r="C959" s="17"/>
      <c r="D959" s="5" t="e">
        <f>VLOOKUP(B959,'[1]Base de datos'!$B:$F,2,FALSE)</f>
        <v>#N/A</v>
      </c>
      <c r="E959" t="e">
        <f>VLOOKUP(B959,'[1]Base de datos'!$B:$E,3,FALSE)</f>
        <v>#N/A</v>
      </c>
      <c r="F959" t="e">
        <f>VLOOKUP(B959,'[1]Base de datos'!$B:$E,4,FALSE)</f>
        <v>#N/A</v>
      </c>
    </row>
    <row r="960" spans="2:6" x14ac:dyDescent="0.25">
      <c r="B960" s="24"/>
      <c r="C960" s="17"/>
      <c r="D960" s="5" t="e">
        <f>VLOOKUP(B960,'[1]Base de datos'!$B:$F,2,FALSE)</f>
        <v>#N/A</v>
      </c>
      <c r="E960" t="e">
        <f>VLOOKUP(B960,'[1]Base de datos'!$B:$E,3,FALSE)</f>
        <v>#N/A</v>
      </c>
      <c r="F960" t="e">
        <f>VLOOKUP(B960,'[1]Base de datos'!$B:$E,4,FALSE)</f>
        <v>#N/A</v>
      </c>
    </row>
    <row r="961" spans="2:6" x14ac:dyDescent="0.25">
      <c r="B961" s="24"/>
      <c r="C961" s="17"/>
      <c r="D961" s="5" t="e">
        <f>VLOOKUP(B961,'[1]Base de datos'!$B:$F,2,FALSE)</f>
        <v>#N/A</v>
      </c>
      <c r="E961" t="e">
        <f>VLOOKUP(B961,'[1]Base de datos'!$B:$E,3,FALSE)</f>
        <v>#N/A</v>
      </c>
      <c r="F961" t="e">
        <f>VLOOKUP(B961,'[1]Base de datos'!$B:$E,4,FALSE)</f>
        <v>#N/A</v>
      </c>
    </row>
    <row r="962" spans="2:6" x14ac:dyDescent="0.25">
      <c r="B962" s="24"/>
      <c r="C962" s="17"/>
      <c r="D962" s="5" t="e">
        <f>VLOOKUP(B962,'[1]Base de datos'!$B:$F,2,FALSE)</f>
        <v>#N/A</v>
      </c>
      <c r="E962" t="e">
        <f>VLOOKUP(B962,'[1]Base de datos'!$B:$E,3,FALSE)</f>
        <v>#N/A</v>
      </c>
      <c r="F962" t="e">
        <f>VLOOKUP(B962,'[1]Base de datos'!$B:$E,4,FALSE)</f>
        <v>#N/A</v>
      </c>
    </row>
    <row r="963" spans="2:6" x14ac:dyDescent="0.25">
      <c r="B963" s="24"/>
      <c r="C963" s="17"/>
      <c r="D963" s="5" t="e">
        <f>VLOOKUP(B963,'[1]Base de datos'!$B:$F,2,FALSE)</f>
        <v>#N/A</v>
      </c>
      <c r="E963" t="e">
        <f>VLOOKUP(B963,'[1]Base de datos'!$B:$E,3,FALSE)</f>
        <v>#N/A</v>
      </c>
      <c r="F963" t="e">
        <f>VLOOKUP(B963,'[1]Base de datos'!$B:$E,4,FALSE)</f>
        <v>#N/A</v>
      </c>
    </row>
    <row r="964" spans="2:6" x14ac:dyDescent="0.25">
      <c r="B964" s="24"/>
      <c r="C964" s="17"/>
      <c r="D964" s="5" t="e">
        <f>VLOOKUP(B964,'[1]Base de datos'!$B:$F,2,FALSE)</f>
        <v>#N/A</v>
      </c>
      <c r="E964" t="e">
        <f>VLOOKUP(B964,'[1]Base de datos'!$B:$E,3,FALSE)</f>
        <v>#N/A</v>
      </c>
      <c r="F964" t="e">
        <f>VLOOKUP(B964,'[1]Base de datos'!$B:$E,4,FALSE)</f>
        <v>#N/A</v>
      </c>
    </row>
    <row r="965" spans="2:6" x14ac:dyDescent="0.25">
      <c r="B965" s="24"/>
      <c r="C965" s="17"/>
      <c r="D965" s="5" t="e">
        <f>VLOOKUP(B965,'[1]Base de datos'!$B:$F,2,FALSE)</f>
        <v>#N/A</v>
      </c>
      <c r="E965" t="e">
        <f>VLOOKUP(B965,'[1]Base de datos'!$B:$E,3,FALSE)</f>
        <v>#N/A</v>
      </c>
      <c r="F965" t="e">
        <f>VLOOKUP(B965,'[1]Base de datos'!$B:$E,4,FALSE)</f>
        <v>#N/A</v>
      </c>
    </row>
    <row r="966" spans="2:6" x14ac:dyDescent="0.25">
      <c r="B966" s="24"/>
      <c r="C966" s="17"/>
      <c r="D966" s="5" t="e">
        <f>VLOOKUP(B966,'[1]Base de datos'!$B:$F,2,FALSE)</f>
        <v>#N/A</v>
      </c>
      <c r="E966" t="e">
        <f>VLOOKUP(B966,'[1]Base de datos'!$B:$E,3,FALSE)</f>
        <v>#N/A</v>
      </c>
      <c r="F966" t="e">
        <f>VLOOKUP(B966,'[1]Base de datos'!$B:$E,4,FALSE)</f>
        <v>#N/A</v>
      </c>
    </row>
    <row r="967" spans="2:6" x14ac:dyDescent="0.25">
      <c r="B967" s="24"/>
      <c r="C967" s="17"/>
      <c r="D967" s="5" t="e">
        <f>VLOOKUP(B967,'[1]Base de datos'!$B:$F,2,FALSE)</f>
        <v>#N/A</v>
      </c>
      <c r="E967" t="e">
        <f>VLOOKUP(B967,'[1]Base de datos'!$B:$E,3,FALSE)</f>
        <v>#N/A</v>
      </c>
      <c r="F967" t="e">
        <f>VLOOKUP(B967,'[1]Base de datos'!$B:$E,4,FALSE)</f>
        <v>#N/A</v>
      </c>
    </row>
    <row r="968" spans="2:6" x14ac:dyDescent="0.25">
      <c r="B968" s="24"/>
      <c r="C968" s="17"/>
      <c r="D968" s="5" t="e">
        <f>VLOOKUP(B968,'[1]Base de datos'!$B:$F,2,FALSE)</f>
        <v>#N/A</v>
      </c>
      <c r="E968" t="e">
        <f>VLOOKUP(B968,'[1]Base de datos'!$B:$E,3,FALSE)</f>
        <v>#N/A</v>
      </c>
      <c r="F968" t="e">
        <f>VLOOKUP(B968,'[1]Base de datos'!$B:$E,4,FALSE)</f>
        <v>#N/A</v>
      </c>
    </row>
    <row r="969" spans="2:6" x14ac:dyDescent="0.25">
      <c r="B969" s="24"/>
      <c r="C969" s="17"/>
      <c r="D969" s="5" t="e">
        <f>VLOOKUP(B969,'[1]Base de datos'!$B:$F,2,FALSE)</f>
        <v>#N/A</v>
      </c>
      <c r="E969" t="e">
        <f>VLOOKUP(B969,'[1]Base de datos'!$B:$E,3,FALSE)</f>
        <v>#N/A</v>
      </c>
      <c r="F969" t="e">
        <f>VLOOKUP(B969,'[1]Base de datos'!$B:$E,4,FALSE)</f>
        <v>#N/A</v>
      </c>
    </row>
    <row r="970" spans="2:6" x14ac:dyDescent="0.25">
      <c r="B970" s="24"/>
      <c r="C970" s="17"/>
      <c r="D970" s="5" t="e">
        <f>VLOOKUP(B970,'[1]Base de datos'!$B:$F,2,FALSE)</f>
        <v>#N/A</v>
      </c>
      <c r="E970" t="e">
        <f>VLOOKUP(B970,'[1]Base de datos'!$B:$E,3,FALSE)</f>
        <v>#N/A</v>
      </c>
      <c r="F970" t="e">
        <f>VLOOKUP(B970,'[1]Base de datos'!$B:$E,4,FALSE)</f>
        <v>#N/A</v>
      </c>
    </row>
    <row r="971" spans="2:6" x14ac:dyDescent="0.25">
      <c r="B971" s="24"/>
      <c r="C971" s="17"/>
      <c r="D971" s="5" t="e">
        <f>VLOOKUP(B971,'[1]Base de datos'!$B:$F,2,FALSE)</f>
        <v>#N/A</v>
      </c>
      <c r="E971" t="e">
        <f>VLOOKUP(B971,'[1]Base de datos'!$B:$E,3,FALSE)</f>
        <v>#N/A</v>
      </c>
      <c r="F971" t="e">
        <f>VLOOKUP(B971,'[1]Base de datos'!$B:$E,4,FALSE)</f>
        <v>#N/A</v>
      </c>
    </row>
    <row r="972" spans="2:6" x14ac:dyDescent="0.25">
      <c r="B972" s="24"/>
      <c r="C972" s="17"/>
      <c r="D972" s="5" t="e">
        <f>VLOOKUP(B972,'[1]Base de datos'!$B:$F,2,FALSE)</f>
        <v>#N/A</v>
      </c>
      <c r="E972" t="e">
        <f>VLOOKUP(B972,'[1]Base de datos'!$B:$E,3,FALSE)</f>
        <v>#N/A</v>
      </c>
      <c r="F972" t="e">
        <f>VLOOKUP(B972,'[1]Base de datos'!$B:$E,4,FALSE)</f>
        <v>#N/A</v>
      </c>
    </row>
    <row r="973" spans="2:6" x14ac:dyDescent="0.25">
      <c r="B973" s="24"/>
      <c r="C973" s="17"/>
      <c r="D973" s="5" t="e">
        <f>VLOOKUP(B973,'[1]Base de datos'!$B:$F,2,FALSE)</f>
        <v>#N/A</v>
      </c>
      <c r="E973" t="e">
        <f>VLOOKUP(B973,'[1]Base de datos'!$B:$E,3,FALSE)</f>
        <v>#N/A</v>
      </c>
      <c r="F973" t="e">
        <f>VLOOKUP(B973,'[1]Base de datos'!$B:$E,4,FALSE)</f>
        <v>#N/A</v>
      </c>
    </row>
    <row r="974" spans="2:6" x14ac:dyDescent="0.25">
      <c r="B974" s="24"/>
      <c r="C974" s="17"/>
      <c r="D974" s="5" t="e">
        <f>VLOOKUP(B974,'[1]Base de datos'!$B:$F,2,FALSE)</f>
        <v>#N/A</v>
      </c>
      <c r="E974" t="e">
        <f>VLOOKUP(B974,'[1]Base de datos'!$B:$E,3,FALSE)</f>
        <v>#N/A</v>
      </c>
      <c r="F974" t="e">
        <f>VLOOKUP(B974,'[1]Base de datos'!$B:$E,4,FALSE)</f>
        <v>#N/A</v>
      </c>
    </row>
    <row r="975" spans="2:6" x14ac:dyDescent="0.25">
      <c r="B975" s="24"/>
      <c r="C975" s="17"/>
      <c r="D975" s="5" t="e">
        <f>VLOOKUP(B975,'[1]Base de datos'!$B:$F,2,FALSE)</f>
        <v>#N/A</v>
      </c>
      <c r="E975" t="e">
        <f>VLOOKUP(B975,'[1]Base de datos'!$B:$E,3,FALSE)</f>
        <v>#N/A</v>
      </c>
      <c r="F975" t="e">
        <f>VLOOKUP(B975,'[1]Base de datos'!$B:$E,4,FALSE)</f>
        <v>#N/A</v>
      </c>
    </row>
    <row r="976" spans="2:6" x14ac:dyDescent="0.25">
      <c r="B976" s="24"/>
      <c r="C976" s="17"/>
      <c r="D976" s="5" t="e">
        <f>VLOOKUP(B976,'[1]Base de datos'!$B:$F,2,FALSE)</f>
        <v>#N/A</v>
      </c>
      <c r="E976" t="e">
        <f>VLOOKUP(B976,'[1]Base de datos'!$B:$E,3,FALSE)</f>
        <v>#N/A</v>
      </c>
      <c r="F976" t="e">
        <f>VLOOKUP(B976,'[1]Base de datos'!$B:$E,4,FALSE)</f>
        <v>#N/A</v>
      </c>
    </row>
    <row r="977" spans="2:6" x14ac:dyDescent="0.25">
      <c r="B977" s="24"/>
      <c r="C977" s="17"/>
      <c r="D977" s="5" t="e">
        <f>VLOOKUP(B977,'[1]Base de datos'!$B:$F,2,FALSE)</f>
        <v>#N/A</v>
      </c>
      <c r="E977" t="e">
        <f>VLOOKUP(B977,'[1]Base de datos'!$B:$E,3,FALSE)</f>
        <v>#N/A</v>
      </c>
      <c r="F977" t="e">
        <f>VLOOKUP(B977,'[1]Base de datos'!$B:$E,4,FALSE)</f>
        <v>#N/A</v>
      </c>
    </row>
    <row r="978" spans="2:6" x14ac:dyDescent="0.25">
      <c r="B978" s="24"/>
      <c r="C978" s="17"/>
      <c r="D978" s="5" t="e">
        <f>VLOOKUP(B978,'[1]Base de datos'!$B:$F,2,FALSE)</f>
        <v>#N/A</v>
      </c>
      <c r="E978" t="e">
        <f>VLOOKUP(B978,'[1]Base de datos'!$B:$E,3,FALSE)</f>
        <v>#N/A</v>
      </c>
      <c r="F978" t="e">
        <f>VLOOKUP(B978,'[1]Base de datos'!$B:$E,4,FALSE)</f>
        <v>#N/A</v>
      </c>
    </row>
    <row r="979" spans="2:6" x14ac:dyDescent="0.25">
      <c r="B979" s="24"/>
      <c r="C979" s="17"/>
      <c r="D979" s="5" t="e">
        <f>VLOOKUP(B979,'[1]Base de datos'!$B:$F,2,FALSE)</f>
        <v>#N/A</v>
      </c>
      <c r="E979" t="e">
        <f>VLOOKUP(B979,'[1]Base de datos'!$B:$E,3,FALSE)</f>
        <v>#N/A</v>
      </c>
      <c r="F979" t="e">
        <f>VLOOKUP(B979,'[1]Base de datos'!$B:$E,4,FALSE)</f>
        <v>#N/A</v>
      </c>
    </row>
    <row r="980" spans="2:6" x14ac:dyDescent="0.25">
      <c r="B980" s="24"/>
      <c r="C980" s="17"/>
      <c r="D980" s="5" t="e">
        <f>VLOOKUP(B980,'[1]Base de datos'!$B:$F,2,FALSE)</f>
        <v>#N/A</v>
      </c>
      <c r="E980" t="e">
        <f>VLOOKUP(B980,'[1]Base de datos'!$B:$E,3,FALSE)</f>
        <v>#N/A</v>
      </c>
      <c r="F980" t="e">
        <f>VLOOKUP(B980,'[1]Base de datos'!$B:$E,4,FALSE)</f>
        <v>#N/A</v>
      </c>
    </row>
    <row r="981" spans="2:6" x14ac:dyDescent="0.25">
      <c r="B981" s="24"/>
      <c r="C981" s="17"/>
      <c r="D981" s="5" t="e">
        <f>VLOOKUP(B981,'[1]Base de datos'!$B:$F,2,FALSE)</f>
        <v>#N/A</v>
      </c>
      <c r="E981" t="e">
        <f>VLOOKUP(B981,'[1]Base de datos'!$B:$E,3,FALSE)</f>
        <v>#N/A</v>
      </c>
      <c r="F981" t="e">
        <f>VLOOKUP(B981,'[1]Base de datos'!$B:$E,4,FALSE)</f>
        <v>#N/A</v>
      </c>
    </row>
    <row r="982" spans="2:6" x14ac:dyDescent="0.25">
      <c r="B982" s="24"/>
      <c r="C982" s="17"/>
      <c r="D982" s="5" t="e">
        <f>VLOOKUP(B982,'[1]Base de datos'!$B:$F,2,FALSE)</f>
        <v>#N/A</v>
      </c>
      <c r="E982" t="e">
        <f>VLOOKUP(B982,'[1]Base de datos'!$B:$E,3,FALSE)</f>
        <v>#N/A</v>
      </c>
      <c r="F982" t="e">
        <f>VLOOKUP(B982,'[1]Base de datos'!$B:$E,4,FALSE)</f>
        <v>#N/A</v>
      </c>
    </row>
    <row r="983" spans="2:6" x14ac:dyDescent="0.25">
      <c r="B983" s="24"/>
      <c r="C983" s="17"/>
      <c r="D983" s="5" t="e">
        <f>VLOOKUP(B983,'[1]Base de datos'!$B:$F,2,FALSE)</f>
        <v>#N/A</v>
      </c>
      <c r="E983" t="e">
        <f>VLOOKUP(B983,'[1]Base de datos'!$B:$E,3,FALSE)</f>
        <v>#N/A</v>
      </c>
      <c r="F983" t="e">
        <f>VLOOKUP(B983,'[1]Base de datos'!$B:$E,4,FALSE)</f>
        <v>#N/A</v>
      </c>
    </row>
    <row r="984" spans="2:6" x14ac:dyDescent="0.25">
      <c r="B984" s="24"/>
      <c r="C984" s="17"/>
      <c r="D984" s="5" t="e">
        <f>VLOOKUP(B984,'[1]Base de datos'!$B:$F,2,FALSE)</f>
        <v>#N/A</v>
      </c>
      <c r="E984" t="e">
        <f>VLOOKUP(B984,'[1]Base de datos'!$B:$E,3,FALSE)</f>
        <v>#N/A</v>
      </c>
      <c r="F984" t="e">
        <f>VLOOKUP(B984,'[1]Base de datos'!$B:$E,4,FALSE)</f>
        <v>#N/A</v>
      </c>
    </row>
    <row r="985" spans="2:6" x14ac:dyDescent="0.25">
      <c r="B985" s="24"/>
      <c r="C985" s="17"/>
      <c r="D985" s="5" t="e">
        <f>VLOOKUP(B985,'[1]Base de datos'!$B:$F,2,FALSE)</f>
        <v>#N/A</v>
      </c>
      <c r="E985" t="e">
        <f>VLOOKUP(B985,'[1]Base de datos'!$B:$E,3,FALSE)</f>
        <v>#N/A</v>
      </c>
      <c r="F985" t="e">
        <f>VLOOKUP(B985,'[1]Base de datos'!$B:$E,4,FALSE)</f>
        <v>#N/A</v>
      </c>
    </row>
    <row r="986" spans="2:6" x14ac:dyDescent="0.25">
      <c r="B986" s="24"/>
      <c r="C986" s="17"/>
      <c r="D986" s="5" t="e">
        <f>VLOOKUP(B986,'[1]Base de datos'!$B:$F,2,FALSE)</f>
        <v>#N/A</v>
      </c>
      <c r="E986" t="e">
        <f>VLOOKUP(B986,'[1]Base de datos'!$B:$E,3,FALSE)</f>
        <v>#N/A</v>
      </c>
      <c r="F986" t="e">
        <f>VLOOKUP(B986,'[1]Base de datos'!$B:$E,4,FALSE)</f>
        <v>#N/A</v>
      </c>
    </row>
    <row r="987" spans="2:6" x14ac:dyDescent="0.25">
      <c r="B987" s="24"/>
      <c r="C987" s="17"/>
      <c r="D987" s="5" t="e">
        <f>VLOOKUP(B987,'[1]Base de datos'!$B:$F,2,FALSE)</f>
        <v>#N/A</v>
      </c>
      <c r="E987" t="e">
        <f>VLOOKUP(B987,'[1]Base de datos'!$B:$E,3,FALSE)</f>
        <v>#N/A</v>
      </c>
      <c r="F987" t="e">
        <f>VLOOKUP(B987,'[1]Base de datos'!$B:$E,4,FALSE)</f>
        <v>#N/A</v>
      </c>
    </row>
    <row r="988" spans="2:6" x14ac:dyDescent="0.25">
      <c r="B988" s="24"/>
      <c r="C988" s="17"/>
      <c r="D988" s="5" t="e">
        <f>VLOOKUP(B988,'[1]Base de datos'!$B:$F,2,FALSE)</f>
        <v>#N/A</v>
      </c>
      <c r="E988" t="e">
        <f>VLOOKUP(B988,'[1]Base de datos'!$B:$E,3,FALSE)</f>
        <v>#N/A</v>
      </c>
      <c r="F988" t="e">
        <f>VLOOKUP(B988,'[1]Base de datos'!$B:$E,4,FALSE)</f>
        <v>#N/A</v>
      </c>
    </row>
    <row r="989" spans="2:6" x14ac:dyDescent="0.25">
      <c r="B989" s="24"/>
      <c r="C989" s="17"/>
      <c r="D989" s="5" t="e">
        <f>VLOOKUP(B989,'[1]Base de datos'!$B:$F,2,FALSE)</f>
        <v>#N/A</v>
      </c>
      <c r="E989" t="e">
        <f>VLOOKUP(B989,'[1]Base de datos'!$B:$E,3,FALSE)</f>
        <v>#N/A</v>
      </c>
      <c r="F989" t="e">
        <f>VLOOKUP(B989,'[1]Base de datos'!$B:$E,4,FALSE)</f>
        <v>#N/A</v>
      </c>
    </row>
    <row r="990" spans="2:6" x14ac:dyDescent="0.25">
      <c r="B990" s="24"/>
      <c r="C990" s="17"/>
      <c r="D990" s="5" t="e">
        <f>VLOOKUP(B990,'[1]Base de datos'!$B:$F,2,FALSE)</f>
        <v>#N/A</v>
      </c>
      <c r="E990" t="e">
        <f>VLOOKUP(B990,'[1]Base de datos'!$B:$E,3,FALSE)</f>
        <v>#N/A</v>
      </c>
      <c r="F990" t="e">
        <f>VLOOKUP(B990,'[1]Base de datos'!$B:$E,4,FALSE)</f>
        <v>#N/A</v>
      </c>
    </row>
    <row r="991" spans="2:6" x14ac:dyDescent="0.25">
      <c r="B991" s="24"/>
      <c r="C991" s="17"/>
      <c r="D991" s="5" t="e">
        <f>VLOOKUP(B991,'[1]Base de datos'!$B:$F,2,FALSE)</f>
        <v>#N/A</v>
      </c>
      <c r="E991" t="e">
        <f>VLOOKUP(B991,'[1]Base de datos'!$B:$E,3,FALSE)</f>
        <v>#N/A</v>
      </c>
      <c r="F991" t="e">
        <f>VLOOKUP(B991,'[1]Base de datos'!$B:$E,4,FALSE)</f>
        <v>#N/A</v>
      </c>
    </row>
    <row r="992" spans="2:6" x14ac:dyDescent="0.25">
      <c r="B992" s="24"/>
      <c r="C992" s="17"/>
      <c r="D992" s="5" t="e">
        <f>VLOOKUP(B992,'[1]Base de datos'!$B:$F,2,FALSE)</f>
        <v>#N/A</v>
      </c>
      <c r="E992" t="e">
        <f>VLOOKUP(B992,'[1]Base de datos'!$B:$E,3,FALSE)</f>
        <v>#N/A</v>
      </c>
      <c r="F992" t="e">
        <f>VLOOKUP(B992,'[1]Base de datos'!$B:$E,4,FALSE)</f>
        <v>#N/A</v>
      </c>
    </row>
    <row r="993" spans="2:6" x14ac:dyDescent="0.25">
      <c r="B993" s="24"/>
      <c r="C993" s="17"/>
      <c r="D993" s="5" t="e">
        <f>VLOOKUP(B993,'[1]Base de datos'!$B:$F,2,FALSE)</f>
        <v>#N/A</v>
      </c>
      <c r="E993" t="e">
        <f>VLOOKUP(B993,'[1]Base de datos'!$B:$E,3,FALSE)</f>
        <v>#N/A</v>
      </c>
      <c r="F993" t="e">
        <f>VLOOKUP(B993,'[1]Base de datos'!$B:$E,4,FALSE)</f>
        <v>#N/A</v>
      </c>
    </row>
    <row r="994" spans="2:6" x14ac:dyDescent="0.25">
      <c r="B994" s="24"/>
      <c r="C994" s="17"/>
      <c r="D994" s="5" t="e">
        <f>VLOOKUP(B994,'[1]Base de datos'!$B:$F,2,FALSE)</f>
        <v>#N/A</v>
      </c>
      <c r="E994" t="e">
        <f>VLOOKUP(B994,'[1]Base de datos'!$B:$E,3,FALSE)</f>
        <v>#N/A</v>
      </c>
      <c r="F994" t="e">
        <f>VLOOKUP(B994,'[1]Base de datos'!$B:$E,4,FALSE)</f>
        <v>#N/A</v>
      </c>
    </row>
    <row r="995" spans="2:6" x14ac:dyDescent="0.25">
      <c r="B995" s="24"/>
      <c r="C995" s="17"/>
      <c r="D995" s="5" t="e">
        <f>VLOOKUP(B995,'[1]Base de datos'!$B:$F,2,FALSE)</f>
        <v>#N/A</v>
      </c>
      <c r="E995" t="e">
        <f>VLOOKUP(B995,'[1]Base de datos'!$B:$E,3,FALSE)</f>
        <v>#N/A</v>
      </c>
      <c r="F995" t="e">
        <f>VLOOKUP(B995,'[1]Base de datos'!$B:$E,4,FALSE)</f>
        <v>#N/A</v>
      </c>
    </row>
    <row r="996" spans="2:6" x14ac:dyDescent="0.25">
      <c r="B996" s="24"/>
      <c r="C996" s="17"/>
      <c r="D996" s="5" t="e">
        <f>VLOOKUP(B996,'[1]Base de datos'!$B:$F,2,FALSE)</f>
        <v>#N/A</v>
      </c>
      <c r="E996" t="e">
        <f>VLOOKUP(B996,'[1]Base de datos'!$B:$E,3,FALSE)</f>
        <v>#N/A</v>
      </c>
      <c r="F996" t="e">
        <f>VLOOKUP(B996,'[1]Base de datos'!$B:$E,4,FALSE)</f>
        <v>#N/A</v>
      </c>
    </row>
    <row r="997" spans="2:6" x14ac:dyDescent="0.25">
      <c r="B997" s="24"/>
      <c r="C997" s="17"/>
      <c r="D997" s="5" t="e">
        <f>VLOOKUP(B997,'[1]Base de datos'!$B:$F,2,FALSE)</f>
        <v>#N/A</v>
      </c>
      <c r="E997" t="e">
        <f>VLOOKUP(B997,'[1]Base de datos'!$B:$E,3,FALSE)</f>
        <v>#N/A</v>
      </c>
      <c r="F997" t="e">
        <f>VLOOKUP(B997,'[1]Base de datos'!$B:$E,4,FALSE)</f>
        <v>#N/A</v>
      </c>
    </row>
    <row r="998" spans="2:6" x14ac:dyDescent="0.25">
      <c r="B998" s="24"/>
      <c r="C998" s="17"/>
      <c r="D998" s="5" t="e">
        <f>VLOOKUP(B998,'[1]Base de datos'!$B:$F,2,FALSE)</f>
        <v>#N/A</v>
      </c>
      <c r="E998" t="e">
        <f>VLOOKUP(B998,'[1]Base de datos'!$B:$E,3,FALSE)</f>
        <v>#N/A</v>
      </c>
      <c r="F998" t="e">
        <f>VLOOKUP(B998,'[1]Base de datos'!$B:$E,4,FALSE)</f>
        <v>#N/A</v>
      </c>
    </row>
    <row r="999" spans="2:6" x14ac:dyDescent="0.25">
      <c r="B999" s="24"/>
      <c r="C999" s="17"/>
      <c r="D999" s="5" t="e">
        <f>VLOOKUP(B999,'[1]Base de datos'!$B:$F,2,FALSE)</f>
        <v>#N/A</v>
      </c>
      <c r="E999" t="e">
        <f>VLOOKUP(B999,'[1]Base de datos'!$B:$E,3,FALSE)</f>
        <v>#N/A</v>
      </c>
      <c r="F999" t="e">
        <f>VLOOKUP(B999,'[1]Base de datos'!$B:$E,4,FALSE)</f>
        <v>#N/A</v>
      </c>
    </row>
    <row r="1000" spans="2:6" x14ac:dyDescent="0.25">
      <c r="B1000" s="24"/>
      <c r="C1000" s="17"/>
      <c r="D1000" s="5" t="e">
        <f>VLOOKUP(B1000,'[1]Base de datos'!$B:$F,2,FALSE)</f>
        <v>#N/A</v>
      </c>
      <c r="E1000" t="e">
        <f>VLOOKUP(B1000,'[1]Base de datos'!$B:$E,3,FALSE)</f>
        <v>#N/A</v>
      </c>
      <c r="F1000" t="e">
        <f>VLOOKUP(B1000,'[1]Base de datos'!$B:$E,4,FALSE)</f>
        <v>#N/A</v>
      </c>
    </row>
    <row r="1001" spans="2:6" x14ac:dyDescent="0.25">
      <c r="B1001" s="24"/>
      <c r="C1001" s="17"/>
      <c r="D1001" s="5" t="e">
        <f>VLOOKUP(B1001,'[1]Base de datos'!$B:$F,2,FALSE)</f>
        <v>#N/A</v>
      </c>
      <c r="E1001" t="e">
        <f>VLOOKUP(B1001,'[1]Base de datos'!$B:$E,3,FALSE)</f>
        <v>#N/A</v>
      </c>
      <c r="F1001" t="e">
        <f>VLOOKUP(B1001,'[1]Base de datos'!$B:$E,4,FALSE)</f>
        <v>#N/A</v>
      </c>
    </row>
    <row r="1002" spans="2:6" x14ac:dyDescent="0.25">
      <c r="B1002" s="24"/>
      <c r="C1002" s="17"/>
      <c r="D1002" s="5" t="e">
        <f>VLOOKUP(B1002,'[1]Base de datos'!$B:$F,2,FALSE)</f>
        <v>#N/A</v>
      </c>
      <c r="E1002" t="e">
        <f>VLOOKUP(B1002,'[1]Base de datos'!$B:$E,3,FALSE)</f>
        <v>#N/A</v>
      </c>
      <c r="F1002" t="e">
        <f>VLOOKUP(B1002,'[1]Base de datos'!$B:$E,4,FALSE)</f>
        <v>#N/A</v>
      </c>
    </row>
    <row r="1003" spans="2:6" x14ac:dyDescent="0.25">
      <c r="B1003" s="24"/>
      <c r="C1003" s="17"/>
      <c r="D1003" s="5" t="e">
        <f>VLOOKUP(B1003,'[1]Base de datos'!$B:$F,2,FALSE)</f>
        <v>#N/A</v>
      </c>
      <c r="E1003" t="e">
        <f>VLOOKUP(B1003,'[1]Base de datos'!$B:$E,3,FALSE)</f>
        <v>#N/A</v>
      </c>
      <c r="F1003" t="e">
        <f>VLOOKUP(B1003,'[1]Base de datos'!$B:$E,4,FALSE)</f>
        <v>#N/A</v>
      </c>
    </row>
    <row r="1004" spans="2:6" x14ac:dyDescent="0.25">
      <c r="B1004" s="24"/>
      <c r="C1004" s="17"/>
      <c r="D1004" s="5" t="e">
        <f>VLOOKUP(B1004,'[1]Base de datos'!$B:$F,2,FALSE)</f>
        <v>#N/A</v>
      </c>
      <c r="E1004" t="e">
        <f>VLOOKUP(B1004,'[1]Base de datos'!$B:$E,3,FALSE)</f>
        <v>#N/A</v>
      </c>
      <c r="F1004" t="e">
        <f>VLOOKUP(B1004,'[1]Base de datos'!$B:$E,4,FALSE)</f>
        <v>#N/A</v>
      </c>
    </row>
    <row r="1005" spans="2:6" x14ac:dyDescent="0.25">
      <c r="B1005" s="24"/>
      <c r="C1005" s="17"/>
      <c r="D1005" s="5" t="e">
        <f>VLOOKUP(B1005,'[1]Base de datos'!$B:$F,2,FALSE)</f>
        <v>#N/A</v>
      </c>
      <c r="E1005" t="e">
        <f>VLOOKUP(B1005,'[1]Base de datos'!$B:$E,3,FALSE)</f>
        <v>#N/A</v>
      </c>
      <c r="F1005" t="e">
        <f>VLOOKUP(B1005,'[1]Base de datos'!$B:$E,4,FALSE)</f>
        <v>#N/A</v>
      </c>
    </row>
    <row r="1006" spans="2:6" x14ac:dyDescent="0.25">
      <c r="B1006" s="24"/>
      <c r="C1006" s="17"/>
      <c r="D1006" s="5" t="e">
        <f>VLOOKUP(B1006,'[1]Base de datos'!$B:$F,2,FALSE)</f>
        <v>#N/A</v>
      </c>
      <c r="E1006" t="e">
        <f>VLOOKUP(B1006,'[1]Base de datos'!$B:$E,3,FALSE)</f>
        <v>#N/A</v>
      </c>
      <c r="F1006" t="e">
        <f>VLOOKUP(B1006,'[1]Base de datos'!$B:$E,4,FALSE)</f>
        <v>#N/A</v>
      </c>
    </row>
    <row r="1007" spans="2:6" x14ac:dyDescent="0.25">
      <c r="B1007" s="24"/>
      <c r="C1007" s="17"/>
      <c r="D1007" s="5" t="e">
        <f>VLOOKUP(B1007,'[1]Base de datos'!$B:$F,2,FALSE)</f>
        <v>#N/A</v>
      </c>
      <c r="E1007" t="e">
        <f>VLOOKUP(B1007,'[1]Base de datos'!$B:$E,3,FALSE)</f>
        <v>#N/A</v>
      </c>
      <c r="F1007" t="e">
        <f>VLOOKUP(B1007,'[1]Base de datos'!$B:$E,4,FALSE)</f>
        <v>#N/A</v>
      </c>
    </row>
    <row r="1008" spans="2:6" x14ac:dyDescent="0.25">
      <c r="B1008" s="24"/>
      <c r="C1008" s="17"/>
      <c r="D1008" s="5" t="e">
        <f>VLOOKUP(B1008,'[1]Base de datos'!$B:$F,2,FALSE)</f>
        <v>#N/A</v>
      </c>
      <c r="E1008" t="e">
        <f>VLOOKUP(B1008,'[1]Base de datos'!$B:$E,3,FALSE)</f>
        <v>#N/A</v>
      </c>
      <c r="F1008" t="e">
        <f>VLOOKUP(B1008,'[1]Base de datos'!$B:$E,4,FALSE)</f>
        <v>#N/A</v>
      </c>
    </row>
    <row r="1009" spans="2:6" x14ac:dyDescent="0.25">
      <c r="B1009" s="24"/>
      <c r="C1009" s="17"/>
      <c r="D1009" s="5" t="e">
        <f>VLOOKUP(B1009,'[1]Base de datos'!$B:$F,2,FALSE)</f>
        <v>#N/A</v>
      </c>
      <c r="E1009" t="e">
        <f>VLOOKUP(B1009,'[1]Base de datos'!$B:$E,3,FALSE)</f>
        <v>#N/A</v>
      </c>
      <c r="F1009" t="e">
        <f>VLOOKUP(B1009,'[1]Base de datos'!$B:$E,4,FALSE)</f>
        <v>#N/A</v>
      </c>
    </row>
    <row r="1010" spans="2:6" x14ac:dyDescent="0.25">
      <c r="B1010" s="24"/>
      <c r="C1010" s="17"/>
      <c r="D1010" s="5" t="e">
        <f>VLOOKUP(B1010,'[1]Base de datos'!$B:$F,2,FALSE)</f>
        <v>#N/A</v>
      </c>
      <c r="E1010" t="e">
        <f>VLOOKUP(B1010,'[1]Base de datos'!$B:$E,3,FALSE)</f>
        <v>#N/A</v>
      </c>
      <c r="F1010" t="e">
        <f>VLOOKUP(B1010,'[1]Base de datos'!$B:$E,4,FALSE)</f>
        <v>#N/A</v>
      </c>
    </row>
    <row r="1011" spans="2:6" x14ac:dyDescent="0.25">
      <c r="B1011" s="24"/>
      <c r="C1011" s="17"/>
      <c r="D1011" s="5" t="e">
        <f>VLOOKUP(B1011,'[1]Base de datos'!$B:$F,2,FALSE)</f>
        <v>#N/A</v>
      </c>
      <c r="E1011" t="e">
        <f>VLOOKUP(B1011,'[1]Base de datos'!$B:$E,3,FALSE)</f>
        <v>#N/A</v>
      </c>
      <c r="F1011" t="e">
        <f>VLOOKUP(B1011,'[1]Base de datos'!$B:$E,4,FALSE)</f>
        <v>#N/A</v>
      </c>
    </row>
    <row r="1012" spans="2:6" x14ac:dyDescent="0.25">
      <c r="B1012" s="24"/>
      <c r="C1012" s="17"/>
      <c r="D1012" s="5" t="e">
        <f>VLOOKUP(B1012,'[1]Base de datos'!$B:$F,2,FALSE)</f>
        <v>#N/A</v>
      </c>
      <c r="E1012" t="e">
        <f>VLOOKUP(B1012,'[1]Base de datos'!$B:$E,3,FALSE)</f>
        <v>#N/A</v>
      </c>
      <c r="F1012" t="e">
        <f>VLOOKUP(B1012,'[1]Base de datos'!$B:$E,4,FALSE)</f>
        <v>#N/A</v>
      </c>
    </row>
    <row r="1013" spans="2:6" x14ac:dyDescent="0.25">
      <c r="B1013" s="24"/>
      <c r="C1013" s="17"/>
      <c r="D1013" s="5" t="e">
        <f>VLOOKUP(B1013,'[1]Base de datos'!$B:$F,2,FALSE)</f>
        <v>#N/A</v>
      </c>
      <c r="E1013" t="e">
        <f>VLOOKUP(B1013,'[1]Base de datos'!$B:$E,3,FALSE)</f>
        <v>#N/A</v>
      </c>
      <c r="F1013" t="e">
        <f>VLOOKUP(B1013,'[1]Base de datos'!$B:$E,4,FALSE)</f>
        <v>#N/A</v>
      </c>
    </row>
    <row r="1014" spans="2:6" x14ac:dyDescent="0.25">
      <c r="B1014" s="24"/>
      <c r="C1014" s="17"/>
      <c r="D1014" s="5" t="e">
        <f>VLOOKUP(B1014,'[1]Base de datos'!$B:$F,2,FALSE)</f>
        <v>#N/A</v>
      </c>
      <c r="E1014" t="e">
        <f>VLOOKUP(B1014,'[1]Base de datos'!$B:$E,3,FALSE)</f>
        <v>#N/A</v>
      </c>
      <c r="F1014" t="e">
        <f>VLOOKUP(B1014,'[1]Base de datos'!$B:$E,4,FALSE)</f>
        <v>#N/A</v>
      </c>
    </row>
    <row r="1015" spans="2:6" x14ac:dyDescent="0.25">
      <c r="B1015" s="24"/>
      <c r="C1015" s="17"/>
      <c r="D1015" s="5" t="e">
        <f>VLOOKUP(B1015,'[1]Base de datos'!$B:$F,2,FALSE)</f>
        <v>#N/A</v>
      </c>
      <c r="E1015" t="e">
        <f>VLOOKUP(B1015,'[1]Base de datos'!$B:$E,3,FALSE)</f>
        <v>#N/A</v>
      </c>
      <c r="F1015" t="e">
        <f>VLOOKUP(B1015,'[1]Base de datos'!$B:$E,4,FALSE)</f>
        <v>#N/A</v>
      </c>
    </row>
    <row r="1016" spans="2:6" x14ac:dyDescent="0.25">
      <c r="B1016" s="24"/>
      <c r="C1016" s="17"/>
      <c r="D1016" s="5" t="e">
        <f>VLOOKUP(B1016,'[1]Base de datos'!$B:$F,2,FALSE)</f>
        <v>#N/A</v>
      </c>
      <c r="E1016" t="e">
        <f>VLOOKUP(B1016,'[1]Base de datos'!$B:$E,3,FALSE)</f>
        <v>#N/A</v>
      </c>
      <c r="F1016" t="e">
        <f>VLOOKUP(B1016,'[1]Base de datos'!$B:$E,4,FALSE)</f>
        <v>#N/A</v>
      </c>
    </row>
    <row r="1017" spans="2:6" x14ac:dyDescent="0.25">
      <c r="B1017" s="24"/>
      <c r="C1017" s="17"/>
      <c r="D1017" s="5" t="e">
        <f>VLOOKUP(B1017,'[1]Base de datos'!$B:$F,2,FALSE)</f>
        <v>#N/A</v>
      </c>
      <c r="E1017" t="e">
        <f>VLOOKUP(B1017,'[1]Base de datos'!$B:$E,3,FALSE)</f>
        <v>#N/A</v>
      </c>
      <c r="F1017" t="e">
        <f>VLOOKUP(B1017,'[1]Base de datos'!$B:$E,4,FALSE)</f>
        <v>#N/A</v>
      </c>
    </row>
    <row r="1018" spans="2:6" x14ac:dyDescent="0.25">
      <c r="B1018" s="24"/>
      <c r="C1018" s="17"/>
      <c r="D1018" s="5" t="e">
        <f>VLOOKUP(B1018,'[1]Base de datos'!$B:$F,2,FALSE)</f>
        <v>#N/A</v>
      </c>
      <c r="E1018" t="e">
        <f>VLOOKUP(B1018,'[1]Base de datos'!$B:$E,3,FALSE)</f>
        <v>#N/A</v>
      </c>
      <c r="F1018" t="e">
        <f>VLOOKUP(B1018,'[1]Base de datos'!$B:$E,4,FALSE)</f>
        <v>#N/A</v>
      </c>
    </row>
    <row r="1019" spans="2:6" x14ac:dyDescent="0.25">
      <c r="B1019" s="24"/>
      <c r="C1019" s="17"/>
      <c r="D1019" s="5" t="e">
        <f>VLOOKUP(B1019,'[1]Base de datos'!$B:$F,2,FALSE)</f>
        <v>#N/A</v>
      </c>
      <c r="E1019" t="e">
        <f>VLOOKUP(B1019,'[1]Base de datos'!$B:$E,3,FALSE)</f>
        <v>#N/A</v>
      </c>
      <c r="F1019" t="e">
        <f>VLOOKUP(B1019,'[1]Base de datos'!$B:$E,4,FALSE)</f>
        <v>#N/A</v>
      </c>
    </row>
    <row r="1020" spans="2:6" x14ac:dyDescent="0.25">
      <c r="B1020" s="24"/>
      <c r="C1020" s="17"/>
      <c r="D1020" s="5" t="e">
        <f>VLOOKUP(B1020,'[1]Base de datos'!$B:$F,2,FALSE)</f>
        <v>#N/A</v>
      </c>
      <c r="E1020" t="e">
        <f>VLOOKUP(B1020,'[1]Base de datos'!$B:$E,3,FALSE)</f>
        <v>#N/A</v>
      </c>
      <c r="F1020" t="e">
        <f>VLOOKUP(B1020,'[1]Base de datos'!$B:$E,4,FALSE)</f>
        <v>#N/A</v>
      </c>
    </row>
    <row r="1021" spans="2:6" x14ac:dyDescent="0.25">
      <c r="B1021" s="24"/>
      <c r="C1021" s="17"/>
      <c r="D1021" s="5" t="e">
        <f>VLOOKUP(B1021,'[1]Base de datos'!$B:$F,2,FALSE)</f>
        <v>#N/A</v>
      </c>
      <c r="E1021" t="e">
        <f>VLOOKUP(B1021,'[1]Base de datos'!$B:$E,3,FALSE)</f>
        <v>#N/A</v>
      </c>
      <c r="F1021" t="e">
        <f>VLOOKUP(B1021,'[1]Base de datos'!$B:$E,4,FALSE)</f>
        <v>#N/A</v>
      </c>
    </row>
    <row r="1022" spans="2:6" x14ac:dyDescent="0.25">
      <c r="B1022" s="24"/>
      <c r="C1022" s="17"/>
      <c r="D1022" s="5" t="e">
        <f>VLOOKUP(B1022,'[1]Base de datos'!$B:$F,2,FALSE)</f>
        <v>#N/A</v>
      </c>
      <c r="E1022" t="e">
        <f>VLOOKUP(B1022,'[1]Base de datos'!$B:$E,3,FALSE)</f>
        <v>#N/A</v>
      </c>
      <c r="F1022" t="e">
        <f>VLOOKUP(B1022,'[1]Base de datos'!$B:$E,4,FALSE)</f>
        <v>#N/A</v>
      </c>
    </row>
    <row r="1023" spans="2:6" x14ac:dyDescent="0.25">
      <c r="B1023" s="24"/>
      <c r="C1023" s="17"/>
      <c r="D1023" s="5" t="e">
        <f>VLOOKUP(B1023,'[1]Base de datos'!$B:$F,2,FALSE)</f>
        <v>#N/A</v>
      </c>
      <c r="E1023" t="e">
        <f>VLOOKUP(B1023,'[1]Base de datos'!$B:$E,3,FALSE)</f>
        <v>#N/A</v>
      </c>
      <c r="F1023" t="e">
        <f>VLOOKUP(B1023,'[1]Base de datos'!$B:$E,4,FALSE)</f>
        <v>#N/A</v>
      </c>
    </row>
    <row r="1024" spans="2:6" x14ac:dyDescent="0.25">
      <c r="B1024" s="24"/>
      <c r="C1024" s="17"/>
      <c r="D1024" s="5" t="e">
        <f>VLOOKUP(B1024,'[1]Base de datos'!$B:$F,2,FALSE)</f>
        <v>#N/A</v>
      </c>
      <c r="E1024" t="e">
        <f>VLOOKUP(B1024,'[1]Base de datos'!$B:$E,3,FALSE)</f>
        <v>#N/A</v>
      </c>
      <c r="F1024" t="e">
        <f>VLOOKUP(B1024,'[1]Base de datos'!$B:$E,4,FALSE)</f>
        <v>#N/A</v>
      </c>
    </row>
    <row r="1025" spans="2:6" x14ac:dyDescent="0.25">
      <c r="B1025" s="24"/>
      <c r="C1025" s="17"/>
      <c r="D1025" s="5" t="e">
        <f>VLOOKUP(B1025,'[1]Base de datos'!$B:$F,2,FALSE)</f>
        <v>#N/A</v>
      </c>
      <c r="E1025" t="e">
        <f>VLOOKUP(B1025,'[1]Base de datos'!$B:$E,3,FALSE)</f>
        <v>#N/A</v>
      </c>
      <c r="F1025" t="e">
        <f>VLOOKUP(B1025,'[1]Base de datos'!$B:$E,4,FALSE)</f>
        <v>#N/A</v>
      </c>
    </row>
    <row r="1026" spans="2:6" x14ac:dyDescent="0.25">
      <c r="B1026" s="24"/>
      <c r="C1026" s="17"/>
      <c r="D1026" s="5" t="e">
        <f>VLOOKUP(B1026,'[1]Base de datos'!$B:$F,2,FALSE)</f>
        <v>#N/A</v>
      </c>
      <c r="E1026" t="e">
        <f>VLOOKUP(B1026,'[1]Base de datos'!$B:$E,3,FALSE)</f>
        <v>#N/A</v>
      </c>
      <c r="F1026" t="e">
        <f>VLOOKUP(B1026,'[1]Base de datos'!$B:$E,4,FALSE)</f>
        <v>#N/A</v>
      </c>
    </row>
    <row r="1027" spans="2:6" x14ac:dyDescent="0.25">
      <c r="B1027" s="24"/>
      <c r="C1027" s="17"/>
      <c r="D1027" s="5" t="e">
        <f>VLOOKUP(B1027,'[1]Base de datos'!$B:$F,2,FALSE)</f>
        <v>#N/A</v>
      </c>
      <c r="E1027" t="e">
        <f>VLOOKUP(B1027,'[1]Base de datos'!$B:$E,3,FALSE)</f>
        <v>#N/A</v>
      </c>
      <c r="F1027" t="e">
        <f>VLOOKUP(B1027,'[1]Base de datos'!$B:$E,4,FALSE)</f>
        <v>#N/A</v>
      </c>
    </row>
    <row r="1028" spans="2:6" x14ac:dyDescent="0.25">
      <c r="B1028" s="24"/>
      <c r="C1028" s="17"/>
      <c r="D1028" s="5" t="e">
        <f>VLOOKUP(B1028,'[1]Base de datos'!$B:$F,2,FALSE)</f>
        <v>#N/A</v>
      </c>
      <c r="E1028" t="e">
        <f>VLOOKUP(B1028,'[1]Base de datos'!$B:$E,3,FALSE)</f>
        <v>#N/A</v>
      </c>
      <c r="F1028" t="e">
        <f>VLOOKUP(B1028,'[1]Base de datos'!$B:$E,4,FALSE)</f>
        <v>#N/A</v>
      </c>
    </row>
    <row r="1029" spans="2:6" x14ac:dyDescent="0.25">
      <c r="B1029" s="24"/>
      <c r="C1029" s="17"/>
      <c r="D1029" s="5" t="e">
        <f>VLOOKUP(B1029,'[1]Base de datos'!$B:$F,2,FALSE)</f>
        <v>#N/A</v>
      </c>
      <c r="E1029" t="e">
        <f>VLOOKUP(B1029,'[1]Base de datos'!$B:$E,3,FALSE)</f>
        <v>#N/A</v>
      </c>
      <c r="F1029" t="e">
        <f>VLOOKUP(B1029,'[1]Base de datos'!$B:$E,4,FALSE)</f>
        <v>#N/A</v>
      </c>
    </row>
    <row r="1030" spans="2:6" x14ac:dyDescent="0.25">
      <c r="B1030" s="24"/>
      <c r="C1030" s="17"/>
      <c r="D1030" s="5" t="e">
        <f>VLOOKUP(B1030,'[1]Base de datos'!$B:$F,2,FALSE)</f>
        <v>#N/A</v>
      </c>
      <c r="E1030" t="e">
        <f>VLOOKUP(B1030,'[1]Base de datos'!$B:$E,3,FALSE)</f>
        <v>#N/A</v>
      </c>
      <c r="F1030" t="e">
        <f>VLOOKUP(B1030,'[1]Base de datos'!$B:$E,4,FALSE)</f>
        <v>#N/A</v>
      </c>
    </row>
    <row r="1031" spans="2:6" x14ac:dyDescent="0.25">
      <c r="B1031" s="24"/>
      <c r="C1031" s="17"/>
      <c r="D1031" s="5" t="e">
        <f>VLOOKUP(B1031,'[1]Base de datos'!$B:$F,2,FALSE)</f>
        <v>#N/A</v>
      </c>
      <c r="E1031" t="e">
        <f>VLOOKUP(B1031,'[1]Base de datos'!$B:$E,3,FALSE)</f>
        <v>#N/A</v>
      </c>
      <c r="F1031" t="e">
        <f>VLOOKUP(B1031,'[1]Base de datos'!$B:$E,4,FALSE)</f>
        <v>#N/A</v>
      </c>
    </row>
    <row r="1032" spans="2:6" x14ac:dyDescent="0.25">
      <c r="B1032" s="24"/>
      <c r="C1032" s="17"/>
      <c r="D1032" s="5" t="e">
        <f>VLOOKUP(B1032,'[1]Base de datos'!$B:$F,2,FALSE)</f>
        <v>#N/A</v>
      </c>
      <c r="E1032" t="e">
        <f>VLOOKUP(B1032,'[1]Base de datos'!$B:$E,3,FALSE)</f>
        <v>#N/A</v>
      </c>
      <c r="F1032" t="e">
        <f>VLOOKUP(B1032,'[1]Base de datos'!$B:$E,4,FALSE)</f>
        <v>#N/A</v>
      </c>
    </row>
    <row r="1033" spans="2:6" x14ac:dyDescent="0.25">
      <c r="B1033" s="24"/>
      <c r="C1033" s="17"/>
      <c r="D1033" s="5" t="e">
        <f>VLOOKUP(B1033,'[1]Base de datos'!$B:$F,2,FALSE)</f>
        <v>#N/A</v>
      </c>
      <c r="E1033" t="e">
        <f>VLOOKUP(B1033,'[1]Base de datos'!$B:$E,3,FALSE)</f>
        <v>#N/A</v>
      </c>
      <c r="F1033" t="e">
        <f>VLOOKUP(B1033,'[1]Base de datos'!$B:$E,4,FALSE)</f>
        <v>#N/A</v>
      </c>
    </row>
    <row r="1034" spans="2:6" x14ac:dyDescent="0.25">
      <c r="B1034" s="24"/>
      <c r="C1034" s="17"/>
      <c r="D1034" s="5" t="e">
        <f>VLOOKUP(B1034,'[1]Base de datos'!$B:$F,2,FALSE)</f>
        <v>#N/A</v>
      </c>
      <c r="E1034" t="e">
        <f>VLOOKUP(B1034,'[1]Base de datos'!$B:$E,3,FALSE)</f>
        <v>#N/A</v>
      </c>
      <c r="F1034" t="e">
        <f>VLOOKUP(B1034,'[1]Base de datos'!$B:$E,4,FALSE)</f>
        <v>#N/A</v>
      </c>
    </row>
    <row r="1035" spans="2:6" x14ac:dyDescent="0.25">
      <c r="B1035" s="24"/>
      <c r="C1035" s="17"/>
      <c r="D1035" s="5" t="e">
        <f>VLOOKUP(B1035,'[1]Base de datos'!$B:$F,2,FALSE)</f>
        <v>#N/A</v>
      </c>
      <c r="E1035" t="e">
        <f>VLOOKUP(B1035,'[1]Base de datos'!$B:$E,3,FALSE)</f>
        <v>#N/A</v>
      </c>
      <c r="F1035" t="e">
        <f>VLOOKUP(B1035,'[1]Base de datos'!$B:$E,4,FALSE)</f>
        <v>#N/A</v>
      </c>
    </row>
    <row r="1036" spans="2:6" x14ac:dyDescent="0.25">
      <c r="B1036" s="24"/>
      <c r="C1036" s="17"/>
      <c r="D1036" s="5" t="e">
        <f>VLOOKUP(B1036,'[1]Base de datos'!$B:$F,2,FALSE)</f>
        <v>#N/A</v>
      </c>
      <c r="E1036" t="e">
        <f>VLOOKUP(B1036,'[1]Base de datos'!$B:$E,3,FALSE)</f>
        <v>#N/A</v>
      </c>
      <c r="F1036" t="e">
        <f>VLOOKUP(B1036,'[1]Base de datos'!$B:$E,4,FALSE)</f>
        <v>#N/A</v>
      </c>
    </row>
    <row r="1037" spans="2:6" x14ac:dyDescent="0.25">
      <c r="B1037" s="24"/>
      <c r="C1037" s="17"/>
      <c r="D1037" s="5" t="e">
        <f>VLOOKUP(B1037,'[1]Base de datos'!$B:$F,2,FALSE)</f>
        <v>#N/A</v>
      </c>
      <c r="E1037" t="e">
        <f>VLOOKUP(B1037,'[1]Base de datos'!$B:$E,3,FALSE)</f>
        <v>#N/A</v>
      </c>
      <c r="F1037" t="e">
        <f>VLOOKUP(B1037,'[1]Base de datos'!$B:$E,4,FALSE)</f>
        <v>#N/A</v>
      </c>
    </row>
    <row r="1038" spans="2:6" x14ac:dyDescent="0.25">
      <c r="B1038" s="24"/>
      <c r="C1038" s="17"/>
      <c r="D1038" s="5" t="e">
        <f>VLOOKUP(B1038,'[1]Base de datos'!$B:$F,2,FALSE)</f>
        <v>#N/A</v>
      </c>
      <c r="E1038" t="e">
        <f>VLOOKUP(B1038,'[1]Base de datos'!$B:$E,3,FALSE)</f>
        <v>#N/A</v>
      </c>
      <c r="F1038" t="e">
        <f>VLOOKUP(B1038,'[1]Base de datos'!$B:$E,4,FALSE)</f>
        <v>#N/A</v>
      </c>
    </row>
    <row r="1039" spans="2:6" x14ac:dyDescent="0.25">
      <c r="B1039" s="24"/>
      <c r="C1039" s="17"/>
      <c r="D1039" s="5" t="e">
        <f>VLOOKUP(B1039,'[1]Base de datos'!$B:$F,2,FALSE)</f>
        <v>#N/A</v>
      </c>
      <c r="E1039" t="e">
        <f>VLOOKUP(B1039,'[1]Base de datos'!$B:$E,3,FALSE)</f>
        <v>#N/A</v>
      </c>
      <c r="F1039" t="e">
        <f>VLOOKUP(B1039,'[1]Base de datos'!$B:$E,4,FALSE)</f>
        <v>#N/A</v>
      </c>
    </row>
    <row r="1040" spans="2:6" x14ac:dyDescent="0.25">
      <c r="B1040" s="24"/>
      <c r="C1040" s="17"/>
      <c r="D1040" s="5" t="e">
        <f>VLOOKUP(B1040,'[1]Base de datos'!$B:$F,2,FALSE)</f>
        <v>#N/A</v>
      </c>
      <c r="E1040" t="e">
        <f>VLOOKUP(B1040,'[1]Base de datos'!$B:$E,3,FALSE)</f>
        <v>#N/A</v>
      </c>
      <c r="F1040" t="e">
        <f>VLOOKUP(B1040,'[1]Base de datos'!$B:$E,4,FALSE)</f>
        <v>#N/A</v>
      </c>
    </row>
    <row r="1041" spans="2:6" x14ac:dyDescent="0.25">
      <c r="B1041" s="24"/>
      <c r="C1041" s="17"/>
      <c r="D1041" s="5" t="e">
        <f>VLOOKUP(B1041,'[1]Base de datos'!$B:$F,2,FALSE)</f>
        <v>#N/A</v>
      </c>
      <c r="E1041" t="e">
        <f>VLOOKUP(B1041,'[1]Base de datos'!$B:$E,3,FALSE)</f>
        <v>#N/A</v>
      </c>
      <c r="F1041" t="e">
        <f>VLOOKUP(B1041,'[1]Base de datos'!$B:$E,4,FALSE)</f>
        <v>#N/A</v>
      </c>
    </row>
    <row r="1042" spans="2:6" x14ac:dyDescent="0.25">
      <c r="B1042" s="24"/>
      <c r="C1042" s="17"/>
      <c r="D1042" s="5" t="e">
        <f>VLOOKUP(B1042,'[1]Base de datos'!$B:$F,2,FALSE)</f>
        <v>#N/A</v>
      </c>
      <c r="E1042" t="e">
        <f>VLOOKUP(B1042,'[1]Base de datos'!$B:$E,3,FALSE)</f>
        <v>#N/A</v>
      </c>
      <c r="F1042" t="e">
        <f>VLOOKUP(B1042,'[1]Base de datos'!$B:$E,4,FALSE)</f>
        <v>#N/A</v>
      </c>
    </row>
    <row r="1043" spans="2:6" x14ac:dyDescent="0.25">
      <c r="B1043" s="24"/>
      <c r="C1043" s="17"/>
      <c r="D1043" s="5" t="e">
        <f>VLOOKUP(B1043,'[1]Base de datos'!$B:$F,2,FALSE)</f>
        <v>#N/A</v>
      </c>
      <c r="E1043" t="e">
        <f>VLOOKUP(B1043,'[1]Base de datos'!$B:$E,3,FALSE)</f>
        <v>#N/A</v>
      </c>
      <c r="F1043" t="e">
        <f>VLOOKUP(B1043,'[1]Base de datos'!$B:$E,4,FALSE)</f>
        <v>#N/A</v>
      </c>
    </row>
    <row r="1044" spans="2:6" x14ac:dyDescent="0.25">
      <c r="B1044" s="24"/>
      <c r="C1044" s="17"/>
      <c r="D1044" s="5" t="e">
        <f>VLOOKUP(B1044,'[1]Base de datos'!$B:$F,2,FALSE)</f>
        <v>#N/A</v>
      </c>
      <c r="E1044" t="e">
        <f>VLOOKUP(B1044,'[1]Base de datos'!$B:$E,3,FALSE)</f>
        <v>#N/A</v>
      </c>
      <c r="F1044" t="e">
        <f>VLOOKUP(B1044,'[1]Base de datos'!$B:$E,4,FALSE)</f>
        <v>#N/A</v>
      </c>
    </row>
    <row r="1045" spans="2:6" x14ac:dyDescent="0.25">
      <c r="B1045" s="24"/>
      <c r="C1045" s="17"/>
      <c r="D1045" s="5" t="e">
        <f>VLOOKUP(B1045,'[1]Base de datos'!$B:$F,2,FALSE)</f>
        <v>#N/A</v>
      </c>
      <c r="E1045" t="e">
        <f>VLOOKUP(B1045,'[1]Base de datos'!$B:$E,3,FALSE)</f>
        <v>#N/A</v>
      </c>
      <c r="F1045" t="e">
        <f>VLOOKUP(B1045,'[1]Base de datos'!$B:$E,4,FALSE)</f>
        <v>#N/A</v>
      </c>
    </row>
    <row r="1046" spans="2:6" x14ac:dyDescent="0.25">
      <c r="B1046" s="24"/>
      <c r="C1046" s="17"/>
      <c r="D1046" s="5" t="e">
        <f>VLOOKUP(B1046,'[1]Base de datos'!$B:$F,2,FALSE)</f>
        <v>#N/A</v>
      </c>
      <c r="E1046" t="e">
        <f>VLOOKUP(B1046,'[1]Base de datos'!$B:$E,3,FALSE)</f>
        <v>#N/A</v>
      </c>
      <c r="F1046" t="e">
        <f>VLOOKUP(B1046,'[1]Base de datos'!$B:$E,4,FALSE)</f>
        <v>#N/A</v>
      </c>
    </row>
    <row r="1047" spans="2:6" x14ac:dyDescent="0.25">
      <c r="B1047" s="24"/>
      <c r="C1047" s="17"/>
      <c r="D1047" s="5" t="e">
        <f>VLOOKUP(B1047,'[1]Base de datos'!$B:$F,2,FALSE)</f>
        <v>#N/A</v>
      </c>
      <c r="E1047" t="e">
        <f>VLOOKUP(B1047,'[1]Base de datos'!$B:$E,3,FALSE)</f>
        <v>#N/A</v>
      </c>
      <c r="F1047" t="e">
        <f>VLOOKUP(B1047,'[1]Base de datos'!$B:$E,4,FALSE)</f>
        <v>#N/A</v>
      </c>
    </row>
    <row r="1048" spans="2:6" x14ac:dyDescent="0.25">
      <c r="B1048" s="24"/>
      <c r="C1048" s="17"/>
      <c r="D1048" s="5" t="e">
        <f>VLOOKUP(B1048,'[1]Base de datos'!$B:$F,2,FALSE)</f>
        <v>#N/A</v>
      </c>
      <c r="E1048" t="e">
        <f>VLOOKUP(B1048,'[1]Base de datos'!$B:$E,3,FALSE)</f>
        <v>#N/A</v>
      </c>
      <c r="F1048" t="e">
        <f>VLOOKUP(B1048,'[1]Base de datos'!$B:$E,4,FALSE)</f>
        <v>#N/A</v>
      </c>
    </row>
    <row r="1049" spans="2:6" x14ac:dyDescent="0.25">
      <c r="B1049" s="24"/>
      <c r="C1049" s="17"/>
      <c r="D1049" s="5" t="e">
        <f>VLOOKUP(B1049,'[1]Base de datos'!$B:$F,2,FALSE)</f>
        <v>#N/A</v>
      </c>
      <c r="E1049" t="e">
        <f>VLOOKUP(B1049,'[1]Base de datos'!$B:$E,3,FALSE)</f>
        <v>#N/A</v>
      </c>
      <c r="F1049" t="e">
        <f>VLOOKUP(B1049,'[1]Base de datos'!$B:$E,4,FALSE)</f>
        <v>#N/A</v>
      </c>
    </row>
    <row r="1050" spans="2:6" x14ac:dyDescent="0.25">
      <c r="B1050" s="24"/>
      <c r="C1050" s="17"/>
      <c r="D1050" s="5" t="e">
        <f>VLOOKUP(B1050,'[1]Base de datos'!$B:$F,2,FALSE)</f>
        <v>#N/A</v>
      </c>
      <c r="E1050" t="e">
        <f>VLOOKUP(B1050,'[1]Base de datos'!$B:$E,3,FALSE)</f>
        <v>#N/A</v>
      </c>
      <c r="F1050" t="e">
        <f>VLOOKUP(B1050,'[1]Base de datos'!$B:$E,4,FALSE)</f>
        <v>#N/A</v>
      </c>
    </row>
    <row r="1051" spans="2:6" x14ac:dyDescent="0.25">
      <c r="B1051" s="24"/>
      <c r="C1051" s="17"/>
      <c r="D1051" s="5" t="e">
        <f>VLOOKUP(B1051,'[1]Base de datos'!$B:$F,2,FALSE)</f>
        <v>#N/A</v>
      </c>
      <c r="E1051" t="e">
        <f>VLOOKUP(B1051,'[1]Base de datos'!$B:$E,3,FALSE)</f>
        <v>#N/A</v>
      </c>
      <c r="F1051" t="e">
        <f>VLOOKUP(B1051,'[1]Base de datos'!$B:$E,4,FALSE)</f>
        <v>#N/A</v>
      </c>
    </row>
    <row r="1052" spans="2:6" x14ac:dyDescent="0.25">
      <c r="B1052" s="24"/>
      <c r="C1052" s="17"/>
      <c r="D1052" s="5" t="e">
        <f>VLOOKUP(B1052,'[1]Base de datos'!$B:$F,2,FALSE)</f>
        <v>#N/A</v>
      </c>
      <c r="E1052" t="e">
        <f>VLOOKUP(B1052,'[1]Base de datos'!$B:$E,3,FALSE)</f>
        <v>#N/A</v>
      </c>
      <c r="F1052" t="e">
        <f>VLOOKUP(B1052,'[1]Base de datos'!$B:$E,4,FALSE)</f>
        <v>#N/A</v>
      </c>
    </row>
    <row r="1053" spans="2:6" x14ac:dyDescent="0.25">
      <c r="B1053" s="24"/>
      <c r="C1053" s="17"/>
      <c r="D1053" s="5" t="e">
        <f>VLOOKUP(B1053,'[1]Base de datos'!$B:$F,2,FALSE)</f>
        <v>#N/A</v>
      </c>
      <c r="E1053" t="e">
        <f>VLOOKUP(B1053,'[1]Base de datos'!$B:$E,3,FALSE)</f>
        <v>#N/A</v>
      </c>
      <c r="F1053" t="e">
        <f>VLOOKUP(B1053,'[1]Base de datos'!$B:$E,4,FALSE)</f>
        <v>#N/A</v>
      </c>
    </row>
    <row r="1054" spans="2:6" x14ac:dyDescent="0.25">
      <c r="B1054" s="24"/>
      <c r="C1054" s="17"/>
      <c r="D1054" s="5" t="e">
        <f>VLOOKUP(B1054,'[1]Base de datos'!$B:$F,2,FALSE)</f>
        <v>#N/A</v>
      </c>
      <c r="E1054" t="e">
        <f>VLOOKUP(B1054,'[1]Base de datos'!$B:$E,3,FALSE)</f>
        <v>#N/A</v>
      </c>
      <c r="F1054" t="e">
        <f>VLOOKUP(B1054,'[1]Base de datos'!$B:$E,4,FALSE)</f>
        <v>#N/A</v>
      </c>
    </row>
    <row r="1055" spans="2:6" x14ac:dyDescent="0.25">
      <c r="B1055" s="24"/>
      <c r="C1055" s="17"/>
      <c r="D1055" s="5" t="e">
        <f>VLOOKUP(B1055,'[1]Base de datos'!$B:$F,2,FALSE)</f>
        <v>#N/A</v>
      </c>
      <c r="E1055" t="e">
        <f>VLOOKUP(B1055,'[1]Base de datos'!$B:$E,3,FALSE)</f>
        <v>#N/A</v>
      </c>
      <c r="F1055" t="e">
        <f>VLOOKUP(B1055,'[1]Base de datos'!$B:$E,4,FALSE)</f>
        <v>#N/A</v>
      </c>
    </row>
    <row r="1056" spans="2:6" x14ac:dyDescent="0.25">
      <c r="B1056" s="24"/>
      <c r="C1056" s="17"/>
      <c r="D1056" s="5" t="e">
        <f>VLOOKUP(B1056,'[1]Base de datos'!$B:$F,2,FALSE)</f>
        <v>#N/A</v>
      </c>
      <c r="E1056" t="e">
        <f>VLOOKUP(B1056,'[1]Base de datos'!$B:$E,3,FALSE)</f>
        <v>#N/A</v>
      </c>
      <c r="F1056" t="e">
        <f>VLOOKUP(B1056,'[1]Base de datos'!$B:$E,4,FALSE)</f>
        <v>#N/A</v>
      </c>
    </row>
    <row r="1057" spans="2:6" x14ac:dyDescent="0.25">
      <c r="B1057" s="24"/>
      <c r="C1057" s="17"/>
      <c r="D1057" s="5" t="e">
        <f>VLOOKUP(B1057,'[1]Base de datos'!$B:$F,2,FALSE)</f>
        <v>#N/A</v>
      </c>
      <c r="E1057" t="e">
        <f>VLOOKUP(B1057,'[1]Base de datos'!$B:$E,3,FALSE)</f>
        <v>#N/A</v>
      </c>
      <c r="F1057" t="e">
        <f>VLOOKUP(B1057,'[1]Base de datos'!$B:$E,4,FALSE)</f>
        <v>#N/A</v>
      </c>
    </row>
    <row r="1058" spans="2:6" x14ac:dyDescent="0.25">
      <c r="B1058" s="24"/>
      <c r="C1058" s="17"/>
      <c r="D1058" s="5" t="e">
        <f>VLOOKUP(B1058,'[1]Base de datos'!$B:$F,2,FALSE)</f>
        <v>#N/A</v>
      </c>
      <c r="E1058" t="e">
        <f>VLOOKUP(B1058,'[1]Base de datos'!$B:$E,3,FALSE)</f>
        <v>#N/A</v>
      </c>
      <c r="F1058" t="e">
        <f>VLOOKUP(B1058,'[1]Base de datos'!$B:$E,4,FALSE)</f>
        <v>#N/A</v>
      </c>
    </row>
    <row r="1059" spans="2:6" x14ac:dyDescent="0.25">
      <c r="B1059" s="24"/>
      <c r="C1059" s="17"/>
      <c r="D1059" s="5" t="e">
        <f>VLOOKUP(B1059,'[1]Base de datos'!$B:$F,2,FALSE)</f>
        <v>#N/A</v>
      </c>
      <c r="E1059" t="e">
        <f>VLOOKUP(B1059,'[1]Base de datos'!$B:$E,3,FALSE)</f>
        <v>#N/A</v>
      </c>
      <c r="F1059" t="e">
        <f>VLOOKUP(B1059,'[1]Base de datos'!$B:$E,4,FALSE)</f>
        <v>#N/A</v>
      </c>
    </row>
    <row r="1060" spans="2:6" x14ac:dyDescent="0.25">
      <c r="B1060" s="24"/>
      <c r="C1060" s="17"/>
      <c r="D1060" s="5" t="e">
        <f>VLOOKUP(B1060,'[1]Base de datos'!$B:$F,2,FALSE)</f>
        <v>#N/A</v>
      </c>
      <c r="E1060" t="e">
        <f>VLOOKUP(B1060,'[1]Base de datos'!$B:$E,3,FALSE)</f>
        <v>#N/A</v>
      </c>
      <c r="F1060" t="e">
        <f>VLOOKUP(B1060,'[1]Base de datos'!$B:$E,4,FALSE)</f>
        <v>#N/A</v>
      </c>
    </row>
    <row r="1061" spans="2:6" x14ac:dyDescent="0.25">
      <c r="B1061" s="24"/>
      <c r="C1061" s="17"/>
      <c r="D1061" s="5" t="e">
        <f>VLOOKUP(B1061,'[1]Base de datos'!$B:$F,2,FALSE)</f>
        <v>#N/A</v>
      </c>
      <c r="E1061" t="e">
        <f>VLOOKUP(B1061,'[1]Base de datos'!$B:$E,3,FALSE)</f>
        <v>#N/A</v>
      </c>
      <c r="F1061" t="e">
        <f>VLOOKUP(B1061,'[1]Base de datos'!$B:$E,4,FALSE)</f>
        <v>#N/A</v>
      </c>
    </row>
    <row r="1062" spans="2:6" x14ac:dyDescent="0.25">
      <c r="B1062" s="24"/>
      <c r="C1062" s="17"/>
      <c r="D1062" s="5" t="e">
        <f>VLOOKUP(B1062,'[1]Base de datos'!$B:$F,2,FALSE)</f>
        <v>#N/A</v>
      </c>
      <c r="E1062" t="e">
        <f>VLOOKUP(B1062,'[1]Base de datos'!$B:$E,3,FALSE)</f>
        <v>#N/A</v>
      </c>
      <c r="F1062" t="e">
        <f>VLOOKUP(B1062,'[1]Base de datos'!$B:$E,4,FALSE)</f>
        <v>#N/A</v>
      </c>
    </row>
    <row r="1063" spans="2:6" x14ac:dyDescent="0.25">
      <c r="B1063" s="24"/>
      <c r="C1063" s="17"/>
      <c r="D1063" s="5" t="e">
        <f>VLOOKUP(B1063,'[1]Base de datos'!$B:$F,2,FALSE)</f>
        <v>#N/A</v>
      </c>
      <c r="E1063" t="e">
        <f>VLOOKUP(B1063,'[1]Base de datos'!$B:$E,3,FALSE)</f>
        <v>#N/A</v>
      </c>
      <c r="F1063" t="e">
        <f>VLOOKUP(B1063,'[1]Base de datos'!$B:$E,4,FALSE)</f>
        <v>#N/A</v>
      </c>
    </row>
    <row r="1064" spans="2:6" x14ac:dyDescent="0.25">
      <c r="B1064" s="24"/>
      <c r="C1064" s="17"/>
      <c r="D1064" s="5" t="e">
        <f>VLOOKUP(B1064,'[1]Base de datos'!$B:$F,2,FALSE)</f>
        <v>#N/A</v>
      </c>
      <c r="E1064" t="e">
        <f>VLOOKUP(B1064,'[1]Base de datos'!$B:$E,3,FALSE)</f>
        <v>#N/A</v>
      </c>
      <c r="F1064" t="e">
        <f>VLOOKUP(B1064,'[1]Base de datos'!$B:$E,4,FALSE)</f>
        <v>#N/A</v>
      </c>
    </row>
    <row r="1065" spans="2:6" x14ac:dyDescent="0.25">
      <c r="B1065" s="24"/>
      <c r="C1065" s="17"/>
      <c r="D1065" s="5" t="e">
        <f>VLOOKUP(B1065,'[1]Base de datos'!$B:$F,2,FALSE)</f>
        <v>#N/A</v>
      </c>
      <c r="E1065" t="e">
        <f>VLOOKUP(B1065,'[1]Base de datos'!$B:$E,3,FALSE)</f>
        <v>#N/A</v>
      </c>
      <c r="F1065" t="e">
        <f>VLOOKUP(B1065,'[1]Base de datos'!$B:$E,4,FALSE)</f>
        <v>#N/A</v>
      </c>
    </row>
    <row r="1066" spans="2:6" x14ac:dyDescent="0.25">
      <c r="B1066" s="24"/>
      <c r="C1066" s="17"/>
      <c r="D1066" s="5" t="e">
        <f>VLOOKUP(B1066,'[1]Base de datos'!$B:$F,2,FALSE)</f>
        <v>#N/A</v>
      </c>
      <c r="E1066" t="e">
        <f>VLOOKUP(B1066,'[1]Base de datos'!$B:$E,3,FALSE)</f>
        <v>#N/A</v>
      </c>
      <c r="F1066" t="e">
        <f>VLOOKUP(B1066,'[1]Base de datos'!$B:$E,4,FALSE)</f>
        <v>#N/A</v>
      </c>
    </row>
    <row r="1067" spans="2:6" x14ac:dyDescent="0.25">
      <c r="B1067" s="24"/>
      <c r="C1067" s="17"/>
      <c r="D1067" s="5" t="e">
        <f>VLOOKUP(B1067,'[1]Base de datos'!$B:$F,2,FALSE)</f>
        <v>#N/A</v>
      </c>
      <c r="E1067" t="e">
        <f>VLOOKUP(B1067,'[1]Base de datos'!$B:$E,3,FALSE)</f>
        <v>#N/A</v>
      </c>
      <c r="F1067" t="e">
        <f>VLOOKUP(B1067,'[1]Base de datos'!$B:$E,4,FALSE)</f>
        <v>#N/A</v>
      </c>
    </row>
    <row r="1068" spans="2:6" x14ac:dyDescent="0.25">
      <c r="B1068" s="24"/>
      <c r="C1068" s="17"/>
      <c r="D1068" s="5" t="e">
        <f>VLOOKUP(B1068,'[1]Base de datos'!$B:$F,2,FALSE)</f>
        <v>#N/A</v>
      </c>
      <c r="E1068" t="e">
        <f>VLOOKUP(B1068,'[1]Base de datos'!$B:$E,3,FALSE)</f>
        <v>#N/A</v>
      </c>
      <c r="F1068" t="e">
        <f>VLOOKUP(B1068,'[1]Base de datos'!$B:$E,4,FALSE)</f>
        <v>#N/A</v>
      </c>
    </row>
    <row r="1069" spans="2:6" x14ac:dyDescent="0.25">
      <c r="B1069" s="24"/>
      <c r="C1069" s="17"/>
      <c r="D1069" s="5" t="e">
        <f>VLOOKUP(B1069,'[1]Base de datos'!$B:$F,2,FALSE)</f>
        <v>#N/A</v>
      </c>
      <c r="E1069" t="e">
        <f>VLOOKUP(B1069,'[1]Base de datos'!$B:$E,3,FALSE)</f>
        <v>#N/A</v>
      </c>
      <c r="F1069" t="e">
        <f>VLOOKUP(B1069,'[1]Base de datos'!$B:$E,4,FALSE)</f>
        <v>#N/A</v>
      </c>
    </row>
    <row r="1070" spans="2:6" x14ac:dyDescent="0.25">
      <c r="B1070" s="24"/>
      <c r="C1070" s="17"/>
      <c r="D1070" s="5" t="e">
        <f>VLOOKUP(B1070,'[1]Base de datos'!$B:$F,2,FALSE)</f>
        <v>#N/A</v>
      </c>
      <c r="E1070" t="e">
        <f>VLOOKUP(B1070,'[1]Base de datos'!$B:$E,3,FALSE)</f>
        <v>#N/A</v>
      </c>
      <c r="F1070" t="e">
        <f>VLOOKUP(B1070,'[1]Base de datos'!$B:$E,4,FALSE)</f>
        <v>#N/A</v>
      </c>
    </row>
    <row r="1071" spans="2:6" x14ac:dyDescent="0.25">
      <c r="B1071" s="24"/>
      <c r="C1071" s="17"/>
      <c r="D1071" s="5" t="e">
        <f>VLOOKUP(B1071,'[1]Base de datos'!$B:$F,2,FALSE)</f>
        <v>#N/A</v>
      </c>
      <c r="E1071" t="e">
        <f>VLOOKUP(B1071,'[1]Base de datos'!$B:$E,3,FALSE)</f>
        <v>#N/A</v>
      </c>
      <c r="F1071" t="e">
        <f>VLOOKUP(B1071,'[1]Base de datos'!$B:$E,4,FALSE)</f>
        <v>#N/A</v>
      </c>
    </row>
    <row r="1072" spans="2:6" x14ac:dyDescent="0.25">
      <c r="B1072" s="24"/>
      <c r="C1072" s="17"/>
      <c r="D1072" s="5" t="e">
        <f>VLOOKUP(B1072,'[1]Base de datos'!$B:$F,2,FALSE)</f>
        <v>#N/A</v>
      </c>
      <c r="E1072" t="e">
        <f>VLOOKUP(B1072,'[1]Base de datos'!$B:$E,3,FALSE)</f>
        <v>#N/A</v>
      </c>
      <c r="F1072" t="e">
        <f>VLOOKUP(B1072,'[1]Base de datos'!$B:$E,4,FALSE)</f>
        <v>#N/A</v>
      </c>
    </row>
    <row r="1073" spans="2:6" x14ac:dyDescent="0.25">
      <c r="B1073" s="24"/>
      <c r="C1073" s="17"/>
      <c r="D1073" s="5" t="e">
        <f>VLOOKUP(B1073,'[1]Base de datos'!$B:$F,2,FALSE)</f>
        <v>#N/A</v>
      </c>
      <c r="E1073" t="e">
        <f>VLOOKUP(B1073,'[1]Base de datos'!$B:$E,3,FALSE)</f>
        <v>#N/A</v>
      </c>
      <c r="F1073" t="e">
        <f>VLOOKUP(B1073,'[1]Base de datos'!$B:$E,4,FALSE)</f>
        <v>#N/A</v>
      </c>
    </row>
    <row r="1074" spans="2:6" x14ac:dyDescent="0.25">
      <c r="B1074" s="24"/>
      <c r="C1074" s="17"/>
      <c r="D1074" s="5" t="e">
        <f>VLOOKUP(B1074,'[1]Base de datos'!$B:$F,2,FALSE)</f>
        <v>#N/A</v>
      </c>
      <c r="E1074" t="e">
        <f>VLOOKUP(B1074,'[1]Base de datos'!$B:$E,3,FALSE)</f>
        <v>#N/A</v>
      </c>
      <c r="F1074" t="e">
        <f>VLOOKUP(B1074,'[1]Base de datos'!$B:$E,4,FALSE)</f>
        <v>#N/A</v>
      </c>
    </row>
    <row r="1075" spans="2:6" x14ac:dyDescent="0.25">
      <c r="B1075" s="24"/>
      <c r="C1075" s="17"/>
      <c r="D1075" s="5" t="e">
        <f>VLOOKUP(B1075,'[1]Base de datos'!$B:$F,2,FALSE)</f>
        <v>#N/A</v>
      </c>
      <c r="E1075" t="e">
        <f>VLOOKUP(B1075,'[1]Base de datos'!$B:$E,3,FALSE)</f>
        <v>#N/A</v>
      </c>
      <c r="F1075" t="e">
        <f>VLOOKUP(B1075,'[1]Base de datos'!$B:$E,4,FALSE)</f>
        <v>#N/A</v>
      </c>
    </row>
    <row r="1076" spans="2:6" x14ac:dyDescent="0.25">
      <c r="B1076" s="24"/>
      <c r="C1076" s="17"/>
      <c r="D1076" s="5" t="e">
        <f>VLOOKUP(B1076,'[1]Base de datos'!$B:$F,2,FALSE)</f>
        <v>#N/A</v>
      </c>
      <c r="E1076" t="e">
        <f>VLOOKUP(B1076,'[1]Base de datos'!$B:$E,3,FALSE)</f>
        <v>#N/A</v>
      </c>
      <c r="F1076" t="e">
        <f>VLOOKUP(B1076,'[1]Base de datos'!$B:$E,4,FALSE)</f>
        <v>#N/A</v>
      </c>
    </row>
    <row r="1077" spans="2:6" x14ac:dyDescent="0.25">
      <c r="B1077" s="24"/>
      <c r="C1077" s="17"/>
      <c r="D1077" s="5" t="e">
        <f>VLOOKUP(B1077,'[1]Base de datos'!$B:$F,2,FALSE)</f>
        <v>#N/A</v>
      </c>
      <c r="E1077" t="e">
        <f>VLOOKUP(B1077,'[1]Base de datos'!$B:$E,3,FALSE)</f>
        <v>#N/A</v>
      </c>
      <c r="F1077" t="e">
        <f>VLOOKUP(B1077,'[1]Base de datos'!$B:$E,4,FALSE)</f>
        <v>#N/A</v>
      </c>
    </row>
    <row r="1078" spans="2:6" x14ac:dyDescent="0.25">
      <c r="B1078" s="24"/>
      <c r="C1078" s="17"/>
      <c r="D1078" s="5" t="e">
        <f>VLOOKUP(B1078,'[1]Base de datos'!$B:$F,2,FALSE)</f>
        <v>#N/A</v>
      </c>
      <c r="E1078" t="e">
        <f>VLOOKUP(B1078,'[1]Base de datos'!$B:$E,3,FALSE)</f>
        <v>#N/A</v>
      </c>
      <c r="F1078" t="e">
        <f>VLOOKUP(B1078,'[1]Base de datos'!$B:$E,4,FALSE)</f>
        <v>#N/A</v>
      </c>
    </row>
    <row r="1079" spans="2:6" x14ac:dyDescent="0.25">
      <c r="B1079" s="24"/>
      <c r="C1079" s="17"/>
      <c r="D1079" s="5" t="e">
        <f>VLOOKUP(B1079,'[1]Base de datos'!$B:$F,2,FALSE)</f>
        <v>#N/A</v>
      </c>
      <c r="E1079" t="e">
        <f>VLOOKUP(B1079,'[1]Base de datos'!$B:$E,3,FALSE)</f>
        <v>#N/A</v>
      </c>
      <c r="F1079" t="e">
        <f>VLOOKUP(B1079,'[1]Base de datos'!$B:$E,4,FALSE)</f>
        <v>#N/A</v>
      </c>
    </row>
    <row r="1080" spans="2:6" x14ac:dyDescent="0.25">
      <c r="B1080" s="24"/>
      <c r="C1080" s="17"/>
      <c r="D1080" s="5" t="e">
        <f>VLOOKUP(B1080,'[1]Base de datos'!$B:$F,2,FALSE)</f>
        <v>#N/A</v>
      </c>
      <c r="E1080" t="e">
        <f>VLOOKUP(B1080,'[1]Base de datos'!$B:$E,3,FALSE)</f>
        <v>#N/A</v>
      </c>
      <c r="F1080" t="e">
        <f>VLOOKUP(B1080,'[1]Base de datos'!$B:$E,4,FALSE)</f>
        <v>#N/A</v>
      </c>
    </row>
    <row r="1081" spans="2:6" x14ac:dyDescent="0.25">
      <c r="B1081" s="24"/>
      <c r="C1081" s="17"/>
      <c r="D1081" s="5" t="e">
        <f>VLOOKUP(B1081,'[1]Base de datos'!$B:$F,2,FALSE)</f>
        <v>#N/A</v>
      </c>
      <c r="E1081" t="e">
        <f>VLOOKUP(B1081,'[1]Base de datos'!$B:$E,3,FALSE)</f>
        <v>#N/A</v>
      </c>
      <c r="F1081" t="e">
        <f>VLOOKUP(B1081,'[1]Base de datos'!$B:$E,4,FALSE)</f>
        <v>#N/A</v>
      </c>
    </row>
    <row r="1082" spans="2:6" x14ac:dyDescent="0.25">
      <c r="B1082" s="24"/>
      <c r="C1082" s="17"/>
      <c r="D1082" s="5" t="e">
        <f>VLOOKUP(B1082,'[1]Base de datos'!$B:$F,2,FALSE)</f>
        <v>#N/A</v>
      </c>
      <c r="E1082" t="e">
        <f>VLOOKUP(B1082,'[1]Base de datos'!$B:$E,3,FALSE)</f>
        <v>#N/A</v>
      </c>
      <c r="F1082" t="e">
        <f>VLOOKUP(B1082,'[1]Base de datos'!$B:$E,4,FALSE)</f>
        <v>#N/A</v>
      </c>
    </row>
    <row r="1083" spans="2:6" x14ac:dyDescent="0.25">
      <c r="B1083" s="24"/>
      <c r="C1083" s="17"/>
      <c r="D1083" s="5" t="e">
        <f>VLOOKUP(B1083,'[1]Base de datos'!$B:$F,2,FALSE)</f>
        <v>#N/A</v>
      </c>
      <c r="E1083" t="e">
        <f>VLOOKUP(B1083,'[1]Base de datos'!$B:$E,3,FALSE)</f>
        <v>#N/A</v>
      </c>
      <c r="F1083" t="e">
        <f>VLOOKUP(B1083,'[1]Base de datos'!$B:$E,4,FALSE)</f>
        <v>#N/A</v>
      </c>
    </row>
    <row r="1084" spans="2:6" x14ac:dyDescent="0.25">
      <c r="B1084" s="24"/>
      <c r="C1084" s="17"/>
      <c r="D1084" s="5" t="e">
        <f>VLOOKUP(B1084,'[1]Base de datos'!$B:$F,2,FALSE)</f>
        <v>#N/A</v>
      </c>
      <c r="E1084" t="e">
        <f>VLOOKUP(B1084,'[1]Base de datos'!$B:$E,3,FALSE)</f>
        <v>#N/A</v>
      </c>
      <c r="F1084" t="e">
        <f>VLOOKUP(B1084,'[1]Base de datos'!$B:$E,4,FALSE)</f>
        <v>#N/A</v>
      </c>
    </row>
    <row r="1085" spans="2:6" x14ac:dyDescent="0.25">
      <c r="B1085" s="24"/>
      <c r="C1085" s="17"/>
      <c r="D1085" s="5" t="e">
        <f>VLOOKUP(B1085,'[1]Base de datos'!$B:$F,2,FALSE)</f>
        <v>#N/A</v>
      </c>
      <c r="E1085" t="e">
        <f>VLOOKUP(B1085,'[1]Base de datos'!$B:$E,3,FALSE)</f>
        <v>#N/A</v>
      </c>
      <c r="F1085" t="e">
        <f>VLOOKUP(B1085,'[1]Base de datos'!$B:$E,4,FALSE)</f>
        <v>#N/A</v>
      </c>
    </row>
    <row r="1086" spans="2:6" x14ac:dyDescent="0.25">
      <c r="B1086" s="24"/>
      <c r="C1086" s="17"/>
      <c r="D1086" s="5" t="e">
        <f>VLOOKUP(B1086,'[1]Base de datos'!$B:$F,2,FALSE)</f>
        <v>#N/A</v>
      </c>
      <c r="E1086" t="e">
        <f>VLOOKUP(B1086,'[1]Base de datos'!$B:$E,3,FALSE)</f>
        <v>#N/A</v>
      </c>
      <c r="F1086" t="e">
        <f>VLOOKUP(B1086,'[1]Base de datos'!$B:$E,4,FALSE)</f>
        <v>#N/A</v>
      </c>
    </row>
    <row r="1087" spans="2:6" x14ac:dyDescent="0.25">
      <c r="B1087" s="24"/>
      <c r="C1087" s="17"/>
      <c r="D1087" s="5" t="e">
        <f>VLOOKUP(B1087,'[1]Base de datos'!$B:$F,2,FALSE)</f>
        <v>#N/A</v>
      </c>
      <c r="E1087" t="e">
        <f>VLOOKUP(B1087,'[1]Base de datos'!$B:$E,3,FALSE)</f>
        <v>#N/A</v>
      </c>
      <c r="F1087" t="e">
        <f>VLOOKUP(B1087,'[1]Base de datos'!$B:$E,4,FALSE)</f>
        <v>#N/A</v>
      </c>
    </row>
    <row r="1088" spans="2:6" x14ac:dyDescent="0.25">
      <c r="B1088" s="24"/>
      <c r="C1088" s="17"/>
      <c r="D1088" s="5" t="e">
        <f>VLOOKUP(B1088,'[1]Base de datos'!$B:$F,2,FALSE)</f>
        <v>#N/A</v>
      </c>
      <c r="E1088" t="e">
        <f>VLOOKUP(B1088,'[1]Base de datos'!$B:$E,3,FALSE)</f>
        <v>#N/A</v>
      </c>
      <c r="F1088" t="e">
        <f>VLOOKUP(B1088,'[1]Base de datos'!$B:$E,4,FALSE)</f>
        <v>#N/A</v>
      </c>
    </row>
    <row r="1089" spans="2:6" x14ac:dyDescent="0.25">
      <c r="B1089" s="24"/>
      <c r="C1089" s="17"/>
      <c r="D1089" s="5" t="e">
        <f>VLOOKUP(B1089,'[1]Base de datos'!$B:$F,2,FALSE)</f>
        <v>#N/A</v>
      </c>
      <c r="E1089" t="e">
        <f>VLOOKUP(B1089,'[1]Base de datos'!$B:$E,3,FALSE)</f>
        <v>#N/A</v>
      </c>
      <c r="F1089" t="e">
        <f>VLOOKUP(B1089,'[1]Base de datos'!$B:$E,4,FALSE)</f>
        <v>#N/A</v>
      </c>
    </row>
    <row r="1090" spans="2:6" x14ac:dyDescent="0.25">
      <c r="B1090" s="24"/>
      <c r="C1090" s="17"/>
      <c r="D1090" s="5" t="e">
        <f>VLOOKUP(B1090,'[1]Base de datos'!$B:$F,2,FALSE)</f>
        <v>#N/A</v>
      </c>
      <c r="E1090" t="e">
        <f>VLOOKUP(B1090,'[1]Base de datos'!$B:$E,3,FALSE)</f>
        <v>#N/A</v>
      </c>
      <c r="F1090" t="e">
        <f>VLOOKUP(B1090,'[1]Base de datos'!$B:$E,4,FALSE)</f>
        <v>#N/A</v>
      </c>
    </row>
    <row r="1091" spans="2:6" x14ac:dyDescent="0.25">
      <c r="B1091" s="24"/>
      <c r="C1091" s="17"/>
      <c r="D1091" s="5" t="e">
        <f>VLOOKUP(B1091,'[1]Base de datos'!$B:$F,2,FALSE)</f>
        <v>#N/A</v>
      </c>
      <c r="E1091" t="e">
        <f>VLOOKUP(B1091,'[1]Base de datos'!$B:$E,3,FALSE)</f>
        <v>#N/A</v>
      </c>
      <c r="F1091" t="e">
        <f>VLOOKUP(B1091,'[1]Base de datos'!$B:$E,4,FALSE)</f>
        <v>#N/A</v>
      </c>
    </row>
    <row r="1092" spans="2:6" x14ac:dyDescent="0.25">
      <c r="B1092" s="24"/>
      <c r="C1092" s="17"/>
      <c r="D1092" s="5" t="e">
        <f>VLOOKUP(B1092,'[1]Base de datos'!$B:$F,2,FALSE)</f>
        <v>#N/A</v>
      </c>
      <c r="E1092" t="e">
        <f>VLOOKUP(B1092,'[1]Base de datos'!$B:$E,3,FALSE)</f>
        <v>#N/A</v>
      </c>
      <c r="F1092" t="e">
        <f>VLOOKUP(B1092,'[1]Base de datos'!$B:$E,4,FALSE)</f>
        <v>#N/A</v>
      </c>
    </row>
    <row r="1093" spans="2:6" x14ac:dyDescent="0.25">
      <c r="B1093" s="24"/>
      <c r="C1093" s="17"/>
      <c r="D1093" s="5" t="e">
        <f>VLOOKUP(B1093,'[1]Base de datos'!$B:$F,2,FALSE)</f>
        <v>#N/A</v>
      </c>
      <c r="E1093" t="e">
        <f>VLOOKUP(B1093,'[1]Base de datos'!$B:$E,3,FALSE)</f>
        <v>#N/A</v>
      </c>
      <c r="F1093" t="e">
        <f>VLOOKUP(B1093,'[1]Base de datos'!$B:$E,4,FALSE)</f>
        <v>#N/A</v>
      </c>
    </row>
    <row r="1094" spans="2:6" x14ac:dyDescent="0.25">
      <c r="B1094" s="24"/>
      <c r="C1094" s="17"/>
      <c r="D1094" s="5" t="e">
        <f>VLOOKUP(B1094,'[1]Base de datos'!$B:$F,2,FALSE)</f>
        <v>#N/A</v>
      </c>
      <c r="E1094" t="e">
        <f>VLOOKUP(B1094,'[1]Base de datos'!$B:$E,3,FALSE)</f>
        <v>#N/A</v>
      </c>
      <c r="F1094" t="e">
        <f>VLOOKUP(B1094,'[1]Base de datos'!$B:$E,4,FALSE)</f>
        <v>#N/A</v>
      </c>
    </row>
    <row r="1095" spans="2:6" x14ac:dyDescent="0.25">
      <c r="B1095" s="24"/>
      <c r="C1095" s="17"/>
      <c r="D1095" s="5" t="e">
        <f>VLOOKUP(B1095,'[1]Base de datos'!$B:$F,2,FALSE)</f>
        <v>#N/A</v>
      </c>
      <c r="E1095" t="e">
        <f>VLOOKUP(B1095,'[1]Base de datos'!$B:$E,3,FALSE)</f>
        <v>#N/A</v>
      </c>
      <c r="F1095" t="e">
        <f>VLOOKUP(B1095,'[1]Base de datos'!$B:$E,4,FALSE)</f>
        <v>#N/A</v>
      </c>
    </row>
    <row r="1096" spans="2:6" x14ac:dyDescent="0.25">
      <c r="B1096" s="24"/>
      <c r="C1096" s="17"/>
      <c r="D1096" s="5" t="e">
        <f>VLOOKUP(B1096,'[1]Base de datos'!$B:$F,2,FALSE)</f>
        <v>#N/A</v>
      </c>
      <c r="E1096" t="e">
        <f>VLOOKUP(B1096,'[1]Base de datos'!$B:$E,3,FALSE)</f>
        <v>#N/A</v>
      </c>
      <c r="F1096" t="e">
        <f>VLOOKUP(B1096,'[1]Base de datos'!$B:$E,4,FALSE)</f>
        <v>#N/A</v>
      </c>
    </row>
    <row r="1097" spans="2:6" x14ac:dyDescent="0.25">
      <c r="B1097" s="24"/>
      <c r="C1097" s="17"/>
      <c r="D1097" s="5" t="e">
        <f>VLOOKUP(B1097,'[1]Base de datos'!$B:$F,2,FALSE)</f>
        <v>#N/A</v>
      </c>
      <c r="E1097" t="e">
        <f>VLOOKUP(B1097,'[1]Base de datos'!$B:$E,3,FALSE)</f>
        <v>#N/A</v>
      </c>
      <c r="F1097" t="e">
        <f>VLOOKUP(B1097,'[1]Base de datos'!$B:$E,4,FALSE)</f>
        <v>#N/A</v>
      </c>
    </row>
    <row r="1098" spans="2:6" x14ac:dyDescent="0.25">
      <c r="B1098" s="24"/>
      <c r="C1098" s="17"/>
      <c r="D1098" s="5" t="e">
        <f>VLOOKUP(B1098,'[1]Base de datos'!$B:$F,2,FALSE)</f>
        <v>#N/A</v>
      </c>
      <c r="E1098" t="e">
        <f>VLOOKUP(B1098,'[1]Base de datos'!$B:$E,3,FALSE)</f>
        <v>#N/A</v>
      </c>
      <c r="F1098" t="e">
        <f>VLOOKUP(B1098,'[1]Base de datos'!$B:$E,4,FALSE)</f>
        <v>#N/A</v>
      </c>
    </row>
    <row r="1099" spans="2:6" x14ac:dyDescent="0.25">
      <c r="B1099" s="24"/>
      <c r="C1099" s="17"/>
      <c r="D1099" s="5" t="e">
        <f>VLOOKUP(B1099,'[1]Base de datos'!$B:$F,2,FALSE)</f>
        <v>#N/A</v>
      </c>
      <c r="E1099" t="e">
        <f>VLOOKUP(B1099,'[1]Base de datos'!$B:$E,3,FALSE)</f>
        <v>#N/A</v>
      </c>
      <c r="F1099" t="e">
        <f>VLOOKUP(B1099,'[1]Base de datos'!$B:$E,4,FALSE)</f>
        <v>#N/A</v>
      </c>
    </row>
    <row r="1100" spans="2:6" x14ac:dyDescent="0.25">
      <c r="B1100" s="24"/>
      <c r="C1100" s="17"/>
      <c r="D1100" s="5" t="e">
        <f>VLOOKUP(B1100,'[1]Base de datos'!$B:$F,2,FALSE)</f>
        <v>#N/A</v>
      </c>
      <c r="E1100" t="e">
        <f>VLOOKUP(B1100,'[1]Base de datos'!$B:$E,3,FALSE)</f>
        <v>#N/A</v>
      </c>
      <c r="F1100" t="e">
        <f>VLOOKUP(B1100,'[1]Base de datos'!$B:$E,4,FALSE)</f>
        <v>#N/A</v>
      </c>
    </row>
    <row r="1101" spans="2:6" x14ac:dyDescent="0.25">
      <c r="B1101" s="24"/>
      <c r="C1101" s="17"/>
      <c r="D1101" s="5" t="e">
        <f>VLOOKUP(B1101,'[1]Base de datos'!$B:$F,2,FALSE)</f>
        <v>#N/A</v>
      </c>
      <c r="E1101" t="e">
        <f>VLOOKUP(B1101,'[1]Base de datos'!$B:$E,3,FALSE)</f>
        <v>#N/A</v>
      </c>
      <c r="F1101" t="e">
        <f>VLOOKUP(B1101,'[1]Base de datos'!$B:$E,4,FALSE)</f>
        <v>#N/A</v>
      </c>
    </row>
    <row r="1102" spans="2:6" x14ac:dyDescent="0.25">
      <c r="B1102" s="24"/>
      <c r="C1102" s="17"/>
      <c r="D1102" s="5" t="e">
        <f>VLOOKUP(B1102,'[1]Base de datos'!$B:$F,2,FALSE)</f>
        <v>#N/A</v>
      </c>
      <c r="E1102" t="e">
        <f>VLOOKUP(B1102,'[1]Base de datos'!$B:$E,3,FALSE)</f>
        <v>#N/A</v>
      </c>
      <c r="F1102" t="e">
        <f>VLOOKUP(B1102,'[1]Base de datos'!$B:$E,4,FALSE)</f>
        <v>#N/A</v>
      </c>
    </row>
    <row r="1103" spans="2:6" x14ac:dyDescent="0.25">
      <c r="B1103" s="24"/>
      <c r="C1103" s="17"/>
      <c r="D1103" s="5" t="e">
        <f>VLOOKUP(B1103,'[1]Base de datos'!$B:$F,2,FALSE)</f>
        <v>#N/A</v>
      </c>
      <c r="E1103" t="e">
        <f>VLOOKUP(B1103,'[1]Base de datos'!$B:$E,3,FALSE)</f>
        <v>#N/A</v>
      </c>
      <c r="F1103" t="e">
        <f>VLOOKUP(B1103,'[1]Base de datos'!$B:$E,4,FALSE)</f>
        <v>#N/A</v>
      </c>
    </row>
    <row r="1104" spans="2:6" x14ac:dyDescent="0.25">
      <c r="B1104" s="24"/>
      <c r="C1104" s="17"/>
      <c r="D1104" s="5" t="e">
        <f>VLOOKUP(B1104,'[1]Base de datos'!$B:$F,2,FALSE)</f>
        <v>#N/A</v>
      </c>
      <c r="E1104" t="e">
        <f>VLOOKUP(B1104,'[1]Base de datos'!$B:$E,3,FALSE)</f>
        <v>#N/A</v>
      </c>
      <c r="F1104" t="e">
        <f>VLOOKUP(B1104,'[1]Base de datos'!$B:$E,4,FALSE)</f>
        <v>#N/A</v>
      </c>
    </row>
    <row r="1105" spans="2:6" x14ac:dyDescent="0.25">
      <c r="B1105" s="24"/>
      <c r="C1105" s="17"/>
      <c r="D1105" s="5" t="e">
        <f>VLOOKUP(B1105,'[1]Base de datos'!$B:$F,2,FALSE)</f>
        <v>#N/A</v>
      </c>
      <c r="E1105" t="e">
        <f>VLOOKUP(B1105,'[1]Base de datos'!$B:$E,3,FALSE)</f>
        <v>#N/A</v>
      </c>
      <c r="F1105" t="e">
        <f>VLOOKUP(B1105,'[1]Base de datos'!$B:$E,4,FALSE)</f>
        <v>#N/A</v>
      </c>
    </row>
    <row r="1106" spans="2:6" x14ac:dyDescent="0.25">
      <c r="B1106" s="24"/>
      <c r="C1106" s="17"/>
      <c r="D1106" s="5" t="e">
        <f>VLOOKUP(B1106,'[1]Base de datos'!$B:$F,2,FALSE)</f>
        <v>#N/A</v>
      </c>
      <c r="E1106" t="e">
        <f>VLOOKUP(B1106,'[1]Base de datos'!$B:$E,3,FALSE)</f>
        <v>#N/A</v>
      </c>
      <c r="F1106" t="e">
        <f>VLOOKUP(B1106,'[1]Base de datos'!$B:$E,4,FALSE)</f>
        <v>#N/A</v>
      </c>
    </row>
    <row r="1107" spans="2:6" x14ac:dyDescent="0.25">
      <c r="B1107" s="24"/>
      <c r="C1107" s="17"/>
      <c r="D1107" s="5" t="e">
        <f>VLOOKUP(B1107,'[1]Base de datos'!$B:$F,2,FALSE)</f>
        <v>#N/A</v>
      </c>
      <c r="E1107" t="e">
        <f>VLOOKUP(B1107,'[1]Base de datos'!$B:$E,3,FALSE)</f>
        <v>#N/A</v>
      </c>
      <c r="F1107" t="e">
        <f>VLOOKUP(B1107,'[1]Base de datos'!$B:$E,4,FALSE)</f>
        <v>#N/A</v>
      </c>
    </row>
    <row r="1108" spans="2:6" x14ac:dyDescent="0.25">
      <c r="B1108" s="24"/>
      <c r="C1108" s="17"/>
      <c r="D1108" s="5" t="e">
        <f>VLOOKUP(B1108,'[1]Base de datos'!$B:$F,2,FALSE)</f>
        <v>#N/A</v>
      </c>
      <c r="E1108" t="e">
        <f>VLOOKUP(B1108,'[1]Base de datos'!$B:$E,3,FALSE)</f>
        <v>#N/A</v>
      </c>
      <c r="F1108" t="e">
        <f>VLOOKUP(B1108,'[1]Base de datos'!$B:$E,4,FALSE)</f>
        <v>#N/A</v>
      </c>
    </row>
    <row r="1109" spans="2:6" x14ac:dyDescent="0.25">
      <c r="B1109" s="24"/>
      <c r="C1109" s="17"/>
      <c r="D1109" s="5" t="e">
        <f>VLOOKUP(B1109,'[1]Base de datos'!$B:$F,2,FALSE)</f>
        <v>#N/A</v>
      </c>
      <c r="E1109" t="e">
        <f>VLOOKUP(B1109,'[1]Base de datos'!$B:$E,3,FALSE)</f>
        <v>#N/A</v>
      </c>
      <c r="F1109" t="e">
        <f>VLOOKUP(B1109,'[1]Base de datos'!$B:$E,4,FALSE)</f>
        <v>#N/A</v>
      </c>
    </row>
    <row r="1110" spans="2:6" x14ac:dyDescent="0.25">
      <c r="B1110" s="24"/>
      <c r="C1110" s="17"/>
      <c r="D1110" s="5" t="e">
        <f>VLOOKUP(B1110,'[1]Base de datos'!$B:$F,2,FALSE)</f>
        <v>#N/A</v>
      </c>
      <c r="E1110" t="e">
        <f>VLOOKUP(B1110,'[1]Base de datos'!$B:$E,3,FALSE)</f>
        <v>#N/A</v>
      </c>
      <c r="F1110" t="e">
        <f>VLOOKUP(B1110,'[1]Base de datos'!$B:$E,4,FALSE)</f>
        <v>#N/A</v>
      </c>
    </row>
    <row r="1111" spans="2:6" x14ac:dyDescent="0.25">
      <c r="B1111" s="24"/>
      <c r="C1111" s="17"/>
      <c r="D1111" s="5" t="e">
        <f>VLOOKUP(B1111,'[1]Base de datos'!$B:$F,2,FALSE)</f>
        <v>#N/A</v>
      </c>
      <c r="E1111" t="e">
        <f>VLOOKUP(B1111,'[1]Base de datos'!$B:$E,3,FALSE)</f>
        <v>#N/A</v>
      </c>
      <c r="F1111" t="e">
        <f>VLOOKUP(B1111,'[1]Base de datos'!$B:$E,4,FALSE)</f>
        <v>#N/A</v>
      </c>
    </row>
    <row r="1112" spans="2:6" x14ac:dyDescent="0.25">
      <c r="B1112" s="24"/>
      <c r="C1112" s="17"/>
      <c r="D1112" s="5" t="e">
        <f>VLOOKUP(B1112,'[1]Base de datos'!$B:$F,2,FALSE)</f>
        <v>#N/A</v>
      </c>
      <c r="E1112" t="e">
        <f>VLOOKUP(B1112,'[1]Base de datos'!$B:$E,3,FALSE)</f>
        <v>#N/A</v>
      </c>
      <c r="F1112" t="e">
        <f>VLOOKUP(B1112,'[1]Base de datos'!$B:$E,4,FALSE)</f>
        <v>#N/A</v>
      </c>
    </row>
    <row r="1113" spans="2:6" x14ac:dyDescent="0.25">
      <c r="B1113" s="24"/>
      <c r="C1113" s="17"/>
      <c r="D1113" s="5" t="e">
        <f>VLOOKUP(B1113,'[1]Base de datos'!$B:$F,2,FALSE)</f>
        <v>#N/A</v>
      </c>
      <c r="E1113" t="e">
        <f>VLOOKUP(B1113,'[1]Base de datos'!$B:$E,3,FALSE)</f>
        <v>#N/A</v>
      </c>
      <c r="F1113" t="e">
        <f>VLOOKUP(B1113,'[1]Base de datos'!$B:$E,4,FALSE)</f>
        <v>#N/A</v>
      </c>
    </row>
    <row r="1114" spans="2:6" x14ac:dyDescent="0.25">
      <c r="B1114" s="24"/>
      <c r="C1114" s="17"/>
      <c r="D1114" s="5" t="e">
        <f>VLOOKUP(B1114,'[1]Base de datos'!$B:$F,2,FALSE)</f>
        <v>#N/A</v>
      </c>
      <c r="E1114" t="e">
        <f>VLOOKUP(B1114,'[1]Base de datos'!$B:$E,3,FALSE)</f>
        <v>#N/A</v>
      </c>
      <c r="F1114" t="e">
        <f>VLOOKUP(B1114,'[1]Base de datos'!$B:$E,4,FALSE)</f>
        <v>#N/A</v>
      </c>
    </row>
    <row r="1115" spans="2:6" x14ac:dyDescent="0.25">
      <c r="B1115" s="24"/>
      <c r="C1115" s="17"/>
      <c r="D1115" s="5" t="e">
        <f>VLOOKUP(B1115,'[1]Base de datos'!$B:$F,2,FALSE)</f>
        <v>#N/A</v>
      </c>
      <c r="E1115" t="e">
        <f>VLOOKUP(B1115,'[1]Base de datos'!$B:$E,3,FALSE)</f>
        <v>#N/A</v>
      </c>
      <c r="F1115" t="e">
        <f>VLOOKUP(B1115,'[1]Base de datos'!$B:$E,4,FALSE)</f>
        <v>#N/A</v>
      </c>
    </row>
    <row r="1116" spans="2:6" x14ac:dyDescent="0.25">
      <c r="B1116" s="24"/>
      <c r="C1116" s="17"/>
      <c r="D1116" s="5" t="e">
        <f>VLOOKUP(B1116,'[1]Base de datos'!$B:$F,2,FALSE)</f>
        <v>#N/A</v>
      </c>
      <c r="E1116" t="e">
        <f>VLOOKUP(B1116,'[1]Base de datos'!$B:$E,3,FALSE)</f>
        <v>#N/A</v>
      </c>
      <c r="F1116" t="e">
        <f>VLOOKUP(B1116,'[1]Base de datos'!$B:$E,4,FALSE)</f>
        <v>#N/A</v>
      </c>
    </row>
    <row r="1117" spans="2:6" x14ac:dyDescent="0.25">
      <c r="B1117" s="24"/>
      <c r="C1117" s="17"/>
      <c r="D1117" s="5" t="e">
        <f>VLOOKUP(B1117,'[1]Base de datos'!$B:$F,2,FALSE)</f>
        <v>#N/A</v>
      </c>
      <c r="E1117" t="e">
        <f>VLOOKUP(B1117,'[1]Base de datos'!$B:$E,3,FALSE)</f>
        <v>#N/A</v>
      </c>
      <c r="F1117" t="e">
        <f>VLOOKUP(B1117,'[1]Base de datos'!$B:$E,4,FALSE)</f>
        <v>#N/A</v>
      </c>
    </row>
    <row r="1118" spans="2:6" x14ac:dyDescent="0.25">
      <c r="B1118" s="24"/>
      <c r="C1118" s="17"/>
      <c r="D1118" s="5" t="e">
        <f>VLOOKUP(B1118,'[1]Base de datos'!$B:$F,2,FALSE)</f>
        <v>#N/A</v>
      </c>
      <c r="E1118" t="e">
        <f>VLOOKUP(B1118,'[1]Base de datos'!$B:$E,3,FALSE)</f>
        <v>#N/A</v>
      </c>
      <c r="F1118" t="e">
        <f>VLOOKUP(B1118,'[1]Base de datos'!$B:$E,4,FALSE)</f>
        <v>#N/A</v>
      </c>
    </row>
    <row r="1119" spans="2:6" x14ac:dyDescent="0.25">
      <c r="B1119" s="24"/>
      <c r="C1119" s="17"/>
      <c r="D1119" s="5" t="e">
        <f>VLOOKUP(B1119,'[1]Base de datos'!$B:$F,2,FALSE)</f>
        <v>#N/A</v>
      </c>
      <c r="E1119" t="e">
        <f>VLOOKUP(B1119,'[1]Base de datos'!$B:$E,3,FALSE)</f>
        <v>#N/A</v>
      </c>
      <c r="F1119" t="e">
        <f>VLOOKUP(B1119,'[1]Base de datos'!$B:$E,4,FALSE)</f>
        <v>#N/A</v>
      </c>
    </row>
    <row r="1120" spans="2:6" x14ac:dyDescent="0.25">
      <c r="B1120" s="24"/>
      <c r="C1120" s="17"/>
      <c r="D1120" s="5" t="e">
        <f>VLOOKUP(B1120,'[1]Base de datos'!$B:$F,2,FALSE)</f>
        <v>#N/A</v>
      </c>
      <c r="E1120" t="e">
        <f>VLOOKUP(B1120,'[1]Base de datos'!$B:$E,3,FALSE)</f>
        <v>#N/A</v>
      </c>
      <c r="F1120" t="e">
        <f>VLOOKUP(B1120,'[1]Base de datos'!$B:$E,4,FALSE)</f>
        <v>#N/A</v>
      </c>
    </row>
    <row r="1121" spans="2:6" x14ac:dyDescent="0.25">
      <c r="B1121" s="24"/>
      <c r="C1121" s="17"/>
      <c r="D1121" s="5" t="e">
        <f>VLOOKUP(B1121,'[1]Base de datos'!$B:$F,2,FALSE)</f>
        <v>#N/A</v>
      </c>
      <c r="E1121" t="e">
        <f>VLOOKUP(B1121,'[1]Base de datos'!$B:$E,3,FALSE)</f>
        <v>#N/A</v>
      </c>
      <c r="F1121" t="e">
        <f>VLOOKUP(B1121,'[1]Base de datos'!$B:$E,4,FALSE)</f>
        <v>#N/A</v>
      </c>
    </row>
    <row r="1122" spans="2:6" x14ac:dyDescent="0.25">
      <c r="B1122" s="24"/>
      <c r="C1122" s="17"/>
      <c r="D1122" s="5" t="e">
        <f>VLOOKUP(B1122,'[1]Base de datos'!$B:$F,2,FALSE)</f>
        <v>#N/A</v>
      </c>
      <c r="E1122" t="e">
        <f>VLOOKUP(B1122,'[1]Base de datos'!$B:$E,3,FALSE)</f>
        <v>#N/A</v>
      </c>
      <c r="F1122" t="e">
        <f>VLOOKUP(B1122,'[1]Base de datos'!$B:$E,4,FALSE)</f>
        <v>#N/A</v>
      </c>
    </row>
    <row r="1123" spans="2:6" x14ac:dyDescent="0.25">
      <c r="B1123" s="24"/>
      <c r="C1123" s="17"/>
      <c r="D1123" s="5" t="e">
        <f>VLOOKUP(B1123,'[1]Base de datos'!$B:$F,2,FALSE)</f>
        <v>#N/A</v>
      </c>
      <c r="E1123" t="e">
        <f>VLOOKUP(B1123,'[1]Base de datos'!$B:$E,3,FALSE)</f>
        <v>#N/A</v>
      </c>
      <c r="F1123" t="e">
        <f>VLOOKUP(B1123,'[1]Base de datos'!$B:$E,4,FALSE)</f>
        <v>#N/A</v>
      </c>
    </row>
    <row r="1124" spans="2:6" x14ac:dyDescent="0.25">
      <c r="B1124" s="24"/>
      <c r="C1124" s="17"/>
      <c r="D1124" s="5" t="e">
        <f>VLOOKUP(B1124,'[1]Base de datos'!$B:$F,2,FALSE)</f>
        <v>#N/A</v>
      </c>
      <c r="E1124" t="e">
        <f>VLOOKUP(B1124,'[1]Base de datos'!$B:$E,3,FALSE)</f>
        <v>#N/A</v>
      </c>
      <c r="F1124" t="e">
        <f>VLOOKUP(B1124,'[1]Base de datos'!$B:$E,4,FALSE)</f>
        <v>#N/A</v>
      </c>
    </row>
    <row r="1125" spans="2:6" x14ac:dyDescent="0.25">
      <c r="B1125" s="24"/>
      <c r="C1125" s="17"/>
      <c r="D1125" s="5" t="e">
        <f>VLOOKUP(B1125,'[1]Base de datos'!$B:$F,2,FALSE)</f>
        <v>#N/A</v>
      </c>
      <c r="E1125" t="e">
        <f>VLOOKUP(B1125,'[1]Base de datos'!$B:$E,3,FALSE)</f>
        <v>#N/A</v>
      </c>
      <c r="F1125" t="e">
        <f>VLOOKUP(B1125,'[1]Base de datos'!$B:$E,4,FALSE)</f>
        <v>#N/A</v>
      </c>
    </row>
    <row r="1126" spans="2:6" x14ac:dyDescent="0.25">
      <c r="B1126" s="24"/>
      <c r="C1126" s="17"/>
      <c r="D1126" s="5" t="e">
        <f>VLOOKUP(B1126,'[1]Base de datos'!$B:$F,2,FALSE)</f>
        <v>#N/A</v>
      </c>
      <c r="E1126" t="e">
        <f>VLOOKUP(B1126,'[1]Base de datos'!$B:$E,3,FALSE)</f>
        <v>#N/A</v>
      </c>
      <c r="F1126" t="e">
        <f>VLOOKUP(B1126,'[1]Base de datos'!$B:$E,4,FALSE)</f>
        <v>#N/A</v>
      </c>
    </row>
    <row r="1127" spans="2:6" x14ac:dyDescent="0.25">
      <c r="B1127" s="24"/>
      <c r="C1127" s="17"/>
      <c r="D1127" s="5" t="e">
        <f>VLOOKUP(B1127,'[1]Base de datos'!$B:$F,2,FALSE)</f>
        <v>#N/A</v>
      </c>
      <c r="E1127" t="e">
        <f>VLOOKUP(B1127,'[1]Base de datos'!$B:$E,3,FALSE)</f>
        <v>#N/A</v>
      </c>
      <c r="F1127" t="e">
        <f>VLOOKUP(B1127,'[1]Base de datos'!$B:$E,4,FALSE)</f>
        <v>#N/A</v>
      </c>
    </row>
    <row r="1128" spans="2:6" x14ac:dyDescent="0.25">
      <c r="B1128" s="24"/>
      <c r="C1128" s="17"/>
      <c r="D1128" s="5" t="e">
        <f>VLOOKUP(B1128,'[1]Base de datos'!$B:$F,2,FALSE)</f>
        <v>#N/A</v>
      </c>
      <c r="E1128" t="e">
        <f>VLOOKUP(B1128,'[1]Base de datos'!$B:$E,3,FALSE)</f>
        <v>#N/A</v>
      </c>
      <c r="F1128" t="e">
        <f>VLOOKUP(B1128,'[1]Base de datos'!$B:$E,4,FALSE)</f>
        <v>#N/A</v>
      </c>
    </row>
    <row r="1129" spans="2:6" x14ac:dyDescent="0.25">
      <c r="B1129" s="24"/>
      <c r="C1129" s="17"/>
      <c r="D1129" s="5" t="e">
        <f>VLOOKUP(B1129,'[1]Base de datos'!$B:$F,2,FALSE)</f>
        <v>#N/A</v>
      </c>
      <c r="E1129" t="e">
        <f>VLOOKUP(B1129,'[1]Base de datos'!$B:$E,3,FALSE)</f>
        <v>#N/A</v>
      </c>
      <c r="F1129" t="e">
        <f>VLOOKUP(B1129,'[1]Base de datos'!$B:$E,4,FALSE)</f>
        <v>#N/A</v>
      </c>
    </row>
    <row r="1130" spans="2:6" x14ac:dyDescent="0.25">
      <c r="B1130" s="24"/>
      <c r="C1130" s="17"/>
      <c r="D1130" s="5" t="e">
        <f>VLOOKUP(B1130,'[1]Base de datos'!$B:$F,2,FALSE)</f>
        <v>#N/A</v>
      </c>
      <c r="E1130" t="e">
        <f>VLOOKUP(B1130,'[1]Base de datos'!$B:$E,3,FALSE)</f>
        <v>#N/A</v>
      </c>
      <c r="F1130" t="e">
        <f>VLOOKUP(B1130,'[1]Base de datos'!$B:$E,4,FALSE)</f>
        <v>#N/A</v>
      </c>
    </row>
    <row r="1131" spans="2:6" x14ac:dyDescent="0.25">
      <c r="B1131" s="24"/>
      <c r="C1131" s="17"/>
      <c r="D1131" s="5" t="e">
        <f>VLOOKUP(B1131,'[1]Base de datos'!$B:$F,2,FALSE)</f>
        <v>#N/A</v>
      </c>
      <c r="E1131" t="e">
        <f>VLOOKUP(B1131,'[1]Base de datos'!$B:$E,3,FALSE)</f>
        <v>#N/A</v>
      </c>
      <c r="F1131" t="e">
        <f>VLOOKUP(B1131,'[1]Base de datos'!$B:$E,4,FALSE)</f>
        <v>#N/A</v>
      </c>
    </row>
    <row r="1132" spans="2:6" x14ac:dyDescent="0.25">
      <c r="B1132" s="24"/>
      <c r="C1132" s="17"/>
      <c r="D1132" s="5" t="e">
        <f>VLOOKUP(B1132,'[1]Base de datos'!$B:$F,2,FALSE)</f>
        <v>#N/A</v>
      </c>
      <c r="E1132" t="e">
        <f>VLOOKUP(B1132,'[1]Base de datos'!$B:$E,3,FALSE)</f>
        <v>#N/A</v>
      </c>
      <c r="F1132" t="e">
        <f>VLOOKUP(B1132,'[1]Base de datos'!$B:$E,4,FALSE)</f>
        <v>#N/A</v>
      </c>
    </row>
    <row r="1133" spans="2:6" x14ac:dyDescent="0.25">
      <c r="B1133" s="24"/>
      <c r="C1133" s="17"/>
      <c r="D1133" s="5" t="e">
        <f>VLOOKUP(B1133,'[1]Base de datos'!$B:$F,2,FALSE)</f>
        <v>#N/A</v>
      </c>
      <c r="E1133" t="e">
        <f>VLOOKUP(B1133,'[1]Base de datos'!$B:$E,3,FALSE)</f>
        <v>#N/A</v>
      </c>
      <c r="F1133" t="e">
        <f>VLOOKUP(B1133,'[1]Base de datos'!$B:$E,4,FALSE)</f>
        <v>#N/A</v>
      </c>
    </row>
    <row r="1134" spans="2:6" x14ac:dyDescent="0.25">
      <c r="B1134" s="24"/>
      <c r="C1134" s="17"/>
      <c r="D1134" s="5" t="e">
        <f>VLOOKUP(B1134,'[1]Base de datos'!$B:$F,2,FALSE)</f>
        <v>#N/A</v>
      </c>
      <c r="E1134" t="e">
        <f>VLOOKUP(B1134,'[1]Base de datos'!$B:$E,3,FALSE)</f>
        <v>#N/A</v>
      </c>
      <c r="F1134" t="e">
        <f>VLOOKUP(B1134,'[1]Base de datos'!$B:$E,4,FALSE)</f>
        <v>#N/A</v>
      </c>
    </row>
    <row r="1135" spans="2:6" x14ac:dyDescent="0.25">
      <c r="B1135" s="24"/>
      <c r="C1135" s="17"/>
      <c r="D1135" s="5" t="e">
        <f>VLOOKUP(B1135,'[1]Base de datos'!$B:$F,2,FALSE)</f>
        <v>#N/A</v>
      </c>
      <c r="E1135" t="e">
        <f>VLOOKUP(B1135,'[1]Base de datos'!$B:$E,3,FALSE)</f>
        <v>#N/A</v>
      </c>
      <c r="F1135" t="e">
        <f>VLOOKUP(B1135,'[1]Base de datos'!$B:$E,4,FALSE)</f>
        <v>#N/A</v>
      </c>
    </row>
    <row r="1136" spans="2:6" x14ac:dyDescent="0.25">
      <c r="B1136" s="24"/>
      <c r="C1136" s="17"/>
      <c r="D1136" s="5" t="e">
        <f>VLOOKUP(B1136,'[1]Base de datos'!$B:$F,2,FALSE)</f>
        <v>#N/A</v>
      </c>
      <c r="E1136" t="e">
        <f>VLOOKUP(B1136,'[1]Base de datos'!$B:$E,3,FALSE)</f>
        <v>#N/A</v>
      </c>
      <c r="F1136" t="e">
        <f>VLOOKUP(B1136,'[1]Base de datos'!$B:$E,4,FALSE)</f>
        <v>#N/A</v>
      </c>
    </row>
    <row r="1137" spans="2:6" x14ac:dyDescent="0.25">
      <c r="B1137" s="24"/>
      <c r="C1137" s="17"/>
      <c r="D1137" s="5" t="e">
        <f>VLOOKUP(B1137,'[1]Base de datos'!$B:$F,2,FALSE)</f>
        <v>#N/A</v>
      </c>
      <c r="E1137" t="e">
        <f>VLOOKUP(B1137,'[1]Base de datos'!$B:$E,3,FALSE)</f>
        <v>#N/A</v>
      </c>
      <c r="F1137" t="e">
        <f>VLOOKUP(B1137,'[1]Base de datos'!$B:$E,4,FALSE)</f>
        <v>#N/A</v>
      </c>
    </row>
    <row r="1138" spans="2:6" x14ac:dyDescent="0.25">
      <c r="B1138" s="24"/>
      <c r="C1138" s="17"/>
      <c r="D1138" s="5" t="e">
        <f>VLOOKUP(B1138,'[1]Base de datos'!$B:$F,2,FALSE)</f>
        <v>#N/A</v>
      </c>
      <c r="E1138" t="e">
        <f>VLOOKUP(B1138,'[1]Base de datos'!$B:$E,3,FALSE)</f>
        <v>#N/A</v>
      </c>
      <c r="F1138" t="e">
        <f>VLOOKUP(B1138,'[1]Base de datos'!$B:$E,4,FALSE)</f>
        <v>#N/A</v>
      </c>
    </row>
    <row r="1139" spans="2:6" x14ac:dyDescent="0.25">
      <c r="B1139" s="24"/>
      <c r="C1139" s="17"/>
      <c r="D1139" s="5" t="e">
        <f>VLOOKUP(B1139,'[1]Base de datos'!$B:$F,2,FALSE)</f>
        <v>#N/A</v>
      </c>
      <c r="E1139" t="e">
        <f>VLOOKUP(B1139,'[1]Base de datos'!$B:$E,3,FALSE)</f>
        <v>#N/A</v>
      </c>
      <c r="F1139" t="e">
        <f>VLOOKUP(B1139,'[1]Base de datos'!$B:$E,4,FALSE)</f>
        <v>#N/A</v>
      </c>
    </row>
    <row r="1140" spans="2:6" x14ac:dyDescent="0.25">
      <c r="B1140" s="24"/>
      <c r="C1140" s="17"/>
      <c r="D1140" s="5" t="e">
        <f>VLOOKUP(B1140,'[1]Base de datos'!$B:$F,2,FALSE)</f>
        <v>#N/A</v>
      </c>
      <c r="E1140" t="e">
        <f>VLOOKUP(B1140,'[1]Base de datos'!$B:$E,3,FALSE)</f>
        <v>#N/A</v>
      </c>
      <c r="F1140" t="e">
        <f>VLOOKUP(B1140,'[1]Base de datos'!$B:$E,4,FALSE)</f>
        <v>#N/A</v>
      </c>
    </row>
    <row r="1141" spans="2:6" x14ac:dyDescent="0.25">
      <c r="B1141" s="24"/>
      <c r="C1141" s="17"/>
      <c r="D1141" s="5" t="e">
        <f>VLOOKUP(B1141,'[1]Base de datos'!$B:$F,2,FALSE)</f>
        <v>#N/A</v>
      </c>
      <c r="E1141" t="e">
        <f>VLOOKUP(B1141,'[1]Base de datos'!$B:$E,3,FALSE)</f>
        <v>#N/A</v>
      </c>
      <c r="F1141" t="e">
        <f>VLOOKUP(B1141,'[1]Base de datos'!$B:$E,4,FALSE)</f>
        <v>#N/A</v>
      </c>
    </row>
    <row r="1142" spans="2:6" x14ac:dyDescent="0.25">
      <c r="B1142" s="24"/>
      <c r="C1142" s="17"/>
      <c r="D1142" s="5" t="e">
        <f>VLOOKUP(B1142,'[1]Base de datos'!$B:$F,2,FALSE)</f>
        <v>#N/A</v>
      </c>
      <c r="E1142" t="e">
        <f>VLOOKUP(B1142,'[1]Base de datos'!$B:$E,3,FALSE)</f>
        <v>#N/A</v>
      </c>
      <c r="F1142" t="e">
        <f>VLOOKUP(B1142,'[1]Base de datos'!$B:$E,4,FALSE)</f>
        <v>#N/A</v>
      </c>
    </row>
    <row r="1143" spans="2:6" x14ac:dyDescent="0.25">
      <c r="B1143" s="24"/>
      <c r="C1143" s="17"/>
      <c r="D1143" s="5" t="e">
        <f>VLOOKUP(B1143,'[1]Base de datos'!$B:$F,2,FALSE)</f>
        <v>#N/A</v>
      </c>
      <c r="E1143" t="e">
        <f>VLOOKUP(B1143,'[1]Base de datos'!$B:$E,3,FALSE)</f>
        <v>#N/A</v>
      </c>
      <c r="F1143" t="e">
        <f>VLOOKUP(B1143,'[1]Base de datos'!$B:$E,4,FALSE)</f>
        <v>#N/A</v>
      </c>
    </row>
    <row r="1144" spans="2:6" x14ac:dyDescent="0.25">
      <c r="B1144" s="24"/>
      <c r="C1144" s="17"/>
      <c r="D1144" s="5" t="e">
        <f>VLOOKUP(B1144,'[1]Base de datos'!$B:$F,2,FALSE)</f>
        <v>#N/A</v>
      </c>
      <c r="E1144" t="e">
        <f>VLOOKUP(B1144,'[1]Base de datos'!$B:$E,3,FALSE)</f>
        <v>#N/A</v>
      </c>
      <c r="F1144" t="e">
        <f>VLOOKUP(B1144,'[1]Base de datos'!$B:$E,4,FALSE)</f>
        <v>#N/A</v>
      </c>
    </row>
    <row r="1145" spans="2:6" x14ac:dyDescent="0.25">
      <c r="B1145" s="24"/>
      <c r="C1145" s="17"/>
      <c r="D1145" s="5" t="e">
        <f>VLOOKUP(B1145,'[1]Base de datos'!$B:$F,2,FALSE)</f>
        <v>#N/A</v>
      </c>
      <c r="E1145" t="e">
        <f>VLOOKUP(B1145,'[1]Base de datos'!$B:$E,3,FALSE)</f>
        <v>#N/A</v>
      </c>
      <c r="F1145" t="e">
        <f>VLOOKUP(B1145,'[1]Base de datos'!$B:$E,4,FALSE)</f>
        <v>#N/A</v>
      </c>
    </row>
    <row r="1146" spans="2:6" x14ac:dyDescent="0.25">
      <c r="B1146" s="24"/>
      <c r="C1146" s="17"/>
      <c r="D1146" s="5" t="e">
        <f>VLOOKUP(B1146,'[1]Base de datos'!$B:$F,2,FALSE)</f>
        <v>#N/A</v>
      </c>
      <c r="E1146" t="e">
        <f>VLOOKUP(B1146,'[1]Base de datos'!$B:$E,3,FALSE)</f>
        <v>#N/A</v>
      </c>
      <c r="F1146" t="e">
        <f>VLOOKUP(B1146,'[1]Base de datos'!$B:$E,4,FALSE)</f>
        <v>#N/A</v>
      </c>
    </row>
    <row r="1147" spans="2:6" x14ac:dyDescent="0.25">
      <c r="B1147" s="24"/>
      <c r="C1147" s="17"/>
      <c r="D1147" s="5" t="e">
        <f>VLOOKUP(B1147,'[1]Base de datos'!$B:$F,2,FALSE)</f>
        <v>#N/A</v>
      </c>
      <c r="E1147" t="e">
        <f>VLOOKUP(B1147,'[1]Base de datos'!$B:$E,3,FALSE)</f>
        <v>#N/A</v>
      </c>
      <c r="F1147" t="e">
        <f>VLOOKUP(B1147,'[1]Base de datos'!$B:$E,4,FALSE)</f>
        <v>#N/A</v>
      </c>
    </row>
    <row r="1148" spans="2:6" x14ac:dyDescent="0.25">
      <c r="B1148" s="24"/>
      <c r="C1148" s="17"/>
      <c r="D1148" s="5" t="e">
        <f>VLOOKUP(B1148,'[1]Base de datos'!$B:$F,2,FALSE)</f>
        <v>#N/A</v>
      </c>
      <c r="E1148" t="e">
        <f>VLOOKUP(B1148,'[1]Base de datos'!$B:$E,3,FALSE)</f>
        <v>#N/A</v>
      </c>
      <c r="F1148" t="e">
        <f>VLOOKUP(B1148,'[1]Base de datos'!$B:$E,4,FALSE)</f>
        <v>#N/A</v>
      </c>
    </row>
    <row r="1149" spans="2:6" x14ac:dyDescent="0.25">
      <c r="B1149" s="24"/>
      <c r="C1149" s="17"/>
      <c r="D1149" s="5" t="e">
        <f>VLOOKUP(B1149,'[1]Base de datos'!$B:$F,2,FALSE)</f>
        <v>#N/A</v>
      </c>
      <c r="E1149" t="e">
        <f>VLOOKUP(B1149,'[1]Base de datos'!$B:$E,3,FALSE)</f>
        <v>#N/A</v>
      </c>
      <c r="F1149" t="e">
        <f>VLOOKUP(B1149,'[1]Base de datos'!$B:$E,4,FALSE)</f>
        <v>#N/A</v>
      </c>
    </row>
    <row r="1150" spans="2:6" x14ac:dyDescent="0.25">
      <c r="B1150" s="24"/>
      <c r="C1150" s="17"/>
      <c r="D1150" s="5" t="e">
        <f>VLOOKUP(B1150,'[1]Base de datos'!$B:$F,2,FALSE)</f>
        <v>#N/A</v>
      </c>
      <c r="E1150" t="e">
        <f>VLOOKUP(B1150,'[1]Base de datos'!$B:$E,3,FALSE)</f>
        <v>#N/A</v>
      </c>
      <c r="F1150" t="e">
        <f>VLOOKUP(B1150,'[1]Base de datos'!$B:$E,4,FALSE)</f>
        <v>#N/A</v>
      </c>
    </row>
    <row r="1151" spans="2:6" x14ac:dyDescent="0.25">
      <c r="B1151" s="24"/>
      <c r="C1151" s="17"/>
      <c r="D1151" s="5" t="e">
        <f>VLOOKUP(B1151,'[1]Base de datos'!$B:$F,2,FALSE)</f>
        <v>#N/A</v>
      </c>
      <c r="E1151" t="e">
        <f>VLOOKUP(B1151,'[1]Base de datos'!$B:$E,3,FALSE)</f>
        <v>#N/A</v>
      </c>
      <c r="F1151" t="e">
        <f>VLOOKUP(B1151,'[1]Base de datos'!$B:$E,4,FALSE)</f>
        <v>#N/A</v>
      </c>
    </row>
    <row r="1152" spans="2:6" x14ac:dyDescent="0.25">
      <c r="B1152" s="24"/>
      <c r="C1152" s="17"/>
      <c r="D1152" s="5" t="e">
        <f>VLOOKUP(B1152,'[1]Base de datos'!$B:$F,2,FALSE)</f>
        <v>#N/A</v>
      </c>
      <c r="E1152" t="e">
        <f>VLOOKUP(B1152,'[1]Base de datos'!$B:$E,3,FALSE)</f>
        <v>#N/A</v>
      </c>
      <c r="F1152" t="e">
        <f>VLOOKUP(B1152,'[1]Base de datos'!$B:$E,4,FALSE)</f>
        <v>#N/A</v>
      </c>
    </row>
    <row r="1153" spans="2:6" x14ac:dyDescent="0.25">
      <c r="B1153" s="24"/>
      <c r="C1153" s="17"/>
      <c r="D1153" s="5" t="e">
        <f>VLOOKUP(B1153,'[1]Base de datos'!$B:$F,2,FALSE)</f>
        <v>#N/A</v>
      </c>
      <c r="E1153" t="e">
        <f>VLOOKUP(B1153,'[1]Base de datos'!$B:$E,3,FALSE)</f>
        <v>#N/A</v>
      </c>
      <c r="F1153" t="e">
        <f>VLOOKUP(B1153,'[1]Base de datos'!$B:$E,4,FALSE)</f>
        <v>#N/A</v>
      </c>
    </row>
    <row r="1154" spans="2:6" x14ac:dyDescent="0.25">
      <c r="B1154" s="24"/>
      <c r="C1154" s="17"/>
      <c r="D1154" s="5" t="e">
        <f>VLOOKUP(B1154,'[1]Base de datos'!$B:$F,2,FALSE)</f>
        <v>#N/A</v>
      </c>
      <c r="E1154" t="e">
        <f>VLOOKUP(B1154,'[1]Base de datos'!$B:$E,3,FALSE)</f>
        <v>#N/A</v>
      </c>
      <c r="F1154" t="e">
        <f>VLOOKUP(B1154,'[1]Base de datos'!$B:$E,4,FALSE)</f>
        <v>#N/A</v>
      </c>
    </row>
    <row r="1155" spans="2:6" x14ac:dyDescent="0.25">
      <c r="B1155" s="24"/>
      <c r="C1155" s="17"/>
      <c r="D1155" s="5" t="e">
        <f>VLOOKUP(B1155,'[1]Base de datos'!$B:$F,2,FALSE)</f>
        <v>#N/A</v>
      </c>
      <c r="E1155" t="e">
        <f>VLOOKUP(B1155,'[1]Base de datos'!$B:$E,3,FALSE)</f>
        <v>#N/A</v>
      </c>
      <c r="F1155" t="e">
        <f>VLOOKUP(B1155,'[1]Base de datos'!$B:$E,4,FALSE)</f>
        <v>#N/A</v>
      </c>
    </row>
    <row r="1156" spans="2:6" x14ac:dyDescent="0.25">
      <c r="B1156" s="24"/>
      <c r="C1156" s="17"/>
      <c r="D1156" s="5" t="e">
        <f>VLOOKUP(B1156,'[1]Base de datos'!$B:$F,2,FALSE)</f>
        <v>#N/A</v>
      </c>
      <c r="E1156" t="e">
        <f>VLOOKUP(B1156,'[1]Base de datos'!$B:$E,3,FALSE)</f>
        <v>#N/A</v>
      </c>
      <c r="F1156" t="e">
        <f>VLOOKUP(B1156,'[1]Base de datos'!$B:$E,4,FALSE)</f>
        <v>#N/A</v>
      </c>
    </row>
    <row r="1157" spans="2:6" x14ac:dyDescent="0.25">
      <c r="B1157" s="24"/>
      <c r="C1157" s="17"/>
      <c r="D1157" s="5" t="e">
        <f>VLOOKUP(B1157,'[1]Base de datos'!$B:$F,2,FALSE)</f>
        <v>#N/A</v>
      </c>
      <c r="E1157" t="e">
        <f>VLOOKUP(B1157,'[1]Base de datos'!$B:$E,3,FALSE)</f>
        <v>#N/A</v>
      </c>
      <c r="F1157" t="e">
        <f>VLOOKUP(B1157,'[1]Base de datos'!$B:$E,4,FALSE)</f>
        <v>#N/A</v>
      </c>
    </row>
    <row r="1158" spans="2:6" x14ac:dyDescent="0.25">
      <c r="B1158" s="24"/>
      <c r="C1158" s="17"/>
      <c r="D1158" s="5" t="e">
        <f>VLOOKUP(B1158,'[1]Base de datos'!$B:$F,2,FALSE)</f>
        <v>#N/A</v>
      </c>
      <c r="E1158" t="e">
        <f>VLOOKUP(B1158,'[1]Base de datos'!$B:$E,3,FALSE)</f>
        <v>#N/A</v>
      </c>
      <c r="F1158" t="e">
        <f>VLOOKUP(B1158,'[1]Base de datos'!$B:$E,4,FALSE)</f>
        <v>#N/A</v>
      </c>
    </row>
    <row r="1159" spans="2:6" x14ac:dyDescent="0.25">
      <c r="B1159" s="24"/>
      <c r="C1159" s="17"/>
      <c r="D1159" s="5" t="e">
        <f>VLOOKUP(B1159,'[1]Base de datos'!$B:$F,2,FALSE)</f>
        <v>#N/A</v>
      </c>
      <c r="E1159" t="e">
        <f>VLOOKUP(B1159,'[1]Base de datos'!$B:$E,3,FALSE)</f>
        <v>#N/A</v>
      </c>
      <c r="F1159" t="e">
        <f>VLOOKUP(B1159,'[1]Base de datos'!$B:$E,4,FALSE)</f>
        <v>#N/A</v>
      </c>
    </row>
    <row r="1160" spans="2:6" x14ac:dyDescent="0.25">
      <c r="B1160" s="24"/>
      <c r="C1160" s="17"/>
      <c r="D1160" s="5" t="e">
        <f>VLOOKUP(B1160,'[1]Base de datos'!$B:$F,2,FALSE)</f>
        <v>#N/A</v>
      </c>
      <c r="E1160" t="e">
        <f>VLOOKUP(B1160,'[1]Base de datos'!$B:$E,3,FALSE)</f>
        <v>#N/A</v>
      </c>
      <c r="F1160" t="e">
        <f>VLOOKUP(B1160,'[1]Base de datos'!$B:$E,4,FALSE)</f>
        <v>#N/A</v>
      </c>
    </row>
    <row r="1161" spans="2:6" x14ac:dyDescent="0.25">
      <c r="B1161" s="24"/>
      <c r="C1161" s="17"/>
      <c r="D1161" s="5" t="e">
        <f>VLOOKUP(B1161,'[1]Base de datos'!$B:$F,2,FALSE)</f>
        <v>#N/A</v>
      </c>
      <c r="E1161" t="e">
        <f>VLOOKUP(B1161,'[1]Base de datos'!$B:$E,3,FALSE)</f>
        <v>#N/A</v>
      </c>
      <c r="F1161" t="e">
        <f>VLOOKUP(B1161,'[1]Base de datos'!$B:$E,4,FALSE)</f>
        <v>#N/A</v>
      </c>
    </row>
    <row r="1162" spans="2:6" x14ac:dyDescent="0.25">
      <c r="B1162" s="24"/>
      <c r="C1162" s="17"/>
      <c r="D1162" s="5" t="e">
        <f>VLOOKUP(B1162,'[1]Base de datos'!$B:$F,2,FALSE)</f>
        <v>#N/A</v>
      </c>
      <c r="E1162" t="e">
        <f>VLOOKUP(B1162,'[1]Base de datos'!$B:$E,3,FALSE)</f>
        <v>#N/A</v>
      </c>
      <c r="F1162" t="e">
        <f>VLOOKUP(B1162,'[1]Base de datos'!$B:$E,4,FALSE)</f>
        <v>#N/A</v>
      </c>
    </row>
    <row r="1163" spans="2:6" x14ac:dyDescent="0.25">
      <c r="B1163" s="24"/>
      <c r="C1163" s="17"/>
      <c r="D1163" s="5" t="e">
        <f>VLOOKUP(B1163,'[1]Base de datos'!$B:$F,2,FALSE)</f>
        <v>#N/A</v>
      </c>
      <c r="E1163" t="e">
        <f>VLOOKUP(B1163,'[1]Base de datos'!$B:$E,3,FALSE)</f>
        <v>#N/A</v>
      </c>
      <c r="F1163" t="e">
        <f>VLOOKUP(B1163,'[1]Base de datos'!$B:$E,4,FALSE)</f>
        <v>#N/A</v>
      </c>
    </row>
    <row r="1164" spans="2:6" x14ac:dyDescent="0.25">
      <c r="B1164" s="24"/>
      <c r="C1164" s="17"/>
      <c r="D1164" s="5" t="e">
        <f>VLOOKUP(B1164,'[1]Base de datos'!$B:$F,2,FALSE)</f>
        <v>#N/A</v>
      </c>
      <c r="E1164" t="e">
        <f>VLOOKUP(B1164,'[1]Base de datos'!$B:$E,3,FALSE)</f>
        <v>#N/A</v>
      </c>
      <c r="F1164" t="e">
        <f>VLOOKUP(B1164,'[1]Base de datos'!$B:$E,4,FALSE)</f>
        <v>#N/A</v>
      </c>
    </row>
    <row r="1165" spans="2:6" x14ac:dyDescent="0.25">
      <c r="B1165" s="24"/>
      <c r="C1165" s="17"/>
      <c r="D1165" s="5" t="e">
        <f>VLOOKUP(B1165,'[1]Base de datos'!$B:$F,2,FALSE)</f>
        <v>#N/A</v>
      </c>
      <c r="E1165" t="e">
        <f>VLOOKUP(B1165,'[1]Base de datos'!$B:$E,3,FALSE)</f>
        <v>#N/A</v>
      </c>
      <c r="F1165" t="e">
        <f>VLOOKUP(B1165,'[1]Base de datos'!$B:$E,4,FALSE)</f>
        <v>#N/A</v>
      </c>
    </row>
    <row r="1166" spans="2:6" x14ac:dyDescent="0.25">
      <c r="B1166" s="24"/>
      <c r="C1166" s="17"/>
      <c r="D1166" s="5" t="e">
        <f>VLOOKUP(B1166,'[1]Base de datos'!$B:$F,2,FALSE)</f>
        <v>#N/A</v>
      </c>
      <c r="E1166" t="e">
        <f>VLOOKUP(B1166,'[1]Base de datos'!$B:$E,3,FALSE)</f>
        <v>#N/A</v>
      </c>
      <c r="F1166" t="e">
        <f>VLOOKUP(B1166,'[1]Base de datos'!$B:$E,4,FALSE)</f>
        <v>#N/A</v>
      </c>
    </row>
    <row r="1167" spans="2:6" x14ac:dyDescent="0.25">
      <c r="B1167" s="24"/>
      <c r="C1167" s="17"/>
      <c r="D1167" s="5" t="e">
        <f>VLOOKUP(B1167,'[1]Base de datos'!$B:$F,2,FALSE)</f>
        <v>#N/A</v>
      </c>
      <c r="E1167" t="e">
        <f>VLOOKUP(B1167,'[1]Base de datos'!$B:$E,3,FALSE)</f>
        <v>#N/A</v>
      </c>
      <c r="F1167" t="e">
        <f>VLOOKUP(B1167,'[1]Base de datos'!$B:$E,4,FALSE)</f>
        <v>#N/A</v>
      </c>
    </row>
    <row r="1168" spans="2:6" x14ac:dyDescent="0.25">
      <c r="B1168" s="24"/>
      <c r="C1168" s="17"/>
      <c r="D1168" s="5" t="e">
        <f>VLOOKUP(B1168,'[1]Base de datos'!$B:$F,2,FALSE)</f>
        <v>#N/A</v>
      </c>
      <c r="E1168" t="e">
        <f>VLOOKUP(B1168,'[1]Base de datos'!$B:$E,3,FALSE)</f>
        <v>#N/A</v>
      </c>
      <c r="F1168" t="e">
        <f>VLOOKUP(B1168,'[1]Base de datos'!$B:$E,4,FALSE)</f>
        <v>#N/A</v>
      </c>
    </row>
    <row r="1169" spans="2:6" x14ac:dyDescent="0.25">
      <c r="B1169" s="24"/>
      <c r="C1169" s="17"/>
      <c r="D1169" s="5" t="e">
        <f>VLOOKUP(B1169,'[1]Base de datos'!$B:$F,2,FALSE)</f>
        <v>#N/A</v>
      </c>
      <c r="E1169" t="e">
        <f>VLOOKUP(B1169,'[1]Base de datos'!$B:$E,3,FALSE)</f>
        <v>#N/A</v>
      </c>
      <c r="F1169" t="e">
        <f>VLOOKUP(B1169,'[1]Base de datos'!$B:$E,4,FALSE)</f>
        <v>#N/A</v>
      </c>
    </row>
    <row r="1170" spans="2:6" x14ac:dyDescent="0.25">
      <c r="B1170" s="24"/>
      <c r="C1170" s="17"/>
      <c r="D1170" s="5" t="e">
        <f>VLOOKUP(B1170,'[1]Base de datos'!$B:$F,2,FALSE)</f>
        <v>#N/A</v>
      </c>
      <c r="E1170" t="e">
        <f>VLOOKUP(B1170,'[1]Base de datos'!$B:$E,3,FALSE)</f>
        <v>#N/A</v>
      </c>
      <c r="F1170" t="e">
        <f>VLOOKUP(B1170,'[1]Base de datos'!$B:$E,4,FALSE)</f>
        <v>#N/A</v>
      </c>
    </row>
    <row r="1171" spans="2:6" x14ac:dyDescent="0.25">
      <c r="B1171" s="24"/>
      <c r="C1171" s="17"/>
      <c r="D1171" s="5" t="e">
        <f>VLOOKUP(B1171,'[1]Base de datos'!$B:$F,2,FALSE)</f>
        <v>#N/A</v>
      </c>
      <c r="E1171" t="e">
        <f>VLOOKUP(B1171,'[1]Base de datos'!$B:$E,3,FALSE)</f>
        <v>#N/A</v>
      </c>
      <c r="F1171" t="e">
        <f>VLOOKUP(B1171,'[1]Base de datos'!$B:$E,4,FALSE)</f>
        <v>#N/A</v>
      </c>
    </row>
    <row r="1172" spans="2:6" x14ac:dyDescent="0.25">
      <c r="B1172" s="24"/>
      <c r="C1172" s="17"/>
      <c r="D1172" s="5" t="e">
        <f>VLOOKUP(B1172,'[1]Base de datos'!$B:$F,2,FALSE)</f>
        <v>#N/A</v>
      </c>
      <c r="E1172" t="e">
        <f>VLOOKUP(B1172,'[1]Base de datos'!$B:$E,3,FALSE)</f>
        <v>#N/A</v>
      </c>
      <c r="F1172" t="e">
        <f>VLOOKUP(B1172,'[1]Base de datos'!$B:$E,4,FALSE)</f>
        <v>#N/A</v>
      </c>
    </row>
    <row r="1173" spans="2:6" x14ac:dyDescent="0.25">
      <c r="B1173" s="24"/>
      <c r="C1173" s="17"/>
      <c r="D1173" s="5" t="e">
        <f>VLOOKUP(B1173,'[1]Base de datos'!$B:$F,2,FALSE)</f>
        <v>#N/A</v>
      </c>
      <c r="E1173" t="e">
        <f>VLOOKUP(B1173,'[1]Base de datos'!$B:$E,3,FALSE)</f>
        <v>#N/A</v>
      </c>
      <c r="F1173" t="e">
        <f>VLOOKUP(B1173,'[1]Base de datos'!$B:$E,4,FALSE)</f>
        <v>#N/A</v>
      </c>
    </row>
    <row r="1174" spans="2:6" x14ac:dyDescent="0.25">
      <c r="B1174" s="24"/>
      <c r="C1174" s="17"/>
      <c r="D1174" s="5" t="e">
        <f>VLOOKUP(B1174,'[1]Base de datos'!$B:$F,2,FALSE)</f>
        <v>#N/A</v>
      </c>
      <c r="E1174" t="e">
        <f>VLOOKUP(B1174,'[1]Base de datos'!$B:$E,3,FALSE)</f>
        <v>#N/A</v>
      </c>
      <c r="F1174" t="e">
        <f>VLOOKUP(B1174,'[1]Base de datos'!$B:$E,4,FALSE)</f>
        <v>#N/A</v>
      </c>
    </row>
    <row r="1175" spans="2:6" x14ac:dyDescent="0.25">
      <c r="B1175" s="24"/>
      <c r="C1175" s="17"/>
      <c r="D1175" s="5" t="e">
        <f>VLOOKUP(B1175,'[1]Base de datos'!$B:$F,2,FALSE)</f>
        <v>#N/A</v>
      </c>
      <c r="E1175" t="e">
        <f>VLOOKUP(B1175,'[1]Base de datos'!$B:$E,3,FALSE)</f>
        <v>#N/A</v>
      </c>
      <c r="F1175" t="e">
        <f>VLOOKUP(B1175,'[1]Base de datos'!$B:$E,4,FALSE)</f>
        <v>#N/A</v>
      </c>
    </row>
    <row r="1176" spans="2:6" x14ac:dyDescent="0.25">
      <c r="B1176" s="24"/>
      <c r="C1176" s="17"/>
      <c r="D1176" s="5" t="e">
        <f>VLOOKUP(B1176,'[1]Base de datos'!$B:$F,2,FALSE)</f>
        <v>#N/A</v>
      </c>
      <c r="E1176" t="e">
        <f>VLOOKUP(B1176,'[1]Base de datos'!$B:$E,3,FALSE)</f>
        <v>#N/A</v>
      </c>
      <c r="F1176" t="e">
        <f>VLOOKUP(B1176,'[1]Base de datos'!$B:$E,4,FALSE)</f>
        <v>#N/A</v>
      </c>
    </row>
    <row r="1177" spans="2:6" x14ac:dyDescent="0.25">
      <c r="B1177" s="24"/>
      <c r="C1177" s="17"/>
      <c r="D1177" s="5" t="e">
        <f>VLOOKUP(B1177,'[1]Base de datos'!$B:$F,2,FALSE)</f>
        <v>#N/A</v>
      </c>
      <c r="E1177" t="e">
        <f>VLOOKUP(B1177,'[1]Base de datos'!$B:$E,3,FALSE)</f>
        <v>#N/A</v>
      </c>
      <c r="F1177" t="e">
        <f>VLOOKUP(B1177,'[1]Base de datos'!$B:$E,4,FALSE)</f>
        <v>#N/A</v>
      </c>
    </row>
    <row r="1178" spans="2:6" x14ac:dyDescent="0.25">
      <c r="B1178" s="24"/>
      <c r="C1178" s="17"/>
      <c r="D1178" s="5" t="e">
        <f>VLOOKUP(B1178,'[1]Base de datos'!$B:$F,2,FALSE)</f>
        <v>#N/A</v>
      </c>
      <c r="E1178" t="e">
        <f>VLOOKUP(B1178,'[1]Base de datos'!$B:$E,3,FALSE)</f>
        <v>#N/A</v>
      </c>
      <c r="F1178" t="e">
        <f>VLOOKUP(B1178,'[1]Base de datos'!$B:$E,4,FALSE)</f>
        <v>#N/A</v>
      </c>
    </row>
    <row r="1179" spans="2:6" x14ac:dyDescent="0.25">
      <c r="B1179" s="24"/>
      <c r="C1179" s="17"/>
      <c r="D1179" s="5" t="e">
        <f>VLOOKUP(B1179,'[1]Base de datos'!$B:$F,2,FALSE)</f>
        <v>#N/A</v>
      </c>
      <c r="E1179" t="e">
        <f>VLOOKUP(B1179,'[1]Base de datos'!$B:$E,3,FALSE)</f>
        <v>#N/A</v>
      </c>
      <c r="F1179" t="e">
        <f>VLOOKUP(B1179,'[1]Base de datos'!$B:$E,4,FALSE)</f>
        <v>#N/A</v>
      </c>
    </row>
    <row r="1180" spans="2:6" x14ac:dyDescent="0.25">
      <c r="B1180" s="24"/>
      <c r="C1180" s="17"/>
      <c r="D1180" s="5" t="e">
        <f>VLOOKUP(B1180,'[1]Base de datos'!$B:$F,2,FALSE)</f>
        <v>#N/A</v>
      </c>
      <c r="E1180" t="e">
        <f>VLOOKUP(B1180,'[1]Base de datos'!$B:$E,3,FALSE)</f>
        <v>#N/A</v>
      </c>
      <c r="F1180" t="e">
        <f>VLOOKUP(B1180,'[1]Base de datos'!$B:$E,4,FALSE)</f>
        <v>#N/A</v>
      </c>
    </row>
    <row r="1181" spans="2:6" x14ac:dyDescent="0.25">
      <c r="B1181" s="24"/>
      <c r="C1181" s="17"/>
      <c r="D1181" s="5" t="e">
        <f>VLOOKUP(B1181,'[1]Base de datos'!$B:$F,2,FALSE)</f>
        <v>#N/A</v>
      </c>
      <c r="E1181" t="e">
        <f>VLOOKUP(B1181,'[1]Base de datos'!$B:$E,3,FALSE)</f>
        <v>#N/A</v>
      </c>
      <c r="F1181" t="e">
        <f>VLOOKUP(B1181,'[1]Base de datos'!$B:$E,4,FALSE)</f>
        <v>#N/A</v>
      </c>
    </row>
    <row r="1182" spans="2:6" x14ac:dyDescent="0.25">
      <c r="B1182" s="24"/>
      <c r="C1182" s="17"/>
      <c r="D1182" s="5" t="e">
        <f>VLOOKUP(B1182,'[1]Base de datos'!$B:$F,2,FALSE)</f>
        <v>#N/A</v>
      </c>
      <c r="E1182" t="e">
        <f>VLOOKUP(B1182,'[1]Base de datos'!$B:$E,3,FALSE)</f>
        <v>#N/A</v>
      </c>
      <c r="F1182" t="e">
        <f>VLOOKUP(B1182,'[1]Base de datos'!$B:$E,4,FALSE)</f>
        <v>#N/A</v>
      </c>
    </row>
    <row r="1183" spans="2:6" x14ac:dyDescent="0.25">
      <c r="B1183" s="24"/>
      <c r="C1183" s="17"/>
      <c r="D1183" s="5" t="e">
        <f>VLOOKUP(B1183,'[1]Base de datos'!$B:$F,2,FALSE)</f>
        <v>#N/A</v>
      </c>
      <c r="E1183" t="e">
        <f>VLOOKUP(B1183,'[1]Base de datos'!$B:$E,3,FALSE)</f>
        <v>#N/A</v>
      </c>
      <c r="F1183" t="e">
        <f>VLOOKUP(B1183,'[1]Base de datos'!$B:$E,4,FALSE)</f>
        <v>#N/A</v>
      </c>
    </row>
    <row r="1184" spans="2:6" x14ac:dyDescent="0.25">
      <c r="B1184" s="24"/>
      <c r="C1184" s="17"/>
      <c r="D1184" s="5" t="e">
        <f>VLOOKUP(B1184,'[1]Base de datos'!$B:$F,2,FALSE)</f>
        <v>#N/A</v>
      </c>
      <c r="E1184" t="e">
        <f>VLOOKUP(B1184,'[1]Base de datos'!$B:$E,3,FALSE)</f>
        <v>#N/A</v>
      </c>
      <c r="F1184" t="e">
        <f>VLOOKUP(B1184,'[1]Base de datos'!$B:$E,4,FALSE)</f>
        <v>#N/A</v>
      </c>
    </row>
    <row r="1185" spans="2:6" x14ac:dyDescent="0.25">
      <c r="B1185" s="24"/>
      <c r="C1185" s="17"/>
      <c r="D1185" s="5" t="e">
        <f>VLOOKUP(B1185,'[1]Base de datos'!$B:$F,2,FALSE)</f>
        <v>#N/A</v>
      </c>
      <c r="E1185" t="e">
        <f>VLOOKUP(B1185,'[1]Base de datos'!$B:$E,3,FALSE)</f>
        <v>#N/A</v>
      </c>
      <c r="F1185" t="e">
        <f>VLOOKUP(B1185,'[1]Base de datos'!$B:$E,4,FALSE)</f>
        <v>#N/A</v>
      </c>
    </row>
    <row r="1186" spans="2:6" x14ac:dyDescent="0.25">
      <c r="B1186" s="24"/>
      <c r="C1186" s="17"/>
      <c r="D1186" s="5" t="e">
        <f>VLOOKUP(B1186,'[1]Base de datos'!$B:$F,2,FALSE)</f>
        <v>#N/A</v>
      </c>
      <c r="E1186" t="e">
        <f>VLOOKUP(B1186,'[1]Base de datos'!$B:$E,3,FALSE)</f>
        <v>#N/A</v>
      </c>
      <c r="F1186" t="e">
        <f>VLOOKUP(B1186,'[1]Base de datos'!$B:$E,4,FALSE)</f>
        <v>#N/A</v>
      </c>
    </row>
    <row r="1187" spans="2:6" x14ac:dyDescent="0.25">
      <c r="B1187" s="24"/>
      <c r="C1187" s="17"/>
      <c r="D1187" s="5" t="e">
        <f>VLOOKUP(B1187,'[1]Base de datos'!$B:$F,2,FALSE)</f>
        <v>#N/A</v>
      </c>
      <c r="E1187" t="e">
        <f>VLOOKUP(B1187,'[1]Base de datos'!$B:$E,3,FALSE)</f>
        <v>#N/A</v>
      </c>
      <c r="F1187" t="e">
        <f>VLOOKUP(B1187,'[1]Base de datos'!$B:$E,4,FALSE)</f>
        <v>#N/A</v>
      </c>
    </row>
    <row r="1188" spans="2:6" x14ac:dyDescent="0.25">
      <c r="B1188" s="24"/>
      <c r="C1188" s="17"/>
      <c r="D1188" s="5" t="e">
        <f>VLOOKUP(B1188,'[1]Base de datos'!$B:$F,2,FALSE)</f>
        <v>#N/A</v>
      </c>
      <c r="E1188" t="e">
        <f>VLOOKUP(B1188,'[1]Base de datos'!$B:$E,3,FALSE)</f>
        <v>#N/A</v>
      </c>
      <c r="F1188" t="e">
        <f>VLOOKUP(B1188,'[1]Base de datos'!$B:$E,4,FALSE)</f>
        <v>#N/A</v>
      </c>
    </row>
    <row r="1189" spans="2:6" x14ac:dyDescent="0.25">
      <c r="B1189" s="24"/>
      <c r="C1189" s="17"/>
      <c r="D1189" s="5" t="e">
        <f>VLOOKUP(B1189,'[1]Base de datos'!$B:$F,2,FALSE)</f>
        <v>#N/A</v>
      </c>
      <c r="E1189" t="e">
        <f>VLOOKUP(B1189,'[1]Base de datos'!$B:$E,3,FALSE)</f>
        <v>#N/A</v>
      </c>
      <c r="F1189" t="e">
        <f>VLOOKUP(B1189,'[1]Base de datos'!$B:$E,4,FALSE)</f>
        <v>#N/A</v>
      </c>
    </row>
    <row r="1190" spans="2:6" x14ac:dyDescent="0.25">
      <c r="B1190" s="24"/>
      <c r="C1190" s="17"/>
      <c r="D1190" s="5" t="e">
        <f>VLOOKUP(B1190,'[1]Base de datos'!$B:$F,2,FALSE)</f>
        <v>#N/A</v>
      </c>
      <c r="E1190" t="e">
        <f>VLOOKUP(B1190,'[1]Base de datos'!$B:$E,3,FALSE)</f>
        <v>#N/A</v>
      </c>
      <c r="F1190" t="e">
        <f>VLOOKUP(B1190,'[1]Base de datos'!$B:$E,4,FALSE)</f>
        <v>#N/A</v>
      </c>
    </row>
    <row r="1191" spans="2:6" x14ac:dyDescent="0.25">
      <c r="B1191" s="24"/>
      <c r="C1191" s="17"/>
      <c r="D1191" s="5" t="e">
        <f>VLOOKUP(B1191,'[1]Base de datos'!$B:$F,2,FALSE)</f>
        <v>#N/A</v>
      </c>
      <c r="E1191" t="e">
        <f>VLOOKUP(B1191,'[1]Base de datos'!$B:$E,3,FALSE)</f>
        <v>#N/A</v>
      </c>
      <c r="F1191" t="e">
        <f>VLOOKUP(B1191,'[1]Base de datos'!$B:$E,4,FALSE)</f>
        <v>#N/A</v>
      </c>
    </row>
    <row r="1192" spans="2:6" x14ac:dyDescent="0.25">
      <c r="B1192" s="24"/>
      <c r="C1192" s="17"/>
      <c r="D1192" s="5" t="e">
        <f>VLOOKUP(B1192,'[1]Base de datos'!$B:$F,2,FALSE)</f>
        <v>#N/A</v>
      </c>
      <c r="E1192" t="e">
        <f>VLOOKUP(B1192,'[1]Base de datos'!$B:$E,3,FALSE)</f>
        <v>#N/A</v>
      </c>
      <c r="F1192" t="e">
        <f>VLOOKUP(B1192,'[1]Base de datos'!$B:$E,4,FALSE)</f>
        <v>#N/A</v>
      </c>
    </row>
    <row r="1193" spans="2:6" x14ac:dyDescent="0.25">
      <c r="B1193" s="24"/>
      <c r="C1193" s="17"/>
      <c r="D1193" s="5" t="e">
        <f>VLOOKUP(B1193,'[1]Base de datos'!$B:$F,2,FALSE)</f>
        <v>#N/A</v>
      </c>
      <c r="E1193" t="e">
        <f>VLOOKUP(B1193,'[1]Base de datos'!$B:$E,3,FALSE)</f>
        <v>#N/A</v>
      </c>
      <c r="F1193" t="e">
        <f>VLOOKUP(B1193,'[1]Base de datos'!$B:$E,4,FALSE)</f>
        <v>#N/A</v>
      </c>
    </row>
    <row r="1194" spans="2:6" x14ac:dyDescent="0.25">
      <c r="B1194" s="24"/>
      <c r="C1194" s="17"/>
      <c r="D1194" s="5" t="e">
        <f>VLOOKUP(B1194,'[1]Base de datos'!$B:$F,2,FALSE)</f>
        <v>#N/A</v>
      </c>
      <c r="E1194" t="e">
        <f>VLOOKUP(B1194,'[1]Base de datos'!$B:$E,3,FALSE)</f>
        <v>#N/A</v>
      </c>
      <c r="F1194" t="e">
        <f>VLOOKUP(B1194,'[1]Base de datos'!$B:$E,4,FALSE)</f>
        <v>#N/A</v>
      </c>
    </row>
    <row r="1195" spans="2:6" x14ac:dyDescent="0.25">
      <c r="B1195" s="24"/>
      <c r="C1195" s="17"/>
      <c r="D1195" s="5" t="e">
        <f>VLOOKUP(B1195,'[1]Base de datos'!$B:$F,2,FALSE)</f>
        <v>#N/A</v>
      </c>
      <c r="E1195" t="e">
        <f>VLOOKUP(B1195,'[1]Base de datos'!$B:$E,3,FALSE)</f>
        <v>#N/A</v>
      </c>
      <c r="F1195" t="e">
        <f>VLOOKUP(B1195,'[1]Base de datos'!$B:$E,4,FALSE)</f>
        <v>#N/A</v>
      </c>
    </row>
    <row r="1196" spans="2:6" x14ac:dyDescent="0.25">
      <c r="B1196" s="24"/>
      <c r="C1196" s="17"/>
      <c r="D1196" s="5" t="e">
        <f>VLOOKUP(B1196,'[1]Base de datos'!$B:$F,2,FALSE)</f>
        <v>#N/A</v>
      </c>
      <c r="E1196" t="e">
        <f>VLOOKUP(B1196,'[1]Base de datos'!$B:$E,3,FALSE)</f>
        <v>#N/A</v>
      </c>
      <c r="F1196" t="e">
        <f>VLOOKUP(B1196,'[1]Base de datos'!$B:$E,4,FALSE)</f>
        <v>#N/A</v>
      </c>
    </row>
    <row r="1197" spans="2:6" x14ac:dyDescent="0.25">
      <c r="B1197" s="24"/>
      <c r="C1197" s="17"/>
      <c r="D1197" s="5" t="e">
        <f>VLOOKUP(B1197,'[1]Base de datos'!$B:$F,2,FALSE)</f>
        <v>#N/A</v>
      </c>
      <c r="E1197" t="e">
        <f>VLOOKUP(B1197,'[1]Base de datos'!$B:$E,3,FALSE)</f>
        <v>#N/A</v>
      </c>
      <c r="F1197" t="e">
        <f>VLOOKUP(B1197,'[1]Base de datos'!$B:$E,4,FALSE)</f>
        <v>#N/A</v>
      </c>
    </row>
    <row r="1198" spans="2:6" x14ac:dyDescent="0.25">
      <c r="B1198" s="24"/>
      <c r="C1198" s="17"/>
      <c r="D1198" s="5" t="e">
        <f>VLOOKUP(B1198,'[1]Base de datos'!$B:$F,2,FALSE)</f>
        <v>#N/A</v>
      </c>
      <c r="E1198" t="e">
        <f>VLOOKUP(B1198,'[1]Base de datos'!$B:$E,3,FALSE)</f>
        <v>#N/A</v>
      </c>
      <c r="F1198" t="e">
        <f>VLOOKUP(B1198,'[1]Base de datos'!$B:$E,4,FALSE)</f>
        <v>#N/A</v>
      </c>
    </row>
    <row r="1199" spans="2:6" x14ac:dyDescent="0.25">
      <c r="B1199" s="24"/>
      <c r="C1199" s="17"/>
      <c r="D1199" s="5" t="e">
        <f>VLOOKUP(B1199,'[1]Base de datos'!$B:$F,2,FALSE)</f>
        <v>#N/A</v>
      </c>
      <c r="E1199" t="e">
        <f>VLOOKUP(B1199,'[1]Base de datos'!$B:$E,3,FALSE)</f>
        <v>#N/A</v>
      </c>
      <c r="F1199" t="e">
        <f>VLOOKUP(B1199,'[1]Base de datos'!$B:$E,4,FALSE)</f>
        <v>#N/A</v>
      </c>
    </row>
    <row r="1200" spans="2:6" x14ac:dyDescent="0.25">
      <c r="B1200" s="24"/>
      <c r="C1200" s="17"/>
      <c r="D1200" s="5" t="e">
        <f>VLOOKUP(B1200,'[1]Base de datos'!$B:$F,2,FALSE)</f>
        <v>#N/A</v>
      </c>
      <c r="E1200" t="e">
        <f>VLOOKUP(B1200,'[1]Base de datos'!$B:$E,3,FALSE)</f>
        <v>#N/A</v>
      </c>
      <c r="F1200" t="e">
        <f>VLOOKUP(B1200,'[1]Base de datos'!$B:$E,4,FALSE)</f>
        <v>#N/A</v>
      </c>
    </row>
    <row r="1201" spans="2:6" x14ac:dyDescent="0.25">
      <c r="B1201" s="24"/>
      <c r="C1201" s="17"/>
      <c r="D1201" s="5" t="e">
        <f>VLOOKUP(B1201,'[1]Base de datos'!$B:$F,2,FALSE)</f>
        <v>#N/A</v>
      </c>
      <c r="E1201" t="e">
        <f>VLOOKUP(B1201,'[1]Base de datos'!$B:$E,3,FALSE)</f>
        <v>#N/A</v>
      </c>
      <c r="F1201" t="e">
        <f>VLOOKUP(B1201,'[1]Base de datos'!$B:$E,4,FALSE)</f>
        <v>#N/A</v>
      </c>
    </row>
    <row r="1202" spans="2:6" x14ac:dyDescent="0.25">
      <c r="B1202" s="24"/>
      <c r="C1202" s="17"/>
      <c r="D1202" s="5" t="e">
        <f>VLOOKUP(B1202,'[1]Base de datos'!$B:$F,2,FALSE)</f>
        <v>#N/A</v>
      </c>
      <c r="E1202" t="e">
        <f>VLOOKUP(B1202,'[1]Base de datos'!$B:$E,3,FALSE)</f>
        <v>#N/A</v>
      </c>
      <c r="F1202" t="e">
        <f>VLOOKUP(B1202,'[1]Base de datos'!$B:$E,4,FALSE)</f>
        <v>#N/A</v>
      </c>
    </row>
    <row r="1203" spans="2:6" x14ac:dyDescent="0.25">
      <c r="B1203" s="24"/>
      <c r="C1203" s="17"/>
      <c r="D1203" s="5" t="e">
        <f>VLOOKUP(B1203,'[1]Base de datos'!$B:$F,2,FALSE)</f>
        <v>#N/A</v>
      </c>
      <c r="E1203" t="e">
        <f>VLOOKUP(B1203,'[1]Base de datos'!$B:$E,3,FALSE)</f>
        <v>#N/A</v>
      </c>
      <c r="F1203" t="e">
        <f>VLOOKUP(B1203,'[1]Base de datos'!$B:$E,4,FALSE)</f>
        <v>#N/A</v>
      </c>
    </row>
    <row r="1204" spans="2:6" x14ac:dyDescent="0.25">
      <c r="B1204" s="25"/>
      <c r="C1204" s="17"/>
    </row>
  </sheetData>
  <sheetProtection algorithmName="SHA-512" hashValue="9P+eWWCTp+cYrQDXx1b0MSH0dsUCwTvh1dKqV2t55KyYcExF+yOSm20Jw8uzDVYoFw4Zs/dG2tNsBKoO54dXiQ==" saltValue="t9mtZt0fuqce/66DWv6dPA==" spinCount="100000"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28"/>
  <sheetViews>
    <sheetView tabSelected="1" zoomScale="153" zoomScaleNormal="153" workbookViewId="0">
      <pane ySplit="1" topLeftCell="A362" activePane="bottomLeft" state="frozen"/>
      <selection pane="bottomLeft" activeCell="A381" sqref="A381"/>
    </sheetView>
  </sheetViews>
  <sheetFormatPr baseColWidth="10" defaultRowHeight="15.75" x14ac:dyDescent="0.25"/>
  <cols>
    <col min="1" max="1" width="25.625" style="30" customWidth="1"/>
    <col min="2" max="2" width="49" customWidth="1"/>
    <col min="6" max="6" width="22.875" customWidth="1"/>
    <col min="7" max="7" width="11.625" customWidth="1"/>
  </cols>
  <sheetData>
    <row r="1" spans="1:7" x14ac:dyDescent="0.25">
      <c r="A1" s="29" t="s">
        <v>11</v>
      </c>
      <c r="B1" s="1" t="s">
        <v>4</v>
      </c>
      <c r="C1" s="6" t="s">
        <v>6</v>
      </c>
      <c r="D1" s="6" t="s">
        <v>7</v>
      </c>
      <c r="E1" s="1" t="s">
        <v>9</v>
      </c>
      <c r="F1" s="1" t="s">
        <v>5</v>
      </c>
      <c r="G1" t="s">
        <v>10</v>
      </c>
    </row>
    <row r="2" spans="1:7" x14ac:dyDescent="0.25">
      <c r="A2" s="29"/>
      <c r="B2" s="1"/>
      <c r="C2" s="7"/>
      <c r="D2" s="7"/>
      <c r="E2" s="1"/>
      <c r="F2" s="10">
        <f ca="1">+NOW()</f>
        <v>43615.641223148152</v>
      </c>
    </row>
    <row r="3" spans="1:7" x14ac:dyDescent="0.25">
      <c r="A3" s="30">
        <f>'Entradas '!B:B</f>
        <v>200611001</v>
      </c>
      <c r="B3" t="str">
        <f>VLOOKUP(A3,'Entradas '!B:F,3,FALSE)</f>
        <v>Pelicula PVC 35 mic. CH 611 mm</v>
      </c>
      <c r="C3">
        <f>VLOOKUP(A3,'Entradas '!B:F,4,FALSE)</f>
        <v>2820</v>
      </c>
      <c r="D3">
        <f>VLOOKUP(A3,'Entradas '!B:F,5,FALSE)</f>
        <v>78</v>
      </c>
      <c r="E3">
        <f>SUMIF('Entradas '!B:B,Inventario!A3,'Entradas '!F:F)-SUMIF('Salidas '!B:B,Inventario!A3,'Salidas '!F:F)</f>
        <v>0</v>
      </c>
    </row>
    <row r="4" spans="1:7" x14ac:dyDescent="0.25">
      <c r="A4" s="30">
        <f>'Entradas '!B:B</f>
        <v>200611002</v>
      </c>
      <c r="B4" t="str">
        <f>VLOOKUP(A4,'Entradas '!B:F,3,FALSE)</f>
        <v>Pelicula PVC 35 mic. CH 611 mm</v>
      </c>
      <c r="C4">
        <f>VLOOKUP(A4,'Entradas '!B:F,4,FALSE)</f>
        <v>2870</v>
      </c>
      <c r="D4">
        <f>VLOOKUP(A4,'Entradas '!B:F,5,FALSE)</f>
        <v>78.7</v>
      </c>
      <c r="E4">
        <f>SUMIF('Entradas '!B:B,Inventario!A4,'Entradas '!F:F)-SUMIF('Salidas '!B:B,Inventario!A4,'Salidas '!F:F)</f>
        <v>0</v>
      </c>
    </row>
    <row r="5" spans="1:7" x14ac:dyDescent="0.25">
      <c r="A5" s="30">
        <f>'Entradas '!B:B</f>
        <v>200611003</v>
      </c>
      <c r="B5" t="str">
        <f>VLOOKUP(A5,'Entradas '!B:F,3,FALSE)</f>
        <v>Pelicula PVC 35 mic. CH 611 mm</v>
      </c>
      <c r="C5">
        <f>VLOOKUP(A5,'Entradas '!B:F,4,FALSE)</f>
        <v>2782</v>
      </c>
      <c r="D5">
        <f>VLOOKUP(A5,'Entradas '!B:F,5,FALSE)</f>
        <v>78.8</v>
      </c>
      <c r="E5">
        <f>SUMIF('Entradas '!B:B,Inventario!A5,'Entradas '!F:F)-SUMIF('Salidas '!B:B,Inventario!A5,'Salidas '!F:F)</f>
        <v>0</v>
      </c>
    </row>
    <row r="6" spans="1:7" x14ac:dyDescent="0.25">
      <c r="A6" s="30">
        <f>'Entradas '!B:B</f>
        <v>200611004</v>
      </c>
      <c r="B6" t="str">
        <f>VLOOKUP(A6,'Entradas '!B:F,3,FALSE)</f>
        <v>Pelicula PVC 35 mic. CH 611 mm</v>
      </c>
      <c r="C6">
        <f>VLOOKUP(A6,'Entradas '!B:F,4,FALSE)</f>
        <v>2941</v>
      </c>
      <c r="D6">
        <f>VLOOKUP(A6,'Entradas '!B:F,5,FALSE)</f>
        <v>81.400000000000006</v>
      </c>
      <c r="E6">
        <f>SUMIF('Entradas '!B:B,Inventario!A6,'Entradas '!F:F)-SUMIF('Salidas '!B:B,Inventario!A6,'Salidas '!F:F)</f>
        <v>0</v>
      </c>
    </row>
    <row r="7" spans="1:7" x14ac:dyDescent="0.25">
      <c r="A7" s="30">
        <f>'Entradas '!B:B</f>
        <v>200611005</v>
      </c>
      <c r="B7" t="str">
        <f>VLOOKUP(A7,'Entradas '!B:F,3,FALSE)</f>
        <v>Pelicula PVC 35 mic. CH 611 mm</v>
      </c>
      <c r="C7">
        <f>VLOOKUP(A7,'Entradas '!B:F,4,FALSE)</f>
        <v>2800</v>
      </c>
      <c r="D7">
        <f>VLOOKUP(A7,'Entradas '!B:F,5,FALSE)</f>
        <v>77.2</v>
      </c>
      <c r="E7">
        <f>SUMIF('Entradas '!B:B,Inventario!A7,'Entradas '!F:F)-SUMIF('Salidas '!B:B,Inventario!A7,'Salidas '!F:F)</f>
        <v>0</v>
      </c>
    </row>
    <row r="8" spans="1:7" x14ac:dyDescent="0.25">
      <c r="A8" s="30">
        <f>'Entradas '!B:B</f>
        <v>200611006</v>
      </c>
      <c r="B8" t="str">
        <f>VLOOKUP(A8,'Entradas '!B:F,3,FALSE)</f>
        <v>Pelicula PVC 35 mic. CH 611 mm</v>
      </c>
      <c r="C8">
        <f>VLOOKUP(A8,'Entradas '!B:F,4,FALSE)</f>
        <v>2820</v>
      </c>
      <c r="D8">
        <f>VLOOKUP(A8,'Entradas '!B:F,5,FALSE)</f>
        <v>79.400000000000006</v>
      </c>
      <c r="E8">
        <f>SUMIF('Entradas '!B:B,Inventario!A8,'Entradas '!F:F)-SUMIF('Salidas '!B:B,Inventario!A8,'Salidas '!F:F)</f>
        <v>79.400000000000006</v>
      </c>
    </row>
    <row r="9" spans="1:7" x14ac:dyDescent="0.25">
      <c r="A9" s="30">
        <f>'Entradas '!B:B</f>
        <v>200611007</v>
      </c>
      <c r="B9" t="str">
        <f>VLOOKUP(A9,'Entradas '!B:F,3,FALSE)</f>
        <v>Pelicula PVC 35 mic. CH 611 mm</v>
      </c>
      <c r="C9">
        <f>VLOOKUP(A9,'Entradas '!B:F,4,FALSE)</f>
        <v>2814</v>
      </c>
      <c r="D9">
        <f>VLOOKUP(A9,'Entradas '!B:F,5,FALSE)</f>
        <v>78.5</v>
      </c>
      <c r="E9">
        <f>SUMIF('Entradas '!B:B,Inventario!A9,'Entradas '!F:F)-SUMIF('Salidas '!B:B,Inventario!A9,'Salidas '!F:F)</f>
        <v>0</v>
      </c>
    </row>
    <row r="10" spans="1:7" x14ac:dyDescent="0.25">
      <c r="A10" s="30">
        <f>'Entradas '!B:B</f>
        <v>200611008</v>
      </c>
      <c r="B10" t="str">
        <f>VLOOKUP(A10,'Entradas '!B:F,3,FALSE)</f>
        <v>Pelicula PVC 35 mic. CH 611 mm</v>
      </c>
      <c r="C10">
        <f>VLOOKUP(A10,'Entradas '!B:F,4,FALSE)</f>
        <v>2913</v>
      </c>
      <c r="D10">
        <f>VLOOKUP(A10,'Entradas '!B:F,5,FALSE)</f>
        <v>83.3</v>
      </c>
      <c r="E10">
        <f>SUMIF('Entradas '!B:B,Inventario!A10,'Entradas '!F:F)-SUMIF('Salidas '!B:B,Inventario!A10,'Salidas '!F:F)</f>
        <v>0</v>
      </c>
    </row>
    <row r="11" spans="1:7" x14ac:dyDescent="0.25">
      <c r="A11" s="30">
        <f>'Entradas '!B:B</f>
        <v>200611009</v>
      </c>
      <c r="B11" t="str">
        <f>VLOOKUP(A11,'Entradas '!B:F,3,FALSE)</f>
        <v>Pelicula PVC 35 mic. CH 611 mm</v>
      </c>
      <c r="C11">
        <f>VLOOKUP(A11,'Entradas '!B:F,4,FALSE)</f>
        <v>2832</v>
      </c>
      <c r="D11">
        <f>VLOOKUP(A11,'Entradas '!B:F,5,FALSE)</f>
        <v>79.7</v>
      </c>
      <c r="E11">
        <f>SUMIF('Entradas '!B:B,Inventario!A11,'Entradas '!F:F)-SUMIF('Salidas '!B:B,Inventario!A11,'Salidas '!F:F)</f>
        <v>0</v>
      </c>
    </row>
    <row r="12" spans="1:7" x14ac:dyDescent="0.25">
      <c r="A12" s="30">
        <f>'Entradas '!B:B</f>
        <v>200611010</v>
      </c>
      <c r="B12" t="str">
        <f>VLOOKUP(A12,'Entradas '!B:F,3,FALSE)</f>
        <v>Pelicula PVC 35 mic. CH 611 mm</v>
      </c>
      <c r="C12">
        <f>VLOOKUP(A12,'Entradas '!B:F,4,FALSE)</f>
        <v>2916</v>
      </c>
      <c r="D12">
        <f>VLOOKUP(A12,'Entradas '!B:F,5,FALSE)</f>
        <v>82.7</v>
      </c>
      <c r="E12">
        <f>SUMIF('Entradas '!B:B,Inventario!A12,'Entradas '!F:F)-SUMIF('Salidas '!B:B,Inventario!A12,'Salidas '!F:F)</f>
        <v>0</v>
      </c>
    </row>
    <row r="13" spans="1:7" x14ac:dyDescent="0.25">
      <c r="A13" s="30">
        <f>'Entradas '!B:B</f>
        <v>200611011</v>
      </c>
      <c r="B13" t="str">
        <f>VLOOKUP(A13,'Entradas '!B:F,3,FALSE)</f>
        <v>Pelicula PVC 35 mic. CH 611 mm</v>
      </c>
      <c r="C13">
        <f>VLOOKUP(A13,'Entradas '!B:F,4,FALSE)</f>
        <v>2808</v>
      </c>
      <c r="D13">
        <f>VLOOKUP(A13,'Entradas '!B:F,5,FALSE)</f>
        <v>80.400000000000006</v>
      </c>
      <c r="E13">
        <f>SUMIF('Entradas '!B:B,Inventario!A13,'Entradas '!F:F)-SUMIF('Salidas '!B:B,Inventario!A13,'Salidas '!F:F)</f>
        <v>0</v>
      </c>
    </row>
    <row r="14" spans="1:7" x14ac:dyDescent="0.25">
      <c r="A14" s="30">
        <f>'Entradas '!B:B</f>
        <v>200611012</v>
      </c>
      <c r="B14" t="str">
        <f>VLOOKUP(A14,'Entradas '!B:F,3,FALSE)</f>
        <v>Pelicula PVC 35 mic. CH 611 mm</v>
      </c>
      <c r="C14">
        <f>VLOOKUP(A14,'Entradas '!B:F,4,FALSE)</f>
        <v>2827</v>
      </c>
      <c r="D14">
        <f>VLOOKUP(A14,'Entradas '!B:F,5,FALSE)</f>
        <v>76.5</v>
      </c>
      <c r="E14">
        <f>SUMIF('Entradas '!B:B,Inventario!A14,'Entradas '!F:F)-SUMIF('Salidas '!B:B,Inventario!A14,'Salidas '!F:F)</f>
        <v>0</v>
      </c>
    </row>
    <row r="15" spans="1:7" x14ac:dyDescent="0.25">
      <c r="A15" s="30">
        <f>'Entradas '!B:B</f>
        <v>200611013</v>
      </c>
      <c r="B15" t="str">
        <f>VLOOKUP(A15,'Entradas '!B:F,3,FALSE)</f>
        <v>Pelicula PVC 35 mic. CH 611 mm</v>
      </c>
      <c r="C15">
        <f>VLOOKUP(A15,'Entradas '!B:F,4,FALSE)</f>
        <v>2828</v>
      </c>
      <c r="D15">
        <f>VLOOKUP(A15,'Entradas '!B:F,5,FALSE)</f>
        <v>80.099999999999994</v>
      </c>
      <c r="E15">
        <f>SUMIF('Entradas '!B:B,Inventario!A15,'Entradas '!F:F)-SUMIF('Salidas '!B:B,Inventario!A15,'Salidas '!F:F)</f>
        <v>80.099999999999994</v>
      </c>
    </row>
    <row r="16" spans="1:7" x14ac:dyDescent="0.25">
      <c r="A16" s="30">
        <f>'Entradas '!B:B</f>
        <v>200611014</v>
      </c>
      <c r="B16" t="str">
        <f>VLOOKUP(A16,'Entradas '!B:F,3,FALSE)</f>
        <v>Pelicula PVC 35 mic. CH 611 mm</v>
      </c>
      <c r="C16">
        <f>VLOOKUP(A16,'Entradas '!B:F,4,FALSE)</f>
        <v>2870</v>
      </c>
      <c r="D16">
        <f>VLOOKUP(A16,'Entradas '!B:F,5,FALSE)</f>
        <v>77.7</v>
      </c>
      <c r="E16">
        <f>SUMIF('Entradas '!B:B,Inventario!A16,'Entradas '!F:F)-SUMIF('Salidas '!B:B,Inventario!A16,'Salidas '!F:F)</f>
        <v>77.7</v>
      </c>
    </row>
    <row r="17" spans="1:5" x14ac:dyDescent="0.25">
      <c r="A17" s="30">
        <f>'Entradas '!B:B</f>
        <v>200611015</v>
      </c>
      <c r="B17" t="str">
        <f>VLOOKUP(A17,'Entradas '!B:F,3,FALSE)</f>
        <v>Pelicula PVC 35 mic. CH 611 mm</v>
      </c>
      <c r="C17">
        <f>VLOOKUP(A17,'Entradas '!B:F,4,FALSE)</f>
        <v>2931</v>
      </c>
      <c r="D17">
        <f>VLOOKUP(A17,'Entradas '!B:F,5,FALSE)</f>
        <v>86.1</v>
      </c>
      <c r="E17">
        <f>SUMIF('Entradas '!B:B,Inventario!A17,'Entradas '!F:F)-SUMIF('Salidas '!B:B,Inventario!A17,'Salidas '!F:F)</f>
        <v>86.1</v>
      </c>
    </row>
    <row r="18" spans="1:5" x14ac:dyDescent="0.25">
      <c r="A18" s="30">
        <f>'Entradas '!B:B</f>
        <v>200611016</v>
      </c>
      <c r="B18" t="str">
        <f>VLOOKUP(A18,'Entradas '!B:F,3,FALSE)</f>
        <v>Pelicula PVC 35 mic. CH 611 mm</v>
      </c>
      <c r="C18">
        <f>VLOOKUP(A18,'Entradas '!B:F,4,FALSE)</f>
        <v>2931</v>
      </c>
      <c r="D18">
        <f>VLOOKUP(A18,'Entradas '!B:F,5,FALSE)</f>
        <v>85.7</v>
      </c>
      <c r="E18">
        <f>SUMIF('Entradas '!B:B,Inventario!A18,'Entradas '!F:F)-SUMIF('Salidas '!B:B,Inventario!A18,'Salidas '!F:F)</f>
        <v>85.7</v>
      </c>
    </row>
    <row r="19" spans="1:5" x14ac:dyDescent="0.25">
      <c r="A19" s="30">
        <f>'Entradas '!B:B</f>
        <v>200611017</v>
      </c>
      <c r="B19" t="str">
        <f>VLOOKUP(A19,'Entradas '!B:F,3,FALSE)</f>
        <v>Pelicula PVC 35 mic. CH 611 mm</v>
      </c>
      <c r="C19">
        <f>VLOOKUP(A19,'Entradas '!B:F,4,FALSE)</f>
        <v>2822</v>
      </c>
      <c r="D19">
        <f>VLOOKUP(A19,'Entradas '!B:F,5,FALSE)</f>
        <v>79</v>
      </c>
      <c r="E19">
        <f>SUMIF('Entradas '!B:B,Inventario!A19,'Entradas '!F:F)-SUMIF('Salidas '!B:B,Inventario!A19,'Salidas '!F:F)</f>
        <v>0</v>
      </c>
    </row>
    <row r="20" spans="1:5" x14ac:dyDescent="0.25">
      <c r="A20" s="30">
        <f>'Entradas '!B:B</f>
        <v>200611018</v>
      </c>
      <c r="B20" t="str">
        <f>VLOOKUP(A20,'Entradas '!B:F,3,FALSE)</f>
        <v>Pelicula PVC 35 mic. CH 611 mm</v>
      </c>
      <c r="C20">
        <f>VLOOKUP(A20,'Entradas '!B:F,4,FALSE)</f>
        <v>2981</v>
      </c>
      <c r="D20">
        <f>VLOOKUP(A20,'Entradas '!B:F,5,FALSE)</f>
        <v>88.2</v>
      </c>
      <c r="E20">
        <f>SUMIF('Entradas '!B:B,Inventario!A20,'Entradas '!F:F)-SUMIF('Salidas '!B:B,Inventario!A20,'Salidas '!F:F)</f>
        <v>0</v>
      </c>
    </row>
    <row r="21" spans="1:5" x14ac:dyDescent="0.25">
      <c r="A21" s="30">
        <f>'Entradas '!B:B</f>
        <v>200611019</v>
      </c>
      <c r="B21" t="str">
        <f>VLOOKUP(A21,'Entradas '!B:F,3,FALSE)</f>
        <v>Pelicula PVC 35 mic. CH 611 mm</v>
      </c>
      <c r="C21">
        <f>VLOOKUP(A21,'Entradas '!B:F,4,FALSE)</f>
        <v>2981</v>
      </c>
      <c r="D21">
        <f>VLOOKUP(A21,'Entradas '!B:F,5,FALSE)</f>
        <v>87.7</v>
      </c>
      <c r="E21">
        <f>SUMIF('Entradas '!B:B,Inventario!A21,'Entradas '!F:F)-SUMIF('Salidas '!B:B,Inventario!A21,'Salidas '!F:F)</f>
        <v>87.7</v>
      </c>
    </row>
    <row r="22" spans="1:5" x14ac:dyDescent="0.25">
      <c r="A22" s="30">
        <f>'Entradas '!B:B</f>
        <v>200611020</v>
      </c>
      <c r="B22" t="str">
        <f>VLOOKUP(A22,'Entradas '!B:F,3,FALSE)</f>
        <v>Pelicula PVC 35 mic. CH 611 mm</v>
      </c>
      <c r="C22">
        <f>VLOOKUP(A22,'Entradas '!B:F,4,FALSE)</f>
        <v>2947</v>
      </c>
      <c r="D22">
        <f>VLOOKUP(A22,'Entradas '!B:F,5,FALSE)</f>
        <v>80.2</v>
      </c>
      <c r="E22">
        <f>SUMIF('Entradas '!B:B,Inventario!A22,'Entradas '!F:F)-SUMIF('Salidas '!B:B,Inventario!A22,'Salidas '!F:F)</f>
        <v>80.2</v>
      </c>
    </row>
    <row r="23" spans="1:5" x14ac:dyDescent="0.25">
      <c r="A23" s="30">
        <f>'Entradas '!B:B</f>
        <v>200611021</v>
      </c>
      <c r="B23" t="str">
        <f>VLOOKUP(A23,'Entradas '!B:F,3,FALSE)</f>
        <v>Pelicula PVC 35 mic. CH 611 mm</v>
      </c>
      <c r="C23">
        <f>VLOOKUP(A23,'Entradas '!B:F,4,FALSE)</f>
        <v>2814</v>
      </c>
      <c r="D23">
        <f>VLOOKUP(A23,'Entradas '!B:F,5,FALSE)</f>
        <v>79.7</v>
      </c>
      <c r="E23">
        <f>SUMIF('Entradas '!B:B,Inventario!A23,'Entradas '!F:F)-SUMIF('Salidas '!B:B,Inventario!A23,'Salidas '!F:F)</f>
        <v>79.7</v>
      </c>
    </row>
    <row r="24" spans="1:5" x14ac:dyDescent="0.25">
      <c r="A24" s="30">
        <f>'Entradas '!B:B</f>
        <v>200611022</v>
      </c>
      <c r="B24" t="str">
        <f>VLOOKUP(A24,'Entradas '!B:F,3,FALSE)</f>
        <v>Pelicula PVC 35 mic. CH 611 mm</v>
      </c>
      <c r="C24">
        <f>VLOOKUP(A24,'Entradas '!B:F,4,FALSE)</f>
        <v>2804</v>
      </c>
      <c r="D24">
        <f>VLOOKUP(A24,'Entradas '!B:F,5,FALSE)</f>
        <v>79.7</v>
      </c>
      <c r="E24">
        <f>SUMIF('Entradas '!B:B,Inventario!A24,'Entradas '!F:F)-SUMIF('Salidas '!B:B,Inventario!A24,'Salidas '!F:F)</f>
        <v>79.7</v>
      </c>
    </row>
    <row r="25" spans="1:5" x14ac:dyDescent="0.25">
      <c r="A25" s="30">
        <f>'Entradas '!B:B</f>
        <v>200611023</v>
      </c>
      <c r="B25" t="str">
        <f>VLOOKUP(A25,'Entradas '!B:F,3,FALSE)</f>
        <v>Pelicula PVC 35 mic. CH 611 mm</v>
      </c>
      <c r="C25">
        <f>VLOOKUP(A25,'Entradas '!B:F,4,FALSE)</f>
        <v>2890</v>
      </c>
      <c r="D25">
        <f>VLOOKUP(A25,'Entradas '!B:F,5,FALSE)</f>
        <v>82.6</v>
      </c>
      <c r="E25">
        <f>SUMIF('Entradas '!B:B,Inventario!A25,'Entradas '!F:F)-SUMIF('Salidas '!B:B,Inventario!A25,'Salidas '!F:F)</f>
        <v>0</v>
      </c>
    </row>
    <row r="26" spans="1:5" x14ac:dyDescent="0.25">
      <c r="A26" s="30">
        <f>'Entradas '!B:B</f>
        <v>200611024</v>
      </c>
      <c r="B26" t="str">
        <f>VLOOKUP(A26,'Entradas '!B:F,3,FALSE)</f>
        <v>Pelicula PVC 35 mic. CH 611 mm</v>
      </c>
      <c r="C26">
        <f>VLOOKUP(A26,'Entradas '!B:F,4,FALSE)</f>
        <v>2827</v>
      </c>
      <c r="D26">
        <f>VLOOKUP(A26,'Entradas '!B:F,5,FALSE)</f>
        <v>77.3</v>
      </c>
      <c r="E26">
        <f>SUMIF('Entradas '!B:B,Inventario!A26,'Entradas '!F:F)-SUMIF('Salidas '!B:B,Inventario!A26,'Salidas '!F:F)</f>
        <v>77.3</v>
      </c>
    </row>
    <row r="27" spans="1:5" x14ac:dyDescent="0.25">
      <c r="A27" s="30">
        <f>'Entradas '!B:B</f>
        <v>200611025</v>
      </c>
      <c r="B27" t="str">
        <f>VLOOKUP(A27,'Entradas '!B:F,3,FALSE)</f>
        <v>Pelicula PVC 35 mic. CH 611 mm</v>
      </c>
      <c r="C27">
        <f>VLOOKUP(A27,'Entradas '!B:F,4,FALSE)</f>
        <v>2805</v>
      </c>
      <c r="D27">
        <f>VLOOKUP(A27,'Entradas '!B:F,5,FALSE)</f>
        <v>76.599999999999994</v>
      </c>
      <c r="E27">
        <f>SUMIF('Entradas '!B:B,Inventario!A27,'Entradas '!F:F)-SUMIF('Salidas '!B:B,Inventario!A27,'Salidas '!F:F)</f>
        <v>0</v>
      </c>
    </row>
    <row r="28" spans="1:5" x14ac:dyDescent="0.25">
      <c r="A28" s="30">
        <f>'Entradas '!B:B</f>
        <v>200611026</v>
      </c>
      <c r="B28" t="str">
        <f>VLOOKUP(A28,'Entradas '!B:F,3,FALSE)</f>
        <v>Pelicula PVC 35 mic. CH 611 mm</v>
      </c>
      <c r="C28">
        <f>VLOOKUP(A28,'Entradas '!B:F,4,FALSE)</f>
        <v>2813</v>
      </c>
      <c r="D28">
        <f>VLOOKUP(A28,'Entradas '!B:F,5,FALSE)</f>
        <v>82.3</v>
      </c>
      <c r="E28">
        <f>SUMIF('Entradas '!B:B,Inventario!A28,'Entradas '!F:F)-SUMIF('Salidas '!B:B,Inventario!A28,'Salidas '!F:F)</f>
        <v>0</v>
      </c>
    </row>
    <row r="29" spans="1:5" x14ac:dyDescent="0.25">
      <c r="A29" s="30">
        <f>'Entradas '!B:B</f>
        <v>200611027</v>
      </c>
      <c r="B29" t="str">
        <f>VLOOKUP(A29,'Entradas '!B:F,3,FALSE)</f>
        <v>Pelicula PVC 35 mic. CH 611 mm</v>
      </c>
      <c r="C29">
        <f>VLOOKUP(A29,'Entradas '!B:F,4,FALSE)</f>
        <v>2805</v>
      </c>
      <c r="D29">
        <f>VLOOKUP(A29,'Entradas '!B:F,5,FALSE)</f>
        <v>77.3</v>
      </c>
      <c r="E29">
        <f>SUMIF('Entradas '!B:B,Inventario!A29,'Entradas '!F:F)-SUMIF('Salidas '!B:B,Inventario!A29,'Salidas '!F:F)</f>
        <v>0</v>
      </c>
    </row>
    <row r="30" spans="1:5" x14ac:dyDescent="0.25">
      <c r="A30" s="30">
        <f>'Entradas '!B:B</f>
        <v>200611028</v>
      </c>
      <c r="B30" t="str">
        <f>VLOOKUP(A30,'Entradas '!B:F,3,FALSE)</f>
        <v>Pelicula PVC 35 mic. CH 611 mm</v>
      </c>
      <c r="C30">
        <f>VLOOKUP(A30,'Entradas '!B:F,4,FALSE)</f>
        <v>2822</v>
      </c>
      <c r="D30">
        <f>VLOOKUP(A30,'Entradas '!B:F,5,FALSE)</f>
        <v>81.400000000000006</v>
      </c>
      <c r="E30">
        <f>SUMIF('Entradas '!B:B,Inventario!A30,'Entradas '!F:F)-SUMIF('Salidas '!B:B,Inventario!A30,'Salidas '!F:F)</f>
        <v>0</v>
      </c>
    </row>
    <row r="31" spans="1:5" x14ac:dyDescent="0.25">
      <c r="A31" s="30">
        <f>'Entradas '!B:B</f>
        <v>200611029</v>
      </c>
      <c r="B31" t="str">
        <f>VLOOKUP(A31,'Entradas '!B:F,3,FALSE)</f>
        <v>Pelicula PVC 35 mic. CH 611 mm</v>
      </c>
      <c r="C31">
        <f>VLOOKUP(A31,'Entradas '!B:F,4,FALSE)</f>
        <v>2822</v>
      </c>
      <c r="D31">
        <f>VLOOKUP(A31,'Entradas '!B:F,5,FALSE)</f>
        <v>81.900000000000006</v>
      </c>
      <c r="E31">
        <f>SUMIF('Entradas '!B:B,Inventario!A31,'Entradas '!F:F)-SUMIF('Salidas '!B:B,Inventario!A31,'Salidas '!F:F)</f>
        <v>0</v>
      </c>
    </row>
    <row r="32" spans="1:5" x14ac:dyDescent="0.25">
      <c r="A32" s="30">
        <f>'Entradas '!B:B</f>
        <v>200611030</v>
      </c>
      <c r="B32" t="str">
        <f>VLOOKUP(A32,'Entradas '!B:F,3,FALSE)</f>
        <v>Pelicula PVC 35 mic. CH 611 mm</v>
      </c>
      <c r="C32">
        <f>VLOOKUP(A32,'Entradas '!B:F,4,FALSE)</f>
        <v>2822</v>
      </c>
      <c r="D32">
        <f>VLOOKUP(A32,'Entradas '!B:F,5,FALSE)</f>
        <v>81.400000000000006</v>
      </c>
      <c r="E32">
        <f>SUMIF('Entradas '!B:B,Inventario!A32,'Entradas '!F:F)-SUMIF('Salidas '!B:B,Inventario!A32,'Salidas '!F:F)</f>
        <v>0</v>
      </c>
    </row>
    <row r="33" spans="1:5" x14ac:dyDescent="0.25">
      <c r="A33" s="30">
        <f>'Entradas '!B:B</f>
        <v>200611031</v>
      </c>
      <c r="B33" t="str">
        <f>VLOOKUP(A33,'Entradas '!B:F,3,FALSE)</f>
        <v>Pelicula PVC 35 mic. CH 611 mm</v>
      </c>
      <c r="C33">
        <f>VLOOKUP(A33,'Entradas '!B:F,4,FALSE)</f>
        <v>2840</v>
      </c>
      <c r="D33">
        <f>VLOOKUP(A33,'Entradas '!B:F,5,FALSE)</f>
        <v>77.599999999999994</v>
      </c>
      <c r="E33">
        <f>SUMIF('Entradas '!B:B,Inventario!A33,'Entradas '!F:F)-SUMIF('Salidas '!B:B,Inventario!A33,'Salidas '!F:F)</f>
        <v>0</v>
      </c>
    </row>
    <row r="34" spans="1:5" x14ac:dyDescent="0.25">
      <c r="A34" s="30">
        <f>'Entradas '!B:B</f>
        <v>200611032</v>
      </c>
      <c r="B34" t="str">
        <f>VLOOKUP(A34,'Entradas '!B:F,3,FALSE)</f>
        <v>Pelicula PVC 35 mic. CH 611 mm</v>
      </c>
      <c r="C34">
        <f>VLOOKUP(A34,'Entradas '!B:F,4,FALSE)</f>
        <v>2926</v>
      </c>
      <c r="D34">
        <f>VLOOKUP(A34,'Entradas '!B:F,5,FALSE)</f>
        <v>82.9</v>
      </c>
      <c r="E34">
        <f>SUMIF('Entradas '!B:B,Inventario!A34,'Entradas '!F:F)-SUMIF('Salidas '!B:B,Inventario!A34,'Salidas '!F:F)</f>
        <v>0</v>
      </c>
    </row>
    <row r="35" spans="1:5" x14ac:dyDescent="0.25">
      <c r="A35" s="30">
        <f>'Entradas '!B:B</f>
        <v>200611033</v>
      </c>
      <c r="B35" t="str">
        <f>VLOOKUP(A35,'Entradas '!B:F,3,FALSE)</f>
        <v>Pelicula PVC 35 mic. CH 611 mm</v>
      </c>
      <c r="C35">
        <f>VLOOKUP(A35,'Entradas '!B:F,4,FALSE)</f>
        <v>2916</v>
      </c>
      <c r="D35">
        <f>VLOOKUP(A35,'Entradas '!B:F,5,FALSE)</f>
        <v>82</v>
      </c>
      <c r="E35">
        <f>SUMIF('Entradas '!B:B,Inventario!A35,'Entradas '!F:F)-SUMIF('Salidas '!B:B,Inventario!A35,'Salidas '!F:F)</f>
        <v>0</v>
      </c>
    </row>
    <row r="36" spans="1:5" x14ac:dyDescent="0.25">
      <c r="A36" s="30">
        <f>'Entradas '!B:B</f>
        <v>200611034</v>
      </c>
      <c r="B36" t="str">
        <f>VLOOKUP(A36,'Entradas '!B:F,3,FALSE)</f>
        <v>Pelicula PVC 35 mic. CH 611 mm</v>
      </c>
      <c r="C36">
        <f>VLOOKUP(A36,'Entradas '!B:F,4,FALSE)</f>
        <v>2926</v>
      </c>
      <c r="D36">
        <f>VLOOKUP(A36,'Entradas '!B:F,5,FALSE)</f>
        <v>82.5</v>
      </c>
      <c r="E36">
        <f>SUMIF('Entradas '!B:B,Inventario!A36,'Entradas '!F:F)-SUMIF('Salidas '!B:B,Inventario!A36,'Salidas '!F:F)</f>
        <v>0</v>
      </c>
    </row>
    <row r="37" spans="1:5" x14ac:dyDescent="0.25">
      <c r="A37" s="30">
        <f>'Entradas '!B:B</f>
        <v>200611035</v>
      </c>
      <c r="B37" t="str">
        <f>VLOOKUP(A37,'Entradas '!B:F,3,FALSE)</f>
        <v>Pelicula PVC 35 mic. CH 611 mm</v>
      </c>
      <c r="C37">
        <f>VLOOKUP(A37,'Entradas '!B:F,4,FALSE)</f>
        <v>2807</v>
      </c>
      <c r="D37">
        <f>VLOOKUP(A37,'Entradas '!B:F,5,FALSE)</f>
        <v>80.2</v>
      </c>
      <c r="E37">
        <f>SUMIF('Entradas '!B:B,Inventario!A37,'Entradas '!F:F)-SUMIF('Salidas '!B:B,Inventario!A37,'Salidas '!F:F)</f>
        <v>0</v>
      </c>
    </row>
    <row r="38" spans="1:5" x14ac:dyDescent="0.25">
      <c r="A38" s="30">
        <f>'Entradas '!B:B</f>
        <v>200611036</v>
      </c>
      <c r="B38" t="str">
        <f>VLOOKUP(A38,'Entradas '!B:F,3,FALSE)</f>
        <v>Pelicula PVC 35 mic. CH 611 mm</v>
      </c>
      <c r="C38">
        <f>VLOOKUP(A38,'Entradas '!B:F,4,FALSE)</f>
        <v>2934</v>
      </c>
      <c r="D38">
        <f>VLOOKUP(A38,'Entradas '!B:F,5,FALSE)</f>
        <v>86.1</v>
      </c>
      <c r="E38">
        <f>SUMIF('Entradas '!B:B,Inventario!A38,'Entradas '!F:F)-SUMIF('Salidas '!B:B,Inventario!A38,'Salidas '!F:F)</f>
        <v>0</v>
      </c>
    </row>
    <row r="39" spans="1:5" x14ac:dyDescent="0.25">
      <c r="A39" s="30">
        <f>'Entradas '!B:B</f>
        <v>200611037</v>
      </c>
      <c r="B39" t="str">
        <f>VLOOKUP(A39,'Entradas '!B:F,3,FALSE)</f>
        <v>Pelicula PVC 35 mic. CH 611 mm</v>
      </c>
      <c r="C39">
        <f>VLOOKUP(A39,'Entradas '!B:F,4,FALSE)</f>
        <v>2825</v>
      </c>
      <c r="D39">
        <f>VLOOKUP(A39,'Entradas '!B:F,5,FALSE)</f>
        <v>80.7</v>
      </c>
      <c r="E39">
        <f>SUMIF('Entradas '!B:B,Inventario!A39,'Entradas '!F:F)-SUMIF('Salidas '!B:B,Inventario!A39,'Salidas '!F:F)</f>
        <v>0</v>
      </c>
    </row>
    <row r="40" spans="1:5" x14ac:dyDescent="0.25">
      <c r="A40" s="30">
        <f>'Entradas '!B:B</f>
        <v>200611038</v>
      </c>
      <c r="B40" t="str">
        <f>VLOOKUP(A40,'Entradas '!B:F,3,FALSE)</f>
        <v>Pelicula PVC 35 mic. CH 611 mm</v>
      </c>
      <c r="C40">
        <f>VLOOKUP(A40,'Entradas '!B:F,4,FALSE)</f>
        <v>2787</v>
      </c>
      <c r="D40">
        <f>VLOOKUP(A40,'Entradas '!B:F,5,FALSE)</f>
        <v>77.2</v>
      </c>
      <c r="E40">
        <f>SUMIF('Entradas '!B:B,Inventario!A40,'Entradas '!F:F)-SUMIF('Salidas '!B:B,Inventario!A40,'Salidas '!F:F)</f>
        <v>77.2</v>
      </c>
    </row>
    <row r="41" spans="1:5" x14ac:dyDescent="0.25">
      <c r="A41" s="30">
        <f>'Entradas '!B:B</f>
        <v>200611039</v>
      </c>
      <c r="B41" t="str">
        <f>VLOOKUP(A41,'Entradas '!B:F,3,FALSE)</f>
        <v>Pelicula PVC 35 mic. CH 611 mm</v>
      </c>
      <c r="C41">
        <f>VLOOKUP(A41,'Entradas '!B:F,4,FALSE)</f>
        <v>2805</v>
      </c>
      <c r="D41">
        <f>VLOOKUP(A41,'Entradas '!B:F,5,FALSE)</f>
        <v>81</v>
      </c>
      <c r="E41">
        <f>SUMIF('Entradas '!B:B,Inventario!A41,'Entradas '!F:F)-SUMIF('Salidas '!B:B,Inventario!A41,'Salidas '!F:F)</f>
        <v>81</v>
      </c>
    </row>
    <row r="42" spans="1:5" x14ac:dyDescent="0.25">
      <c r="A42" s="30">
        <f>'Entradas '!B:B</f>
        <v>200611040</v>
      </c>
      <c r="B42" t="str">
        <f>VLOOKUP(A42,'Entradas '!B:F,3,FALSE)</f>
        <v>Pelicula PVC 35 mic. CH 611 mm</v>
      </c>
      <c r="C42">
        <f>VLOOKUP(A42,'Entradas '!B:F,4,FALSE)</f>
        <v>2820</v>
      </c>
      <c r="D42">
        <f>VLOOKUP(A42,'Entradas '!B:F,5,FALSE)</f>
        <v>80.2</v>
      </c>
      <c r="E42">
        <f>SUMIF('Entradas '!B:B,Inventario!A42,'Entradas '!F:F)-SUMIF('Salidas '!B:B,Inventario!A42,'Salidas '!F:F)</f>
        <v>0</v>
      </c>
    </row>
    <row r="43" spans="1:5" x14ac:dyDescent="0.25">
      <c r="A43" s="30">
        <f>'Entradas '!B:B</f>
        <v>200611041</v>
      </c>
      <c r="B43" t="str">
        <f>VLOOKUP(A43,'Entradas '!B:F,3,FALSE)</f>
        <v>Pelicula PVC 35 mic. CH 611 mm</v>
      </c>
      <c r="C43">
        <f>VLOOKUP(A43,'Entradas '!B:F,4,FALSE)</f>
        <v>2627</v>
      </c>
      <c r="D43">
        <f>VLOOKUP(A43,'Entradas '!B:F,5,FALSE)</f>
        <v>81.3</v>
      </c>
      <c r="E43">
        <f>SUMIF('Entradas '!B:B,Inventario!A43,'Entradas '!F:F)-SUMIF('Salidas '!B:B,Inventario!A43,'Salidas '!F:F)</f>
        <v>81.3</v>
      </c>
    </row>
    <row r="44" spans="1:5" x14ac:dyDescent="0.25">
      <c r="A44" s="30">
        <f>'Entradas '!B:B</f>
        <v>200611042</v>
      </c>
      <c r="B44" t="str">
        <f>VLOOKUP(A44,'Entradas '!B:F,3,FALSE)</f>
        <v>Pelicula PVC 35 mic. CH 611 mm</v>
      </c>
      <c r="C44">
        <f>VLOOKUP(A44,'Entradas '!B:F,4,FALSE)</f>
        <v>2832</v>
      </c>
      <c r="D44">
        <f>VLOOKUP(A44,'Entradas '!B:F,5,FALSE)</f>
        <v>80.5</v>
      </c>
      <c r="E44">
        <f>SUMIF('Entradas '!B:B,Inventario!A44,'Entradas '!F:F)-SUMIF('Salidas '!B:B,Inventario!A44,'Salidas '!F:F)</f>
        <v>80.5</v>
      </c>
    </row>
    <row r="45" spans="1:5" x14ac:dyDescent="0.25">
      <c r="A45" s="30">
        <f>'Entradas '!B:B</f>
        <v>200611043</v>
      </c>
      <c r="B45" t="str">
        <f>VLOOKUP(A45,'Entradas '!B:F,3,FALSE)</f>
        <v>Pelicula PVC 35 mic. CH 611 mm</v>
      </c>
      <c r="C45">
        <f>VLOOKUP(A45,'Entradas '!B:F,4,FALSE)</f>
        <v>2828</v>
      </c>
      <c r="D45">
        <f>VLOOKUP(A45,'Entradas '!B:F,5,FALSE)</f>
        <v>81.099999999999994</v>
      </c>
      <c r="E45">
        <f>SUMIF('Entradas '!B:B,Inventario!A45,'Entradas '!F:F)-SUMIF('Salidas '!B:B,Inventario!A45,'Salidas '!F:F)</f>
        <v>0</v>
      </c>
    </row>
    <row r="46" spans="1:5" x14ac:dyDescent="0.25">
      <c r="A46" s="30">
        <f>'Entradas '!B:B</f>
        <v>200611044</v>
      </c>
      <c r="B46" t="str">
        <f>VLOOKUP(A46,'Entradas '!B:F,3,FALSE)</f>
        <v>Pelicula PVC 35 mic. CH 611 mm</v>
      </c>
      <c r="C46">
        <f>VLOOKUP(A46,'Entradas '!B:F,4,FALSE)</f>
        <v>2916</v>
      </c>
      <c r="D46">
        <f>VLOOKUP(A46,'Entradas '!B:F,5,FALSE)</f>
        <v>85.9</v>
      </c>
      <c r="E46">
        <f>SUMIF('Entradas '!B:B,Inventario!A46,'Entradas '!F:F)-SUMIF('Salidas '!B:B,Inventario!A46,'Salidas '!F:F)</f>
        <v>85.9</v>
      </c>
    </row>
    <row r="47" spans="1:5" x14ac:dyDescent="0.25">
      <c r="A47" s="30">
        <f>'Entradas '!B:B</f>
        <v>200611045</v>
      </c>
      <c r="B47" t="str">
        <f>VLOOKUP(A47,'Entradas '!B:F,3,FALSE)</f>
        <v>Pelicula PVC 35 mic. CH 611 mm</v>
      </c>
      <c r="C47">
        <f>VLOOKUP(A47,'Entradas '!B:F,4,FALSE)</f>
        <v>2828</v>
      </c>
      <c r="D47">
        <f>VLOOKUP(A47,'Entradas '!B:F,5,FALSE)</f>
        <v>80.400000000000006</v>
      </c>
      <c r="E47">
        <f>SUMIF('Entradas '!B:B,Inventario!A47,'Entradas '!F:F)-SUMIF('Salidas '!B:B,Inventario!A47,'Salidas '!F:F)</f>
        <v>80.400000000000006</v>
      </c>
    </row>
    <row r="48" spans="1:5" x14ac:dyDescent="0.25">
      <c r="A48" s="30">
        <f>'Entradas '!B:B</f>
        <v>200611046</v>
      </c>
      <c r="B48" t="str">
        <f>VLOOKUP(A48,'Entradas '!B:F,3,FALSE)</f>
        <v>Pelicula PVC 35 mic. CH 611 mm</v>
      </c>
      <c r="C48">
        <f>VLOOKUP(A48,'Entradas '!B:F,4,FALSE)</f>
        <v>2787</v>
      </c>
      <c r="D48">
        <f>VLOOKUP(A48,'Entradas '!B:F,5,FALSE)</f>
        <v>78.099999999999994</v>
      </c>
      <c r="E48">
        <f>SUMIF('Entradas '!B:B,Inventario!A48,'Entradas '!F:F)-SUMIF('Salidas '!B:B,Inventario!A48,'Salidas '!F:F)</f>
        <v>78.099999999999994</v>
      </c>
    </row>
    <row r="49" spans="1:5" x14ac:dyDescent="0.25">
      <c r="A49" s="30">
        <f>'Entradas '!B:B</f>
        <v>200611047</v>
      </c>
      <c r="B49" t="str">
        <f>VLOOKUP(A49,'Entradas '!B:F,3,FALSE)</f>
        <v>Pelicula PVC 35 mic. CH 611 mm</v>
      </c>
      <c r="C49">
        <f>VLOOKUP(A49,'Entradas '!B:F,4,FALSE)</f>
        <v>2934</v>
      </c>
      <c r="D49">
        <f>VLOOKUP(A49,'Entradas '!B:F,5,FALSE)</f>
        <v>86.5</v>
      </c>
      <c r="E49">
        <f>SUMIF('Entradas '!B:B,Inventario!A49,'Entradas '!F:F)-SUMIF('Salidas '!B:B,Inventario!A49,'Salidas '!F:F)</f>
        <v>86.5</v>
      </c>
    </row>
    <row r="50" spans="1:5" x14ac:dyDescent="0.25">
      <c r="A50" s="30">
        <f>'Entradas '!B:B</f>
        <v>200611048</v>
      </c>
      <c r="B50" t="str">
        <f>VLOOKUP(A50,'Entradas '!B:F,3,FALSE)</f>
        <v>Pelicula PVC 35 mic. CH 611 mm</v>
      </c>
      <c r="C50">
        <f>VLOOKUP(A50,'Entradas '!B:F,4,FALSE)</f>
        <v>2840</v>
      </c>
      <c r="D50">
        <f>VLOOKUP(A50,'Entradas '!B:F,5,FALSE)</f>
        <v>78.2</v>
      </c>
      <c r="E50">
        <f>SUMIF('Entradas '!B:B,Inventario!A50,'Entradas '!F:F)-SUMIF('Salidas '!B:B,Inventario!A50,'Salidas '!F:F)</f>
        <v>78.2</v>
      </c>
    </row>
    <row r="51" spans="1:5" x14ac:dyDescent="0.25">
      <c r="A51" s="30">
        <f>'Entradas '!B:B</f>
        <v>200611049</v>
      </c>
      <c r="B51" t="str">
        <f>VLOOKUP(A51,'Entradas '!B:F,3,FALSE)</f>
        <v>Pelicula PVC 35 mic. CH 611 mm</v>
      </c>
      <c r="C51">
        <f>VLOOKUP(A51,'Entradas '!B:F,4,FALSE)</f>
        <v>2823</v>
      </c>
      <c r="D51">
        <f>VLOOKUP(A51,'Entradas '!B:F,5,FALSE)</f>
        <v>81.5</v>
      </c>
      <c r="E51">
        <f>SUMIF('Entradas '!B:B,Inventario!A51,'Entradas '!F:F)-SUMIF('Salidas '!B:B,Inventario!A51,'Salidas '!F:F)</f>
        <v>81.5</v>
      </c>
    </row>
    <row r="52" spans="1:5" x14ac:dyDescent="0.25">
      <c r="A52" s="30">
        <f>'Entradas '!B:B</f>
        <v>200611050</v>
      </c>
      <c r="B52" t="str">
        <f>VLOOKUP(A52,'Entradas '!B:F,3,FALSE)</f>
        <v>Pelicula PVC 35 mic. CH 611 mm</v>
      </c>
      <c r="C52">
        <f>VLOOKUP(A52,'Entradas '!B:F,4,FALSE)</f>
        <v>2820</v>
      </c>
      <c r="D52">
        <f>VLOOKUP(A52,'Entradas '!B:F,5,FALSE)</f>
        <v>80.8</v>
      </c>
      <c r="E52">
        <f>SUMIF('Entradas '!B:B,Inventario!A52,'Entradas '!F:F)-SUMIF('Salidas '!B:B,Inventario!A52,'Salidas '!F:F)</f>
        <v>80.8</v>
      </c>
    </row>
    <row r="53" spans="1:5" x14ac:dyDescent="0.25">
      <c r="A53" s="30">
        <f>'Entradas '!B:B</f>
        <v>200611051</v>
      </c>
      <c r="B53" t="str">
        <f>VLOOKUP(A53,'Entradas '!B:F,3,FALSE)</f>
        <v>Pelicula PVC 35 mic. CH 611 mm</v>
      </c>
      <c r="C53">
        <f>VLOOKUP(A53,'Entradas '!B:F,4,FALSE)</f>
        <v>2780</v>
      </c>
      <c r="D53">
        <f>VLOOKUP(A53,'Entradas '!B:F,5,FALSE)</f>
        <v>80</v>
      </c>
      <c r="E53">
        <f>SUMIF('Entradas '!B:B,Inventario!A53,'Entradas '!F:F)-SUMIF('Salidas '!B:B,Inventario!A53,'Salidas '!F:F)</f>
        <v>80</v>
      </c>
    </row>
    <row r="54" spans="1:5" x14ac:dyDescent="0.25">
      <c r="A54" s="30">
        <f>'Entradas '!B:B</f>
        <v>200611052</v>
      </c>
      <c r="B54" t="str">
        <f>VLOOKUP(A54,'Entradas '!B:F,3,FALSE)</f>
        <v>Pelicula PVC 35 mic. CH 611 mm</v>
      </c>
      <c r="C54">
        <f>VLOOKUP(A54,'Entradas '!B:F,4,FALSE)</f>
        <v>2837</v>
      </c>
      <c r="D54">
        <f>VLOOKUP(A54,'Entradas '!B:F,5,FALSE)</f>
        <v>81.400000000000006</v>
      </c>
      <c r="E54">
        <f>SUMIF('Entradas '!B:B,Inventario!A54,'Entradas '!F:F)-SUMIF('Salidas '!B:B,Inventario!A54,'Salidas '!F:F)</f>
        <v>81.400000000000006</v>
      </c>
    </row>
    <row r="55" spans="1:5" x14ac:dyDescent="0.25">
      <c r="A55" s="30">
        <f>'Entradas '!B:B</f>
        <v>200611053</v>
      </c>
      <c r="B55" t="str">
        <f>VLOOKUP(A55,'Entradas '!B:F,3,FALSE)</f>
        <v>Pelicula PVC 35 mic. CH 611 mm</v>
      </c>
      <c r="C55">
        <f>VLOOKUP(A55,'Entradas '!B:F,4,FALSE)</f>
        <v>2780</v>
      </c>
      <c r="D55">
        <f>VLOOKUP(A55,'Entradas '!B:F,5,FALSE)</f>
        <v>79.099999999999994</v>
      </c>
      <c r="E55">
        <f>SUMIF('Entradas '!B:B,Inventario!A55,'Entradas '!F:F)-SUMIF('Salidas '!B:B,Inventario!A55,'Salidas '!F:F)</f>
        <v>79.099999999999994</v>
      </c>
    </row>
    <row r="56" spans="1:5" x14ac:dyDescent="0.25">
      <c r="A56" s="30">
        <f>'Entradas '!B:B</f>
        <v>200611054</v>
      </c>
      <c r="B56" t="str">
        <f>VLOOKUP(A56,'Entradas '!B:F,3,FALSE)</f>
        <v>Pelicula PVC 35 mic. CH 611 mm</v>
      </c>
      <c r="C56">
        <f>VLOOKUP(A56,'Entradas '!B:F,4,FALSE)</f>
        <v>2916</v>
      </c>
      <c r="D56">
        <f>VLOOKUP(A56,'Entradas '!B:F,5,FALSE)</f>
        <v>84.8</v>
      </c>
      <c r="E56">
        <f>SUMIF('Entradas '!B:B,Inventario!A56,'Entradas '!F:F)-SUMIF('Salidas '!B:B,Inventario!A56,'Salidas '!F:F)</f>
        <v>84.8</v>
      </c>
    </row>
    <row r="57" spans="1:5" x14ac:dyDescent="0.25">
      <c r="A57" s="30">
        <f>'Entradas '!B:B</f>
        <v>200611055</v>
      </c>
      <c r="B57" t="str">
        <f>VLOOKUP(A57,'Entradas '!B:F,3,FALSE)</f>
        <v>Pelicula PVC 35 mic. CH 611 mm</v>
      </c>
      <c r="C57">
        <f>VLOOKUP(A57,'Entradas '!B:F,4,FALSE)</f>
        <v>2891</v>
      </c>
      <c r="D57">
        <f>VLOOKUP(A57,'Entradas '!B:F,5,FALSE)</f>
        <v>85.7</v>
      </c>
      <c r="E57">
        <f>SUMIF('Entradas '!B:B,Inventario!A57,'Entradas '!F:F)-SUMIF('Salidas '!B:B,Inventario!A57,'Salidas '!F:F)</f>
        <v>85.7</v>
      </c>
    </row>
    <row r="58" spans="1:5" x14ac:dyDescent="0.25">
      <c r="A58" s="30">
        <f>'Entradas '!B:B</f>
        <v>200611056</v>
      </c>
      <c r="B58" t="str">
        <f>VLOOKUP(A58,'Entradas '!B:F,3,FALSE)</f>
        <v>Pelicula PVC 35 mic. CH 611 mm</v>
      </c>
      <c r="C58">
        <f>VLOOKUP(A58,'Entradas '!B:F,4,FALSE)</f>
        <v>2848</v>
      </c>
      <c r="D58">
        <f>VLOOKUP(A58,'Entradas '!B:F,5,FALSE)</f>
        <v>79.3</v>
      </c>
      <c r="E58">
        <f>SUMIF('Entradas '!B:B,Inventario!A58,'Entradas '!F:F)-SUMIF('Salidas '!B:B,Inventario!A58,'Salidas '!F:F)</f>
        <v>79.3</v>
      </c>
    </row>
    <row r="59" spans="1:5" x14ac:dyDescent="0.25">
      <c r="A59" s="30">
        <f>'Entradas '!B:B</f>
        <v>200611057</v>
      </c>
      <c r="B59" t="str">
        <f>VLOOKUP(A59,'Entradas '!B:F,3,FALSE)</f>
        <v>Pelicula PVC 35 mic. CH 611 mm</v>
      </c>
      <c r="C59">
        <f>VLOOKUP(A59,'Entradas '!B:F,4,FALSE)</f>
        <v>2835</v>
      </c>
      <c r="D59">
        <f>VLOOKUP(A59,'Entradas '!B:F,5,FALSE)</f>
        <v>81.3</v>
      </c>
      <c r="E59">
        <f>SUMIF('Entradas '!B:B,Inventario!A59,'Entradas '!F:F)-SUMIF('Salidas '!B:B,Inventario!A59,'Salidas '!F:F)</f>
        <v>0</v>
      </c>
    </row>
    <row r="60" spans="1:5" x14ac:dyDescent="0.25">
      <c r="A60" s="30">
        <f>'Entradas '!B:B</f>
        <v>200611058</v>
      </c>
      <c r="B60" t="str">
        <f>VLOOKUP(A60,'Entradas '!B:F,3,FALSE)</f>
        <v>Pelicula PVC 35 mic. CH 611 mm</v>
      </c>
      <c r="C60">
        <f>VLOOKUP(A60,'Entradas '!B:F,4,FALSE)</f>
        <v>2789</v>
      </c>
      <c r="D60">
        <f>VLOOKUP(A60,'Entradas '!B:F,5,FALSE)</f>
        <v>75.599999999999994</v>
      </c>
      <c r="E60">
        <f>SUMIF('Entradas '!B:B,Inventario!A60,'Entradas '!F:F)-SUMIF('Salidas '!B:B,Inventario!A60,'Salidas '!F:F)</f>
        <v>75.599999999999994</v>
      </c>
    </row>
    <row r="61" spans="1:5" x14ac:dyDescent="0.25">
      <c r="A61" s="30">
        <f>'Entradas '!B:B</f>
        <v>200611059</v>
      </c>
      <c r="B61" t="str">
        <f>VLOOKUP(A61,'Entradas '!B:F,3,FALSE)</f>
        <v>Pelicula PVC 35 mic. CH 611 mm</v>
      </c>
      <c r="C61">
        <f>VLOOKUP(A61,'Entradas '!B:F,4,FALSE)</f>
        <v>2843</v>
      </c>
      <c r="D61">
        <f>VLOOKUP(A61,'Entradas '!B:F,5,FALSE)</f>
        <v>80.3</v>
      </c>
      <c r="E61">
        <f>SUMIF('Entradas '!B:B,Inventario!A61,'Entradas '!F:F)-SUMIF('Salidas '!B:B,Inventario!A61,'Salidas '!F:F)</f>
        <v>0</v>
      </c>
    </row>
    <row r="62" spans="1:5" x14ac:dyDescent="0.25">
      <c r="A62" s="30">
        <f>'Entradas '!B:B</f>
        <v>200611060</v>
      </c>
      <c r="B62" t="str">
        <f>VLOOKUP(A62,'Entradas '!B:F,3,FALSE)</f>
        <v>Pelicula PVC 35 mic. CH 611 mm</v>
      </c>
      <c r="C62">
        <f>VLOOKUP(A62,'Entradas '!B:F,4,FALSE)</f>
        <v>2836</v>
      </c>
      <c r="D62">
        <f>VLOOKUP(A62,'Entradas '!B:F,5,FALSE)</f>
        <v>81</v>
      </c>
      <c r="E62">
        <f>SUMIF('Entradas '!B:B,Inventario!A62,'Entradas '!F:F)-SUMIF('Salidas '!B:B,Inventario!A62,'Salidas '!F:F)</f>
        <v>81</v>
      </c>
    </row>
    <row r="63" spans="1:5" x14ac:dyDescent="0.25">
      <c r="A63" s="30">
        <f>'Entradas '!B:B</f>
        <v>200611061</v>
      </c>
      <c r="B63" t="str">
        <f>VLOOKUP(A63,'Entradas '!B:F,3,FALSE)</f>
        <v>Pelicula PVC 35 mic. CH 611 mm</v>
      </c>
      <c r="C63">
        <f>VLOOKUP(A63,'Entradas '!B:F,4,FALSE)</f>
        <v>2825</v>
      </c>
      <c r="D63">
        <f>VLOOKUP(A63,'Entradas '!B:F,5,FALSE)</f>
        <v>80.400000000000006</v>
      </c>
      <c r="E63">
        <f>SUMIF('Entradas '!B:B,Inventario!A63,'Entradas '!F:F)-SUMIF('Salidas '!B:B,Inventario!A63,'Salidas '!F:F)</f>
        <v>0</v>
      </c>
    </row>
    <row r="64" spans="1:5" x14ac:dyDescent="0.25">
      <c r="A64" s="30">
        <f>'Entradas '!B:B</f>
        <v>200611062</v>
      </c>
      <c r="B64" t="str">
        <f>VLOOKUP(A64,'Entradas '!B:F,3,FALSE)</f>
        <v>Pelicula PVC 35 mic. CH 611 mm</v>
      </c>
      <c r="C64">
        <f>VLOOKUP(A64,'Entradas '!B:F,4,FALSE)</f>
        <v>2891</v>
      </c>
      <c r="D64">
        <f>VLOOKUP(A64,'Entradas '!B:F,5,FALSE)</f>
        <v>85.4</v>
      </c>
      <c r="E64">
        <f>SUMIF('Entradas '!B:B,Inventario!A64,'Entradas '!F:F)-SUMIF('Salidas '!B:B,Inventario!A64,'Salidas '!F:F)</f>
        <v>0</v>
      </c>
    </row>
    <row r="65" spans="1:5" x14ac:dyDescent="0.25">
      <c r="A65" s="30">
        <f>'Entradas '!B:B</f>
        <v>200611063</v>
      </c>
      <c r="B65" t="str">
        <f>VLOOKUP(A65,'Entradas '!B:F,3,FALSE)</f>
        <v>Pelicula PVC 35 mic. CH 611 mm</v>
      </c>
      <c r="C65">
        <f>VLOOKUP(A65,'Entradas '!B:F,4,FALSE)</f>
        <v>2780</v>
      </c>
      <c r="D65">
        <f>VLOOKUP(A65,'Entradas '!B:F,5,FALSE)</f>
        <v>75.3</v>
      </c>
      <c r="E65">
        <f>SUMIF('Entradas '!B:B,Inventario!A65,'Entradas '!F:F)-SUMIF('Salidas '!B:B,Inventario!A65,'Salidas '!F:F)</f>
        <v>75.3</v>
      </c>
    </row>
    <row r="66" spans="1:5" x14ac:dyDescent="0.25">
      <c r="A66" s="30">
        <f>'Entradas '!B:B</f>
        <v>200611064</v>
      </c>
      <c r="B66" t="str">
        <f>VLOOKUP(A66,'Entradas '!B:F,3,FALSE)</f>
        <v>Pelicula PVC 35 mic. CH 611 mm</v>
      </c>
      <c r="C66">
        <f>VLOOKUP(A66,'Entradas '!B:F,4,FALSE)</f>
        <v>2825</v>
      </c>
      <c r="D66">
        <f>VLOOKUP(A66,'Entradas '!B:F,5,FALSE)</f>
        <v>80.5</v>
      </c>
      <c r="E66">
        <f>SUMIF('Entradas '!B:B,Inventario!A66,'Entradas '!F:F)-SUMIF('Salidas '!B:B,Inventario!A66,'Salidas '!F:F)</f>
        <v>80.5</v>
      </c>
    </row>
    <row r="67" spans="1:5" x14ac:dyDescent="0.25">
      <c r="A67" s="30">
        <f>'Entradas '!B:B</f>
        <v>200611065</v>
      </c>
      <c r="B67" t="str">
        <f>VLOOKUP(A67,'Entradas '!B:F,3,FALSE)</f>
        <v>Pelicula PVC 35 mic. CH 611 mm</v>
      </c>
      <c r="C67">
        <f>VLOOKUP(A67,'Entradas '!B:F,4,FALSE)</f>
        <v>2838</v>
      </c>
      <c r="D67">
        <f>VLOOKUP(A67,'Entradas '!B:F,5,FALSE)</f>
        <v>82.7</v>
      </c>
      <c r="E67">
        <f>SUMIF('Entradas '!B:B,Inventario!A67,'Entradas '!F:F)-SUMIF('Salidas '!B:B,Inventario!A67,'Salidas '!F:F)</f>
        <v>82.7</v>
      </c>
    </row>
    <row r="68" spans="1:5" x14ac:dyDescent="0.25">
      <c r="A68" s="30">
        <f>'Entradas '!B:B</f>
        <v>200611066</v>
      </c>
      <c r="B68" t="str">
        <f>VLOOKUP(A68,'Entradas '!B:F,3,FALSE)</f>
        <v>Pelicula PVC 35 mic. CH 611 mm</v>
      </c>
      <c r="C68">
        <f>VLOOKUP(A68,'Entradas '!B:F,4,FALSE)</f>
        <v>2836</v>
      </c>
      <c r="D68">
        <f>VLOOKUP(A68,'Entradas '!B:F,5,FALSE)</f>
        <v>80.400000000000006</v>
      </c>
      <c r="E68">
        <f>SUMIF('Entradas '!B:B,Inventario!A68,'Entradas '!F:F)-SUMIF('Salidas '!B:B,Inventario!A68,'Salidas '!F:F)</f>
        <v>80.400000000000006</v>
      </c>
    </row>
    <row r="69" spans="1:5" x14ac:dyDescent="0.25">
      <c r="A69" s="30">
        <f>'Entradas '!B:B</f>
        <v>200611067</v>
      </c>
      <c r="B69" t="str">
        <f>VLOOKUP(A69,'Entradas '!B:F,3,FALSE)</f>
        <v>Pelicula PVC 35 mic. CH 611 mm</v>
      </c>
      <c r="C69">
        <f>VLOOKUP(A69,'Entradas '!B:F,4,FALSE)</f>
        <v>3265</v>
      </c>
      <c r="D69">
        <f>VLOOKUP(A69,'Entradas '!B:F,5,FALSE)</f>
        <v>94.2</v>
      </c>
      <c r="E69">
        <f>SUMIF('Entradas '!B:B,Inventario!A69,'Entradas '!F:F)-SUMIF('Salidas '!B:B,Inventario!A69,'Salidas '!F:F)</f>
        <v>0</v>
      </c>
    </row>
    <row r="70" spans="1:5" x14ac:dyDescent="0.25">
      <c r="A70" s="30">
        <f>'Entradas '!B:B</f>
        <v>200611068</v>
      </c>
      <c r="B70" t="str">
        <f>VLOOKUP(A70,'Entradas '!B:F,3,FALSE)</f>
        <v>Pelicula PVC 35 mic. CH 611 mm</v>
      </c>
      <c r="C70">
        <f>VLOOKUP(A70,'Entradas '!B:F,4,FALSE)</f>
        <v>2803</v>
      </c>
      <c r="D70">
        <f>VLOOKUP(A70,'Entradas '!B:F,5,FALSE)</f>
        <v>80</v>
      </c>
      <c r="E70">
        <f>SUMIF('Entradas '!B:B,Inventario!A70,'Entradas '!F:F)-SUMIF('Salidas '!B:B,Inventario!A70,'Salidas '!F:F)</f>
        <v>80</v>
      </c>
    </row>
    <row r="71" spans="1:5" x14ac:dyDescent="0.25">
      <c r="A71" s="30">
        <f>'Entradas '!B:B</f>
        <v>200611069</v>
      </c>
      <c r="B71" t="str">
        <f>VLOOKUP(A71,'Entradas '!B:F,3,FALSE)</f>
        <v>Pelicula PVC 35 mic. CH 611 mm</v>
      </c>
      <c r="C71">
        <f>VLOOKUP(A71,'Entradas '!B:F,4,FALSE)</f>
        <v>3265</v>
      </c>
      <c r="D71">
        <f>VLOOKUP(A71,'Entradas '!B:F,5,FALSE)</f>
        <v>94.5</v>
      </c>
      <c r="E71">
        <f>SUMIF('Entradas '!B:B,Inventario!A71,'Entradas '!F:F)-SUMIF('Salidas '!B:B,Inventario!A71,'Salidas '!F:F)</f>
        <v>94.5</v>
      </c>
    </row>
    <row r="72" spans="1:5" x14ac:dyDescent="0.25">
      <c r="A72" s="30">
        <f>'Entradas '!B:B</f>
        <v>200611070</v>
      </c>
      <c r="B72" t="str">
        <f>VLOOKUP(A72,'Entradas '!B:F,3,FALSE)</f>
        <v>Pelicula PVC 35 mic. CH 611 mm</v>
      </c>
      <c r="C72">
        <f>VLOOKUP(A72,'Entradas '!B:F,4,FALSE)</f>
        <v>2825</v>
      </c>
      <c r="D72">
        <f>VLOOKUP(A72,'Entradas '!B:F,5,FALSE)</f>
        <v>80</v>
      </c>
      <c r="E72">
        <f>SUMIF('Entradas '!B:B,Inventario!A72,'Entradas '!F:F)-SUMIF('Salidas '!B:B,Inventario!A72,'Salidas '!F:F)</f>
        <v>80</v>
      </c>
    </row>
    <row r="73" spans="1:5" x14ac:dyDescent="0.25">
      <c r="A73" s="30">
        <f>'Entradas '!B:B</f>
        <v>200611071</v>
      </c>
      <c r="B73" t="str">
        <f>VLOOKUP(A73,'Entradas '!B:F,3,FALSE)</f>
        <v>Pelicula PVC 35 mic. CH 611 mm</v>
      </c>
      <c r="C73">
        <f>VLOOKUP(A73,'Entradas '!B:F,4,FALSE)</f>
        <v>2730</v>
      </c>
      <c r="D73">
        <f>VLOOKUP(A73,'Entradas '!B:F,5,FALSE)</f>
        <v>74</v>
      </c>
      <c r="E73">
        <f>SUMIF('Entradas '!B:B,Inventario!A73,'Entradas '!F:F)-SUMIF('Salidas '!B:B,Inventario!A73,'Salidas '!F:F)</f>
        <v>74</v>
      </c>
    </row>
    <row r="74" spans="1:5" x14ac:dyDescent="0.25">
      <c r="A74" s="30">
        <f>'Entradas '!B:B</f>
        <v>200611072</v>
      </c>
      <c r="B74" t="str">
        <f>VLOOKUP(A74,'Entradas '!B:F,3,FALSE)</f>
        <v>Pelicula PVC 35 mic. CH 611 mm</v>
      </c>
      <c r="C74">
        <f>VLOOKUP(A74,'Entradas '!B:F,4,FALSE)</f>
        <v>2823</v>
      </c>
      <c r="D74">
        <f>VLOOKUP(A74,'Entradas '!B:F,5,FALSE)</f>
        <v>80.5</v>
      </c>
      <c r="E74">
        <f>SUMIF('Entradas '!B:B,Inventario!A74,'Entradas '!F:F)-SUMIF('Salidas '!B:B,Inventario!A74,'Salidas '!F:F)</f>
        <v>0</v>
      </c>
    </row>
    <row r="75" spans="1:5" x14ac:dyDescent="0.25">
      <c r="A75" s="30">
        <f>'Entradas '!B:B</f>
        <v>200611073</v>
      </c>
      <c r="B75" t="str">
        <f>VLOOKUP(A75,'Entradas '!B:F,3,FALSE)</f>
        <v>Pelicula PVC 35 mic. CH 611 mm</v>
      </c>
      <c r="C75">
        <f>VLOOKUP(A75,'Entradas '!B:F,4,FALSE)</f>
        <v>2812</v>
      </c>
      <c r="D75">
        <f>VLOOKUP(A75,'Entradas '!B:F,5,FALSE)</f>
        <v>81.400000000000006</v>
      </c>
      <c r="E75">
        <f>SUMIF('Entradas '!B:B,Inventario!A75,'Entradas '!F:F)-SUMIF('Salidas '!B:B,Inventario!A75,'Salidas '!F:F)</f>
        <v>81.400000000000006</v>
      </c>
    </row>
    <row r="76" spans="1:5" x14ac:dyDescent="0.25">
      <c r="A76" s="30">
        <f>'Entradas '!B:B</f>
        <v>200611074</v>
      </c>
      <c r="B76" t="str">
        <f>VLOOKUP(A76,'Entradas '!B:F,3,FALSE)</f>
        <v>Pelicula PVC 35 mic. CH 611 mm</v>
      </c>
      <c r="C76">
        <f>VLOOKUP(A76,'Entradas '!B:F,4,FALSE)</f>
        <v>2816</v>
      </c>
      <c r="D76">
        <f>VLOOKUP(A76,'Entradas '!B:F,5,FALSE)</f>
        <v>79.3</v>
      </c>
      <c r="E76">
        <f>SUMIF('Entradas '!B:B,Inventario!A76,'Entradas '!F:F)-SUMIF('Salidas '!B:B,Inventario!A76,'Salidas '!F:F)</f>
        <v>0</v>
      </c>
    </row>
    <row r="77" spans="1:5" x14ac:dyDescent="0.25">
      <c r="A77" s="30">
        <f>'Entradas '!B:B</f>
        <v>200611075</v>
      </c>
      <c r="B77" t="str">
        <f>VLOOKUP(A77,'Entradas '!B:F,3,FALSE)</f>
        <v>Pelicula PVC 35 mic. CH 611 mm</v>
      </c>
      <c r="C77">
        <f>VLOOKUP(A77,'Entradas '!B:F,4,FALSE)</f>
        <v>2816</v>
      </c>
      <c r="D77">
        <f>VLOOKUP(A77,'Entradas '!B:F,5,FALSE)</f>
        <v>81.599999999999994</v>
      </c>
      <c r="E77">
        <f>SUMIF('Entradas '!B:B,Inventario!A77,'Entradas '!F:F)-SUMIF('Salidas '!B:B,Inventario!A77,'Salidas '!F:F)</f>
        <v>81.599999999999994</v>
      </c>
    </row>
    <row r="78" spans="1:5" x14ac:dyDescent="0.25">
      <c r="A78" s="30">
        <f>'Entradas '!B:B</f>
        <v>200611076</v>
      </c>
      <c r="B78" t="str">
        <f>VLOOKUP(A78,'Entradas '!B:F,3,FALSE)</f>
        <v>Pelicula PVC 35 mic. CH 611 mm</v>
      </c>
      <c r="C78">
        <f>VLOOKUP(A78,'Entradas '!B:F,4,FALSE)</f>
        <v>2751</v>
      </c>
      <c r="D78">
        <f>VLOOKUP(A78,'Entradas '!B:F,5,FALSE)</f>
        <v>77.900000000000006</v>
      </c>
      <c r="E78">
        <f>SUMIF('Entradas '!B:B,Inventario!A78,'Entradas '!F:F)-SUMIF('Salidas '!B:B,Inventario!A78,'Salidas '!F:F)</f>
        <v>77.900000000000006</v>
      </c>
    </row>
    <row r="79" spans="1:5" x14ac:dyDescent="0.25">
      <c r="A79" s="30">
        <f>'Entradas '!B:B</f>
        <v>200611077</v>
      </c>
      <c r="B79" t="str">
        <f>VLOOKUP(A79,'Entradas '!B:F,3,FALSE)</f>
        <v>Pelicula PVC 35 mic. CH 611 mm</v>
      </c>
      <c r="C79">
        <f>VLOOKUP(A79,'Entradas '!B:F,4,FALSE)</f>
        <v>2850</v>
      </c>
      <c r="D79">
        <f>VLOOKUP(A79,'Entradas '!B:F,5,FALSE)</f>
        <v>79.400000000000006</v>
      </c>
      <c r="E79">
        <f>SUMIF('Entradas '!B:B,Inventario!A79,'Entradas '!F:F)-SUMIF('Salidas '!B:B,Inventario!A79,'Salidas '!F:F)</f>
        <v>79.400000000000006</v>
      </c>
    </row>
    <row r="80" spans="1:5" x14ac:dyDescent="0.25">
      <c r="A80" s="30">
        <f>'Entradas '!B:B</f>
        <v>200611078</v>
      </c>
      <c r="B80" t="str">
        <f>VLOOKUP(A80,'Entradas '!B:F,3,FALSE)</f>
        <v>Pelicula PVC 35 mic. CH 611 mm</v>
      </c>
      <c r="C80">
        <f>VLOOKUP(A80,'Entradas '!B:F,4,FALSE)</f>
        <v>2730</v>
      </c>
      <c r="D80">
        <f>VLOOKUP(A80,'Entradas '!B:F,5,FALSE)</f>
        <v>74.2</v>
      </c>
      <c r="E80">
        <f>SUMIF('Entradas '!B:B,Inventario!A80,'Entradas '!F:F)-SUMIF('Salidas '!B:B,Inventario!A80,'Salidas '!F:F)</f>
        <v>74.2</v>
      </c>
    </row>
    <row r="81" spans="1:5" x14ac:dyDescent="0.25">
      <c r="A81" s="30">
        <f>'Entradas '!B:B</f>
        <v>200611079</v>
      </c>
      <c r="B81" t="str">
        <f>VLOOKUP(A81,'Entradas '!B:F,3,FALSE)</f>
        <v>Pelicula PVC 35 mic. CH 611 mm</v>
      </c>
      <c r="C81">
        <f>VLOOKUP(A81,'Entradas '!B:F,4,FALSE)</f>
        <v>2823</v>
      </c>
      <c r="D81">
        <f>VLOOKUP(A81,'Entradas '!B:F,5,FALSE)</f>
        <v>81</v>
      </c>
      <c r="E81">
        <f>SUMIF('Entradas '!B:B,Inventario!A81,'Entradas '!F:F)-SUMIF('Salidas '!B:B,Inventario!A81,'Salidas '!F:F)</f>
        <v>81</v>
      </c>
    </row>
    <row r="82" spans="1:5" x14ac:dyDescent="0.25">
      <c r="A82" s="30">
        <f>'Entradas '!B:B</f>
        <v>200611080</v>
      </c>
      <c r="B82" t="str">
        <f>VLOOKUP(A82,'Entradas '!B:F,3,FALSE)</f>
        <v>Pelicula PVC 35 mic. CH 611 mm</v>
      </c>
      <c r="C82">
        <f>VLOOKUP(A82,'Entradas '!B:F,4,FALSE)</f>
        <v>2750</v>
      </c>
      <c r="D82">
        <f>VLOOKUP(A82,'Entradas '!B:F,5,FALSE)</f>
        <v>77.400000000000006</v>
      </c>
      <c r="E82">
        <f>SUMIF('Entradas '!B:B,Inventario!A82,'Entradas '!F:F)-SUMIF('Salidas '!B:B,Inventario!A82,'Salidas '!F:F)</f>
        <v>77.400000000000006</v>
      </c>
    </row>
    <row r="83" spans="1:5" x14ac:dyDescent="0.25">
      <c r="A83" s="30">
        <f>'Entradas '!B:B</f>
        <v>200611081</v>
      </c>
      <c r="B83" t="str">
        <f>VLOOKUP(A83,'Entradas '!B:F,3,FALSE)</f>
        <v>Pelicula PVC 35 mic. CH 611 mm</v>
      </c>
      <c r="C83">
        <f>VLOOKUP(A83,'Entradas '!B:F,4,FALSE)</f>
        <v>2803</v>
      </c>
      <c r="D83">
        <f>VLOOKUP(A83,'Entradas '!B:F,5,FALSE)</f>
        <v>80.599999999999994</v>
      </c>
      <c r="E83">
        <f>SUMIF('Entradas '!B:B,Inventario!A83,'Entradas '!F:F)-SUMIF('Salidas '!B:B,Inventario!A83,'Salidas '!F:F)</f>
        <v>80.599999999999994</v>
      </c>
    </row>
    <row r="84" spans="1:5" x14ac:dyDescent="0.25">
      <c r="A84" s="30">
        <f>'Entradas '!B:B</f>
        <v>200611082</v>
      </c>
      <c r="B84" t="str">
        <f>VLOOKUP(A84,'Entradas '!B:F,3,FALSE)</f>
        <v>Pelicula PVC 35 mic. CH 611 mm</v>
      </c>
      <c r="C84">
        <f>VLOOKUP(A84,'Entradas '!B:F,4,FALSE)</f>
        <v>2815</v>
      </c>
      <c r="D84">
        <f>VLOOKUP(A84,'Entradas '!B:F,5,FALSE)</f>
        <v>79.5</v>
      </c>
      <c r="E84">
        <f>SUMIF('Entradas '!B:B,Inventario!A84,'Entradas '!F:F)-SUMIF('Salidas '!B:B,Inventario!A84,'Salidas '!F:F)</f>
        <v>0</v>
      </c>
    </row>
    <row r="85" spans="1:5" x14ac:dyDescent="0.25">
      <c r="A85" s="30">
        <f>'Entradas '!B:B</f>
        <v>200611083</v>
      </c>
      <c r="B85" t="str">
        <f>VLOOKUP(A85,'Entradas '!B:F,3,FALSE)</f>
        <v>Pelicula PVC 35 mic. CH 611 mm</v>
      </c>
      <c r="C85">
        <f>VLOOKUP(A85,'Entradas '!B:F,4,FALSE)</f>
        <v>2824</v>
      </c>
      <c r="D85">
        <f>VLOOKUP(A85,'Entradas '!B:F,5,FALSE)</f>
        <v>79.7</v>
      </c>
      <c r="E85">
        <f>SUMIF('Entradas '!B:B,Inventario!A85,'Entradas '!F:F)-SUMIF('Salidas '!B:B,Inventario!A85,'Salidas '!F:F)</f>
        <v>79.7</v>
      </c>
    </row>
    <row r="86" spans="1:5" x14ac:dyDescent="0.25">
      <c r="A86" s="30">
        <f>'Entradas '!B:B</f>
        <v>200611084</v>
      </c>
      <c r="B86" t="str">
        <f>VLOOKUP(A86,'Entradas '!B:F,3,FALSE)</f>
        <v>Pelicula PVC 35 mic. CH 611 mm</v>
      </c>
      <c r="C86">
        <f>VLOOKUP(A86,'Entradas '!B:F,4,FALSE)</f>
        <v>2824</v>
      </c>
      <c r="D86">
        <f>VLOOKUP(A86,'Entradas '!B:F,5,FALSE)</f>
        <v>80.099999999999994</v>
      </c>
      <c r="E86">
        <f>SUMIF('Entradas '!B:B,Inventario!A86,'Entradas '!F:F)-SUMIF('Salidas '!B:B,Inventario!A86,'Salidas '!F:F)</f>
        <v>80.099999999999994</v>
      </c>
    </row>
    <row r="87" spans="1:5" x14ac:dyDescent="0.25">
      <c r="A87" s="30">
        <f>'Entradas '!B:B</f>
        <v>200611085</v>
      </c>
      <c r="B87" t="str">
        <f>VLOOKUP(A87,'Entradas '!B:F,3,FALSE)</f>
        <v>Pelicula PVC 35 mic. CH 611 mm</v>
      </c>
      <c r="C87">
        <f>VLOOKUP(A87,'Entradas '!B:F,4,FALSE)</f>
        <v>2777</v>
      </c>
      <c r="D87">
        <f>VLOOKUP(A87,'Entradas '!B:F,5,FALSE)</f>
        <v>77.2</v>
      </c>
      <c r="E87">
        <f>SUMIF('Entradas '!B:B,Inventario!A87,'Entradas '!F:F)-SUMIF('Salidas '!B:B,Inventario!A87,'Salidas '!F:F)</f>
        <v>77.2</v>
      </c>
    </row>
    <row r="88" spans="1:5" x14ac:dyDescent="0.25">
      <c r="A88" s="30">
        <f>'Entradas '!B:B</f>
        <v>200611086</v>
      </c>
      <c r="B88" t="str">
        <f>VLOOKUP(A88,'Entradas '!B:F,3,FALSE)</f>
        <v>Pelicula PVC 35 mic. CH 611 mm</v>
      </c>
      <c r="C88">
        <f>VLOOKUP(A88,'Entradas '!B:F,4,FALSE)</f>
        <v>2824</v>
      </c>
      <c r="D88">
        <f>VLOOKUP(A88,'Entradas '!B:F,5,FALSE)</f>
        <v>78.599999999999994</v>
      </c>
      <c r="E88">
        <f>SUMIF('Entradas '!B:B,Inventario!A88,'Entradas '!F:F)-SUMIF('Salidas '!B:B,Inventario!A88,'Salidas '!F:F)</f>
        <v>0</v>
      </c>
    </row>
    <row r="89" spans="1:5" x14ac:dyDescent="0.25">
      <c r="A89" s="30">
        <f>'Entradas '!B:B</f>
        <v>200611087</v>
      </c>
      <c r="B89" t="str">
        <f>VLOOKUP(A89,'Entradas '!B:F,3,FALSE)</f>
        <v>Pelicula PVC 35 mic. CH 611 mm</v>
      </c>
      <c r="C89">
        <f>VLOOKUP(A89,'Entradas '!B:F,4,FALSE)</f>
        <v>2807</v>
      </c>
      <c r="D89">
        <f>VLOOKUP(A89,'Entradas '!B:F,5,FALSE)</f>
        <v>79.3</v>
      </c>
      <c r="E89">
        <f>SUMIF('Entradas '!B:B,Inventario!A89,'Entradas '!F:F)-SUMIF('Salidas '!B:B,Inventario!A89,'Salidas '!F:F)</f>
        <v>79.3</v>
      </c>
    </row>
    <row r="90" spans="1:5" x14ac:dyDescent="0.25">
      <c r="A90" s="30">
        <f>'Entradas '!B:B</f>
        <v>200611088</v>
      </c>
      <c r="B90" t="str">
        <f>VLOOKUP(A90,'Entradas '!B:F,3,FALSE)</f>
        <v>Pelicula PVC 35 mic. CH 611 mm</v>
      </c>
      <c r="C90">
        <f>VLOOKUP(A90,'Entradas '!B:F,4,FALSE)</f>
        <v>2812</v>
      </c>
      <c r="D90">
        <f>VLOOKUP(A90,'Entradas '!B:F,5,FALSE)</f>
        <v>79</v>
      </c>
      <c r="E90">
        <f>SUMIF('Entradas '!B:B,Inventario!A90,'Entradas '!F:F)-SUMIF('Salidas '!B:B,Inventario!A90,'Salidas '!F:F)</f>
        <v>79</v>
      </c>
    </row>
    <row r="91" spans="1:5" x14ac:dyDescent="0.25">
      <c r="A91" s="30">
        <f>'Entradas '!B:B</f>
        <v>200611089</v>
      </c>
      <c r="B91" t="str">
        <f>VLOOKUP(A91,'Entradas '!B:F,3,FALSE)</f>
        <v>Pelicula PVC 35 mic. CH 611 mm</v>
      </c>
      <c r="C91">
        <f>VLOOKUP(A91,'Entradas '!B:F,4,FALSE)</f>
        <v>2812</v>
      </c>
      <c r="D91">
        <f>VLOOKUP(A91,'Entradas '!B:F,5,FALSE)</f>
        <v>81.400000000000006</v>
      </c>
      <c r="E91">
        <f>SUMIF('Entradas '!B:B,Inventario!A91,'Entradas '!F:F)-SUMIF('Salidas '!B:B,Inventario!A91,'Salidas '!F:F)</f>
        <v>81.400000000000006</v>
      </c>
    </row>
    <row r="92" spans="1:5" x14ac:dyDescent="0.25">
      <c r="A92" s="30">
        <f>'Entradas '!B:B</f>
        <v>200611090</v>
      </c>
      <c r="B92" t="str">
        <f>VLOOKUP(A92,'Entradas '!B:F,3,FALSE)</f>
        <v>Pelicula PVC 35 mic. CH 611 mm</v>
      </c>
      <c r="C92">
        <f>VLOOKUP(A92,'Entradas '!B:F,4,FALSE)</f>
        <v>2793</v>
      </c>
      <c r="D92">
        <f>VLOOKUP(A92,'Entradas '!B:F,5,FALSE)</f>
        <v>80.2</v>
      </c>
      <c r="E92">
        <f>SUMIF('Entradas '!B:B,Inventario!A92,'Entradas '!F:F)-SUMIF('Salidas '!B:B,Inventario!A92,'Salidas '!F:F)</f>
        <v>80.2</v>
      </c>
    </row>
    <row r="93" spans="1:5" x14ac:dyDescent="0.25">
      <c r="A93" s="30">
        <f>'Entradas '!B:B</f>
        <v>200611091</v>
      </c>
      <c r="B93" t="str">
        <f>VLOOKUP(A93,'Entradas '!B:F,3,FALSE)</f>
        <v>Pelicula PVC 35 mic. CH 611 mm</v>
      </c>
      <c r="C93">
        <f>VLOOKUP(A93,'Entradas '!B:F,4,FALSE)</f>
        <v>2807</v>
      </c>
      <c r="D93">
        <f>VLOOKUP(A93,'Entradas '!B:F,5,FALSE)</f>
        <v>80.400000000000006</v>
      </c>
      <c r="E93">
        <f>SUMIF('Entradas '!B:B,Inventario!A93,'Entradas '!F:F)-SUMIF('Salidas '!B:B,Inventario!A93,'Salidas '!F:F)</f>
        <v>80.400000000000006</v>
      </c>
    </row>
    <row r="94" spans="1:5" x14ac:dyDescent="0.25">
      <c r="A94" s="30">
        <f>'Entradas '!B:B</f>
        <v>200611092</v>
      </c>
      <c r="B94" t="str">
        <f>VLOOKUP(A94,'Entradas '!B:F,3,FALSE)</f>
        <v>Pelicula PVC 35 mic. CH 611 mm</v>
      </c>
      <c r="C94">
        <f>VLOOKUP(A94,'Entradas '!B:F,4,FALSE)</f>
        <v>2928</v>
      </c>
      <c r="D94">
        <f>VLOOKUP(A94,'Entradas '!B:F,5,FALSE)</f>
        <v>84.5</v>
      </c>
      <c r="E94">
        <f>SUMIF('Entradas '!B:B,Inventario!A94,'Entradas '!F:F)-SUMIF('Salidas '!B:B,Inventario!A94,'Salidas '!F:F)</f>
        <v>84.5</v>
      </c>
    </row>
    <row r="95" spans="1:5" x14ac:dyDescent="0.25">
      <c r="A95" s="30">
        <f>'Entradas '!B:B</f>
        <v>200611093</v>
      </c>
      <c r="B95" t="str">
        <f>VLOOKUP(A95,'Entradas '!B:F,3,FALSE)</f>
        <v>Pelicula PVC 35 mic. CH 611 mm</v>
      </c>
      <c r="C95">
        <f>VLOOKUP(A95,'Entradas '!B:F,4,FALSE)</f>
        <v>2812</v>
      </c>
      <c r="D95">
        <f>VLOOKUP(A95,'Entradas '!B:F,5,FALSE)</f>
        <v>82.2</v>
      </c>
      <c r="E95">
        <f>SUMIF('Entradas '!B:B,Inventario!A95,'Entradas '!F:F)-SUMIF('Salidas '!B:B,Inventario!A95,'Salidas '!F:F)</f>
        <v>82.2</v>
      </c>
    </row>
    <row r="96" spans="1:5" x14ac:dyDescent="0.25">
      <c r="A96" s="30">
        <f>'Entradas '!B:B</f>
        <v>200611094</v>
      </c>
      <c r="B96" t="str">
        <f>VLOOKUP(A96,'Entradas '!B:F,3,FALSE)</f>
        <v>Pelicula PVC 35 mic. CH 611 mm</v>
      </c>
      <c r="C96">
        <f>VLOOKUP(A96,'Entradas '!B:F,4,FALSE)</f>
        <v>2812</v>
      </c>
      <c r="D96">
        <f>VLOOKUP(A96,'Entradas '!B:F,5,FALSE)</f>
        <v>80.099999999999994</v>
      </c>
      <c r="E96">
        <f>SUMIF('Entradas '!B:B,Inventario!A96,'Entradas '!F:F)-SUMIF('Salidas '!B:B,Inventario!A96,'Salidas '!F:F)</f>
        <v>80.099999999999994</v>
      </c>
    </row>
    <row r="97" spans="1:5" x14ac:dyDescent="0.25">
      <c r="A97" s="30">
        <f>'Entradas '!B:B</f>
        <v>200611095</v>
      </c>
      <c r="B97" t="str">
        <f>VLOOKUP(A97,'Entradas '!B:F,3,FALSE)</f>
        <v>Pelicula PVC 35 mic. CH 611 mm</v>
      </c>
      <c r="C97">
        <f>VLOOKUP(A97,'Entradas '!B:F,4,FALSE)</f>
        <v>2860</v>
      </c>
      <c r="D97">
        <f>VLOOKUP(A97,'Entradas '!B:F,5,FALSE)</f>
        <v>82.4</v>
      </c>
      <c r="E97">
        <f>SUMIF('Entradas '!B:B,Inventario!A97,'Entradas '!F:F)-SUMIF('Salidas '!B:B,Inventario!A97,'Salidas '!F:F)</f>
        <v>0</v>
      </c>
    </row>
    <row r="98" spans="1:5" x14ac:dyDescent="0.25">
      <c r="A98" s="30">
        <f>'Entradas '!B:B</f>
        <v>200611096</v>
      </c>
      <c r="B98" t="str">
        <f>VLOOKUP(A98,'Entradas '!B:F,3,FALSE)</f>
        <v>Pelicula PVC 35 mic. CH 611 mm</v>
      </c>
      <c r="C98">
        <f>VLOOKUP(A98,'Entradas '!B:F,4,FALSE)</f>
        <v>2825</v>
      </c>
      <c r="D98">
        <f>VLOOKUP(A98,'Entradas '!B:F,5,FALSE)</f>
        <v>81.2</v>
      </c>
      <c r="E98">
        <f>SUMIF('Entradas '!B:B,Inventario!A98,'Entradas '!F:F)-SUMIF('Salidas '!B:B,Inventario!A98,'Salidas '!F:F)</f>
        <v>0</v>
      </c>
    </row>
    <row r="99" spans="1:5" x14ac:dyDescent="0.25">
      <c r="A99" s="30">
        <f>'Entradas '!B:B</f>
        <v>200611097</v>
      </c>
      <c r="B99" t="str">
        <f>VLOOKUP(A99,'Entradas '!B:F,3,FALSE)</f>
        <v>Pelicula PVC 35 mic. CH 611 mm</v>
      </c>
      <c r="C99">
        <f>VLOOKUP(A99,'Entradas '!B:F,4,FALSE)</f>
        <v>2820</v>
      </c>
      <c r="D99">
        <f>VLOOKUP(A99,'Entradas '!B:F,5,FALSE)</f>
        <v>78.599999999999994</v>
      </c>
      <c r="E99">
        <f>SUMIF('Entradas '!B:B,Inventario!A99,'Entradas '!F:F)-SUMIF('Salidas '!B:B,Inventario!A99,'Salidas '!F:F)</f>
        <v>0</v>
      </c>
    </row>
    <row r="100" spans="1:5" x14ac:dyDescent="0.25">
      <c r="A100" s="30">
        <f>'Entradas '!B:B</f>
        <v>200611098</v>
      </c>
      <c r="B100" t="str">
        <f>VLOOKUP(A100,'Entradas '!B:F,3,FALSE)</f>
        <v>Pelicula PVC 35 mic. CH 611 mm</v>
      </c>
      <c r="C100">
        <f>VLOOKUP(A100,'Entradas '!B:F,4,FALSE)</f>
        <v>2820</v>
      </c>
      <c r="D100">
        <f>VLOOKUP(A100,'Entradas '!B:F,5,FALSE)</f>
        <v>78.8</v>
      </c>
      <c r="E100">
        <f>SUMIF('Entradas '!B:B,Inventario!A100,'Entradas '!F:F)-SUMIF('Salidas '!B:B,Inventario!A100,'Salidas '!F:F)</f>
        <v>0</v>
      </c>
    </row>
    <row r="101" spans="1:5" x14ac:dyDescent="0.25">
      <c r="A101" s="30">
        <f>'Entradas '!B:B</f>
        <v>200611099</v>
      </c>
      <c r="B101" t="str">
        <f>VLOOKUP(A101,'Entradas '!B:F,3,FALSE)</f>
        <v>Pelicula PVC 35 mic. CH 611 mm</v>
      </c>
      <c r="C101">
        <f>VLOOKUP(A101,'Entradas '!B:F,4,FALSE)</f>
        <v>2860</v>
      </c>
      <c r="D101">
        <f>VLOOKUP(A101,'Entradas '!B:F,5,FALSE)</f>
        <v>82.2</v>
      </c>
      <c r="E101">
        <f>SUMIF('Entradas '!B:B,Inventario!A101,'Entradas '!F:F)-SUMIF('Salidas '!B:B,Inventario!A101,'Salidas '!F:F)</f>
        <v>0</v>
      </c>
    </row>
    <row r="102" spans="1:5" x14ac:dyDescent="0.25">
      <c r="A102" s="30">
        <f>'Entradas '!B:B</f>
        <v>200611100</v>
      </c>
      <c r="B102" t="str">
        <f>VLOOKUP(A102,'Entradas '!B:F,3,FALSE)</f>
        <v>Pelicula PVC 35 mic. CH 611 mm</v>
      </c>
      <c r="C102">
        <f>VLOOKUP(A102,'Entradas '!B:F,4,FALSE)</f>
        <v>2908</v>
      </c>
      <c r="D102">
        <f>VLOOKUP(A102,'Entradas '!B:F,5,FALSE)</f>
        <v>86.8</v>
      </c>
      <c r="E102">
        <f>SUMIF('Entradas '!B:B,Inventario!A102,'Entradas '!F:F)-SUMIF('Salidas '!B:B,Inventario!A102,'Salidas '!F:F)</f>
        <v>0</v>
      </c>
    </row>
    <row r="103" spans="1:5" x14ac:dyDescent="0.25">
      <c r="A103" s="30">
        <f>'Entradas '!B:B</f>
        <v>200611101</v>
      </c>
      <c r="B103" t="str">
        <f>VLOOKUP(A103,'Entradas '!B:F,3,FALSE)</f>
        <v>Pelicula PVC 35 mic. CH 611 mm</v>
      </c>
      <c r="C103">
        <f>VLOOKUP(A103,'Entradas '!B:F,4,FALSE)</f>
        <v>2828</v>
      </c>
      <c r="D103">
        <f>VLOOKUP(A103,'Entradas '!B:F,5,FALSE)</f>
        <v>81.5</v>
      </c>
      <c r="E103">
        <f>SUMIF('Entradas '!B:B,Inventario!A103,'Entradas '!F:F)-SUMIF('Salidas '!B:B,Inventario!A103,'Salidas '!F:F)</f>
        <v>81.5</v>
      </c>
    </row>
    <row r="104" spans="1:5" x14ac:dyDescent="0.25">
      <c r="A104" s="30">
        <f>'Entradas '!B:B</f>
        <v>200611102</v>
      </c>
      <c r="B104" t="str">
        <f>VLOOKUP(A104,'Entradas '!B:F,3,FALSE)</f>
        <v>Pelicula PVC 35 mic. CH 611 mm</v>
      </c>
      <c r="C104">
        <f>VLOOKUP(A104,'Entradas '!B:F,4,FALSE)</f>
        <v>2997</v>
      </c>
      <c r="D104">
        <f>VLOOKUP(A104,'Entradas '!B:F,5,FALSE)</f>
        <v>85.3</v>
      </c>
      <c r="E104">
        <f>SUMIF('Entradas '!B:B,Inventario!A104,'Entradas '!F:F)-SUMIF('Salidas '!B:B,Inventario!A104,'Salidas '!F:F)</f>
        <v>0</v>
      </c>
    </row>
    <row r="105" spans="1:5" x14ac:dyDescent="0.25">
      <c r="A105" s="30">
        <f>'Entradas '!B:B</f>
        <v>200611103</v>
      </c>
      <c r="B105" t="str">
        <f>VLOOKUP(A105,'Entradas '!B:F,3,FALSE)</f>
        <v>Pelicula PVC 35 mic. CH 611 mm</v>
      </c>
      <c r="C105">
        <f>VLOOKUP(A105,'Entradas '!B:F,4,FALSE)</f>
        <v>2831</v>
      </c>
      <c r="D105">
        <f>VLOOKUP(A105,'Entradas '!B:F,5,FALSE)</f>
        <v>80.3</v>
      </c>
      <c r="E105">
        <f>SUMIF('Entradas '!B:B,Inventario!A105,'Entradas '!F:F)-SUMIF('Salidas '!B:B,Inventario!A105,'Salidas '!F:F)</f>
        <v>80.3</v>
      </c>
    </row>
    <row r="106" spans="1:5" x14ac:dyDescent="0.25">
      <c r="A106" s="30">
        <f>'Entradas '!B:B</f>
        <v>200611104</v>
      </c>
      <c r="B106" t="str">
        <f>VLOOKUP(A106,'Entradas '!B:F,3,FALSE)</f>
        <v>Pelicula PVC 35 mic. CH 611 mm</v>
      </c>
      <c r="C106">
        <f>VLOOKUP(A106,'Entradas '!B:F,4,FALSE)</f>
        <v>2819</v>
      </c>
      <c r="D106">
        <f>VLOOKUP(A106,'Entradas '!B:F,5,FALSE)</f>
        <v>79.2</v>
      </c>
      <c r="E106">
        <f>SUMIF('Entradas '!B:B,Inventario!A106,'Entradas '!F:F)-SUMIF('Salidas '!B:B,Inventario!A106,'Salidas '!F:F)</f>
        <v>0</v>
      </c>
    </row>
    <row r="107" spans="1:5" x14ac:dyDescent="0.25">
      <c r="A107" s="30">
        <f>'Entradas '!B:B</f>
        <v>200611105</v>
      </c>
      <c r="B107" t="str">
        <f>VLOOKUP(A107,'Entradas '!B:F,3,FALSE)</f>
        <v>Pelicula PVC 35 mic. CH 611 mm</v>
      </c>
      <c r="C107">
        <f>VLOOKUP(A107,'Entradas '!B:F,4,FALSE)</f>
        <v>2825</v>
      </c>
      <c r="D107">
        <f>VLOOKUP(A107,'Entradas '!B:F,5,FALSE)</f>
        <v>81.5</v>
      </c>
      <c r="E107">
        <f>SUMIF('Entradas '!B:B,Inventario!A107,'Entradas '!F:F)-SUMIF('Salidas '!B:B,Inventario!A107,'Salidas '!F:F)</f>
        <v>81.5</v>
      </c>
    </row>
    <row r="108" spans="1:5" x14ac:dyDescent="0.25">
      <c r="A108" s="30">
        <f>'Entradas '!B:B</f>
        <v>200611106</v>
      </c>
      <c r="B108" t="str">
        <f>VLOOKUP(A108,'Entradas '!B:F,3,FALSE)</f>
        <v>Pelicula PVC 35 mic. CH 611 mm</v>
      </c>
      <c r="C108">
        <f>VLOOKUP(A108,'Entradas '!B:F,4,FALSE)</f>
        <v>2819</v>
      </c>
      <c r="D108">
        <f>VLOOKUP(A108,'Entradas '!B:F,5,FALSE)</f>
        <v>79.3</v>
      </c>
      <c r="E108">
        <f>SUMIF('Entradas '!B:B,Inventario!A108,'Entradas '!F:F)-SUMIF('Salidas '!B:B,Inventario!A108,'Salidas '!F:F)</f>
        <v>79.3</v>
      </c>
    </row>
    <row r="109" spans="1:5" x14ac:dyDescent="0.25">
      <c r="A109" s="30">
        <f>'Entradas '!B:B</f>
        <v>200611107</v>
      </c>
      <c r="B109" t="str">
        <f>VLOOKUP(A109,'Entradas '!B:F,3,FALSE)</f>
        <v>Pelicula PVC 35 mic. CH 611 mm</v>
      </c>
      <c r="C109">
        <f>VLOOKUP(A109,'Entradas '!B:F,4,FALSE)</f>
        <v>2828</v>
      </c>
      <c r="D109">
        <f>VLOOKUP(A109,'Entradas '!B:F,5,FALSE)</f>
        <v>81.3</v>
      </c>
      <c r="E109">
        <f>SUMIF('Entradas '!B:B,Inventario!A109,'Entradas '!F:F)-SUMIF('Salidas '!B:B,Inventario!A109,'Salidas '!F:F)</f>
        <v>81.3</v>
      </c>
    </row>
    <row r="110" spans="1:5" x14ac:dyDescent="0.25">
      <c r="A110" s="30">
        <f>'Entradas '!B:B</f>
        <v>200611108</v>
      </c>
      <c r="B110" t="str">
        <f>VLOOKUP(A110,'Entradas '!B:F,3,FALSE)</f>
        <v>Pelicula PVC 35 mic. CH 611 mm</v>
      </c>
      <c r="C110">
        <f>VLOOKUP(A110,'Entradas '!B:F,4,FALSE)</f>
        <v>2824</v>
      </c>
      <c r="D110">
        <f>VLOOKUP(A110,'Entradas '!B:F,5,FALSE)</f>
        <v>83.2</v>
      </c>
      <c r="E110">
        <f>SUMIF('Entradas '!B:B,Inventario!A110,'Entradas '!F:F)-SUMIF('Salidas '!B:B,Inventario!A110,'Salidas '!F:F)</f>
        <v>0</v>
      </c>
    </row>
    <row r="111" spans="1:5" x14ac:dyDescent="0.25">
      <c r="A111" s="30">
        <f>'Entradas '!B:B</f>
        <v>200611109</v>
      </c>
      <c r="B111" t="str">
        <f>VLOOKUP(A111,'Entradas '!B:F,3,FALSE)</f>
        <v>Pelicula PVC 35 mic. CH 611 mm</v>
      </c>
      <c r="C111">
        <f>VLOOKUP(A111,'Entradas '!B:F,4,FALSE)</f>
        <v>2830</v>
      </c>
      <c r="D111">
        <f>VLOOKUP(A111,'Entradas '!B:F,5,FALSE)</f>
        <v>80</v>
      </c>
      <c r="E111">
        <f>SUMIF('Entradas '!B:B,Inventario!A111,'Entradas '!F:F)-SUMIF('Salidas '!B:B,Inventario!A111,'Salidas '!F:F)</f>
        <v>0</v>
      </c>
    </row>
    <row r="112" spans="1:5" x14ac:dyDescent="0.25">
      <c r="A112" s="30">
        <f>'Entradas '!B:B</f>
        <v>200611110</v>
      </c>
      <c r="B112" t="str">
        <f>VLOOKUP(A112,'Entradas '!B:F,3,FALSE)</f>
        <v>Pelicula PVC 35 mic. CH 611 mm</v>
      </c>
      <c r="C112">
        <f>VLOOKUP(A112,'Entradas '!B:F,4,FALSE)</f>
        <v>2824</v>
      </c>
      <c r="D112">
        <f>VLOOKUP(A112,'Entradas '!B:F,5,FALSE)</f>
        <v>83.5</v>
      </c>
      <c r="E112">
        <f>SUMIF('Entradas '!B:B,Inventario!A112,'Entradas '!F:F)-SUMIF('Salidas '!B:B,Inventario!A112,'Salidas '!F:F)</f>
        <v>0</v>
      </c>
    </row>
    <row r="113" spans="1:5" x14ac:dyDescent="0.25">
      <c r="A113" s="30">
        <f>'Entradas '!B:B</f>
        <v>200611111</v>
      </c>
      <c r="B113" t="str">
        <f>VLOOKUP(A113,'Entradas '!B:F,3,FALSE)</f>
        <v>Pelicula PVC 35 mic. CH 611 mm</v>
      </c>
      <c r="C113">
        <f>VLOOKUP(A113,'Entradas '!B:F,4,FALSE)</f>
        <v>2830</v>
      </c>
      <c r="D113">
        <f>VLOOKUP(A113,'Entradas '!B:F,5,FALSE)</f>
        <v>77.900000000000006</v>
      </c>
      <c r="E113">
        <f>SUMIF('Entradas '!B:B,Inventario!A113,'Entradas '!F:F)-SUMIF('Salidas '!B:B,Inventario!A113,'Salidas '!F:F)</f>
        <v>0</v>
      </c>
    </row>
    <row r="114" spans="1:5" x14ac:dyDescent="0.25">
      <c r="A114" s="30">
        <f>'Entradas '!B:B</f>
        <v>200611112</v>
      </c>
      <c r="B114" t="str">
        <f>VLOOKUP(A114,'Entradas '!B:F,3,FALSE)</f>
        <v>Pelicula PVC 35 mic. CH 611 mm</v>
      </c>
      <c r="C114">
        <f>VLOOKUP(A114,'Entradas '!B:F,4,FALSE)</f>
        <v>2997</v>
      </c>
      <c r="D114">
        <f>VLOOKUP(A114,'Entradas '!B:F,5,FALSE)</f>
        <v>86.6</v>
      </c>
      <c r="E114">
        <f>SUMIF('Entradas '!B:B,Inventario!A114,'Entradas '!F:F)-SUMIF('Salidas '!B:B,Inventario!A114,'Salidas '!F:F)</f>
        <v>0</v>
      </c>
    </row>
    <row r="115" spans="1:5" x14ac:dyDescent="0.25">
      <c r="A115" s="30">
        <f>'Entradas '!B:B</f>
        <v>200611113</v>
      </c>
      <c r="B115" t="str">
        <f>VLOOKUP(A115,'Entradas '!B:F,3,FALSE)</f>
        <v>Pelicula PVC 35 mic. CH 611 mm</v>
      </c>
      <c r="C115">
        <f>VLOOKUP(A115,'Entradas '!B:F,4,FALSE)</f>
        <v>3012</v>
      </c>
      <c r="D115">
        <f>VLOOKUP(A115,'Entradas '!B:F,5,FALSE)</f>
        <v>87.8</v>
      </c>
      <c r="E115">
        <f>SUMIF('Entradas '!B:B,Inventario!A115,'Entradas '!F:F)-SUMIF('Salidas '!B:B,Inventario!A115,'Salidas '!F:F)</f>
        <v>0</v>
      </c>
    </row>
    <row r="116" spans="1:5" x14ac:dyDescent="0.25">
      <c r="A116" s="30">
        <f>'Entradas '!B:B</f>
        <v>200611114</v>
      </c>
      <c r="B116" t="str">
        <f>VLOOKUP(A116,'Entradas '!B:F,3,FALSE)</f>
        <v>Pelicula PVC 35 mic. CH 611 mm</v>
      </c>
      <c r="C116">
        <f>VLOOKUP(A116,'Entradas '!B:F,4,FALSE)</f>
        <v>2928</v>
      </c>
      <c r="D116">
        <f>VLOOKUP(A116,'Entradas '!B:F,5,FALSE)</f>
        <v>85</v>
      </c>
      <c r="E116">
        <f>SUMIF('Entradas '!B:B,Inventario!A116,'Entradas '!F:F)-SUMIF('Salidas '!B:B,Inventario!A116,'Salidas '!F:F)</f>
        <v>0</v>
      </c>
    </row>
    <row r="117" spans="1:5" x14ac:dyDescent="0.25">
      <c r="A117" s="30">
        <f>'Entradas '!B:B</f>
        <v>200611115</v>
      </c>
      <c r="B117" t="str">
        <f>VLOOKUP(A117,'Entradas '!B:F,3,FALSE)</f>
        <v>Pelicula PVC 35 mic. CH 611 mm</v>
      </c>
      <c r="C117">
        <f>VLOOKUP(A117,'Entradas '!B:F,4,FALSE)</f>
        <v>2830</v>
      </c>
      <c r="D117">
        <f>VLOOKUP(A117,'Entradas '!B:F,5,FALSE)</f>
        <v>81.5</v>
      </c>
      <c r="E117">
        <f>SUMIF('Entradas '!B:B,Inventario!A117,'Entradas '!F:F)-SUMIF('Salidas '!B:B,Inventario!A117,'Salidas '!F:F)</f>
        <v>81.5</v>
      </c>
    </row>
    <row r="118" spans="1:5" x14ac:dyDescent="0.25">
      <c r="A118" s="30">
        <f>'Entradas '!B:B</f>
        <v>200611116</v>
      </c>
      <c r="B118" t="str">
        <f>VLOOKUP(A118,'Entradas '!B:F,3,FALSE)</f>
        <v>Pelicula PVC 35 mic. CH 611 mm</v>
      </c>
      <c r="C118">
        <f>VLOOKUP(A118,'Entradas '!B:F,4,FALSE)</f>
        <v>2830</v>
      </c>
      <c r="D118">
        <f>VLOOKUP(A118,'Entradas '!B:F,5,FALSE)</f>
        <v>77.400000000000006</v>
      </c>
      <c r="E118">
        <f>SUMIF('Entradas '!B:B,Inventario!A118,'Entradas '!F:F)-SUMIF('Salidas '!B:B,Inventario!A118,'Salidas '!F:F)</f>
        <v>0</v>
      </c>
    </row>
    <row r="119" spans="1:5" x14ac:dyDescent="0.25">
      <c r="A119" s="30">
        <f>'Entradas '!B:B</f>
        <v>200611117</v>
      </c>
      <c r="B119" t="str">
        <f>VLOOKUP(A119,'Entradas '!B:F,3,FALSE)</f>
        <v>Pelicula PVC 35 mic. CH 611 mm</v>
      </c>
      <c r="C119">
        <f>VLOOKUP(A119,'Entradas '!B:F,4,FALSE)</f>
        <v>2879</v>
      </c>
      <c r="D119">
        <f>VLOOKUP(A119,'Entradas '!B:F,5,FALSE)</f>
        <v>81.5</v>
      </c>
      <c r="E119">
        <f>SUMIF('Entradas '!B:B,Inventario!A119,'Entradas '!F:F)-SUMIF('Salidas '!B:B,Inventario!A119,'Salidas '!F:F)</f>
        <v>81.5</v>
      </c>
    </row>
    <row r="120" spans="1:5" x14ac:dyDescent="0.25">
      <c r="A120" s="30">
        <f>'Entradas '!B:B</f>
        <v>200611118</v>
      </c>
      <c r="B120" t="str">
        <f>VLOOKUP(A120,'Entradas '!B:F,3,FALSE)</f>
        <v>Pelicula PVC 35 mic. CH 611 mm</v>
      </c>
      <c r="C120">
        <f>VLOOKUP(A120,'Entradas '!B:F,4,FALSE)</f>
        <v>2798</v>
      </c>
      <c r="D120">
        <f>VLOOKUP(A120,'Entradas '!B:F,5,FALSE)</f>
        <v>81.8</v>
      </c>
      <c r="E120">
        <f>SUMIF('Entradas '!B:B,Inventario!A120,'Entradas '!F:F)-SUMIF('Salidas '!B:B,Inventario!A120,'Salidas '!F:F)</f>
        <v>0</v>
      </c>
    </row>
    <row r="121" spans="1:5" x14ac:dyDescent="0.25">
      <c r="A121" s="30">
        <f>'Entradas '!B:B</f>
        <v>200611119</v>
      </c>
      <c r="B121" t="str">
        <f>VLOOKUP(A121,'Entradas '!B:F,3,FALSE)</f>
        <v>Pelicula PVC 35 mic. CH 611 mm</v>
      </c>
      <c r="C121">
        <f>VLOOKUP(A121,'Entradas '!B:F,4,FALSE)</f>
        <v>2799</v>
      </c>
      <c r="D121">
        <f>VLOOKUP(A121,'Entradas '!B:F,5,FALSE)</f>
        <v>81.3</v>
      </c>
      <c r="E121">
        <f>SUMIF('Entradas '!B:B,Inventario!A121,'Entradas '!F:F)-SUMIF('Salidas '!B:B,Inventario!A121,'Salidas '!F:F)</f>
        <v>81.3</v>
      </c>
    </row>
    <row r="122" spans="1:5" x14ac:dyDescent="0.25">
      <c r="A122" s="30">
        <f>'Entradas '!B:B</f>
        <v>200611120</v>
      </c>
      <c r="B122" t="str">
        <f>VLOOKUP(A122,'Entradas '!B:F,3,FALSE)</f>
        <v>Pelicula PVC 35 mic. CH 611 mm</v>
      </c>
      <c r="C122">
        <f>VLOOKUP(A122,'Entradas '!B:F,4,FALSE)</f>
        <v>2828</v>
      </c>
      <c r="D122">
        <f>VLOOKUP(A122,'Entradas '!B:F,5,FALSE)</f>
        <v>81.8</v>
      </c>
      <c r="E122">
        <f>SUMIF('Entradas '!B:B,Inventario!A122,'Entradas '!F:F)-SUMIF('Salidas '!B:B,Inventario!A122,'Salidas '!F:F)</f>
        <v>0</v>
      </c>
    </row>
    <row r="123" spans="1:5" x14ac:dyDescent="0.25">
      <c r="A123" s="30">
        <f>'Entradas '!B:B</f>
        <v>200611121</v>
      </c>
      <c r="B123" t="str">
        <f>VLOOKUP(A123,'Entradas '!B:F,3,FALSE)</f>
        <v>Pelicula PVC 35 mic. CH 611 mm</v>
      </c>
      <c r="C123">
        <f>VLOOKUP(A123,'Entradas '!B:F,4,FALSE)</f>
        <v>2834</v>
      </c>
      <c r="D123">
        <f>VLOOKUP(A123,'Entradas '!B:F,5,FALSE)</f>
        <v>80.099999999999994</v>
      </c>
      <c r="E123">
        <f>SUMIF('Entradas '!B:B,Inventario!A123,'Entradas '!F:F)-SUMIF('Salidas '!B:B,Inventario!A123,'Salidas '!F:F)</f>
        <v>0</v>
      </c>
    </row>
    <row r="124" spans="1:5" x14ac:dyDescent="0.25">
      <c r="A124" s="30">
        <f>'Entradas '!B:B</f>
        <v>200611122</v>
      </c>
      <c r="B124" t="str">
        <f>VLOOKUP(A124,'Entradas '!B:F,3,FALSE)</f>
        <v>Pelicula PVC 35 mic. CH 611 mm</v>
      </c>
      <c r="C124">
        <f>VLOOKUP(A124,'Entradas '!B:F,4,FALSE)</f>
        <v>2834</v>
      </c>
      <c r="D124">
        <f>VLOOKUP(A124,'Entradas '!B:F,5,FALSE)</f>
        <v>81</v>
      </c>
      <c r="E124">
        <f>SUMIF('Entradas '!B:B,Inventario!A124,'Entradas '!F:F)-SUMIF('Salidas '!B:B,Inventario!A124,'Salidas '!F:F)</f>
        <v>0</v>
      </c>
    </row>
    <row r="125" spans="1:5" x14ac:dyDescent="0.25">
      <c r="A125" s="30">
        <f>'Entradas '!B:B</f>
        <v>200611123</v>
      </c>
      <c r="B125" t="str">
        <f>VLOOKUP(A125,'Entradas '!B:F,3,FALSE)</f>
        <v>Pelicula PVC 35 mic. CH 611 mm</v>
      </c>
      <c r="C125">
        <f>VLOOKUP(A125,'Entradas '!B:F,4,FALSE)</f>
        <v>2834</v>
      </c>
      <c r="D125">
        <f>VLOOKUP(A125,'Entradas '!B:F,5,FALSE)</f>
        <v>81</v>
      </c>
      <c r="E125">
        <f>SUMIF('Entradas '!B:B,Inventario!A125,'Entradas '!F:F)-SUMIF('Salidas '!B:B,Inventario!A125,'Salidas '!F:F)</f>
        <v>0</v>
      </c>
    </row>
    <row r="126" spans="1:5" x14ac:dyDescent="0.25">
      <c r="A126" s="30">
        <f>'Entradas '!B:B</f>
        <v>200611124</v>
      </c>
      <c r="B126" t="str">
        <f>VLOOKUP(A126,'Entradas '!B:F,3,FALSE)</f>
        <v>Pelicula PVC 35 mic. CH 611 mm</v>
      </c>
      <c r="C126">
        <f>VLOOKUP(A126,'Entradas '!B:F,4,FALSE)</f>
        <v>2827</v>
      </c>
      <c r="D126">
        <f>VLOOKUP(A126,'Entradas '!B:F,5,FALSE)</f>
        <v>80.900000000000006</v>
      </c>
      <c r="E126">
        <f>SUMIF('Entradas '!B:B,Inventario!A126,'Entradas '!F:F)-SUMIF('Salidas '!B:B,Inventario!A126,'Salidas '!F:F)</f>
        <v>80.900000000000006</v>
      </c>
    </row>
    <row r="127" spans="1:5" x14ac:dyDescent="0.25">
      <c r="A127" s="30">
        <f>'Entradas '!B:B</f>
        <v>200611125</v>
      </c>
      <c r="B127" t="str">
        <f>VLOOKUP(A127,'Entradas '!B:F,3,FALSE)</f>
        <v>Pelicula PVC 35 mic. CH 611 mm</v>
      </c>
      <c r="C127">
        <f>VLOOKUP(A127,'Entradas '!B:F,4,FALSE)</f>
        <v>2950</v>
      </c>
      <c r="D127">
        <f>VLOOKUP(A127,'Entradas '!B:F,5,FALSE)</f>
        <v>84.8</v>
      </c>
      <c r="E127">
        <f>SUMIF('Entradas '!B:B,Inventario!A127,'Entradas '!F:F)-SUMIF('Salidas '!B:B,Inventario!A127,'Salidas '!F:F)</f>
        <v>0</v>
      </c>
    </row>
    <row r="128" spans="1:5" x14ac:dyDescent="0.25">
      <c r="A128" s="30">
        <f>'Entradas '!B:B</f>
        <v>200611126</v>
      </c>
      <c r="B128" t="str">
        <f>VLOOKUP(A128,'Entradas '!B:F,3,FALSE)</f>
        <v>Pelicula PVC 35 mic. CH 611 mm</v>
      </c>
      <c r="C128">
        <f>VLOOKUP(A128,'Entradas '!B:F,4,FALSE)</f>
        <v>2827</v>
      </c>
      <c r="D128">
        <f>VLOOKUP(A128,'Entradas '!B:F,5,FALSE)</f>
        <v>80.900000000000006</v>
      </c>
      <c r="E128">
        <f>SUMIF('Entradas '!B:B,Inventario!A128,'Entradas '!F:F)-SUMIF('Salidas '!B:B,Inventario!A128,'Salidas '!F:F)</f>
        <v>0</v>
      </c>
    </row>
    <row r="129" spans="1:5" x14ac:dyDescent="0.25">
      <c r="A129" s="30">
        <f>'Entradas '!B:B</f>
        <v>200611127</v>
      </c>
      <c r="B129" t="str">
        <f>VLOOKUP(A129,'Entradas '!B:F,3,FALSE)</f>
        <v>Pelicula PVC 35 mic. CH 611 mm</v>
      </c>
      <c r="C129">
        <f>VLOOKUP(A129,'Entradas '!B:F,4,FALSE)</f>
        <v>2855</v>
      </c>
      <c r="D129">
        <f>VLOOKUP(A129,'Entradas '!B:F,5,FALSE)</f>
        <v>79.400000000000006</v>
      </c>
      <c r="E129">
        <f>SUMIF('Entradas '!B:B,Inventario!A129,'Entradas '!F:F)-SUMIF('Salidas '!B:B,Inventario!A129,'Salidas '!F:F)</f>
        <v>0</v>
      </c>
    </row>
    <row r="130" spans="1:5" x14ac:dyDescent="0.25">
      <c r="A130" s="30">
        <f>'Entradas '!B:B</f>
        <v>200611128</v>
      </c>
      <c r="B130" t="str">
        <f>VLOOKUP(A130,'Entradas '!B:F,3,FALSE)</f>
        <v>Pelicula PVC 35 mic. CH 611 mm</v>
      </c>
      <c r="C130">
        <f>VLOOKUP(A130,'Entradas '!B:F,4,FALSE)</f>
        <v>2701</v>
      </c>
      <c r="D130">
        <f>VLOOKUP(A130,'Entradas '!B:F,5,FALSE)</f>
        <v>76.5</v>
      </c>
      <c r="E130">
        <f>SUMIF('Entradas '!B:B,Inventario!A130,'Entradas '!F:F)-SUMIF('Salidas '!B:B,Inventario!A130,'Salidas '!F:F)</f>
        <v>76.5</v>
      </c>
    </row>
    <row r="131" spans="1:5" x14ac:dyDescent="0.25">
      <c r="A131" s="30">
        <f>'Entradas '!B:B</f>
        <v>200611129</v>
      </c>
      <c r="B131" t="str">
        <f>VLOOKUP(A131,'Entradas '!B:F,3,FALSE)</f>
        <v>Pelicula PVC 35 mic. CH 611 mm</v>
      </c>
      <c r="C131">
        <f>VLOOKUP(A131,'Entradas '!B:F,4,FALSE)</f>
        <v>2701</v>
      </c>
      <c r="D131">
        <f>VLOOKUP(A131,'Entradas '!B:F,5,FALSE)</f>
        <v>76.400000000000006</v>
      </c>
      <c r="E131">
        <f>SUMIF('Entradas '!B:B,Inventario!A131,'Entradas '!F:F)-SUMIF('Salidas '!B:B,Inventario!A131,'Salidas '!F:F)</f>
        <v>76.400000000000006</v>
      </c>
    </row>
    <row r="132" spans="1:5" x14ac:dyDescent="0.25">
      <c r="A132" s="30">
        <f>'Entradas '!B:B</f>
        <v>200611130</v>
      </c>
      <c r="B132" t="str">
        <f>VLOOKUP(A132,'Entradas '!B:F,3,FALSE)</f>
        <v>Pelicula PVC 35 mic. CH 611 mm</v>
      </c>
      <c r="C132">
        <f>VLOOKUP(A132,'Entradas '!B:F,4,FALSE)</f>
        <v>2936</v>
      </c>
      <c r="D132">
        <f>VLOOKUP(A132,'Entradas '!B:F,5,FALSE)</f>
        <v>85</v>
      </c>
      <c r="E132">
        <f>SUMIF('Entradas '!B:B,Inventario!A132,'Entradas '!F:F)-SUMIF('Salidas '!B:B,Inventario!A132,'Salidas '!F:F)</f>
        <v>85</v>
      </c>
    </row>
    <row r="133" spans="1:5" x14ac:dyDescent="0.25">
      <c r="A133" s="30">
        <f>'Entradas '!B:B</f>
        <v>200611131</v>
      </c>
      <c r="B133" t="str">
        <f>VLOOKUP(A133,'Entradas '!B:F,3,FALSE)</f>
        <v>Pelicula PVC 35 mic. CH 611 mm</v>
      </c>
      <c r="C133">
        <f>VLOOKUP(A133,'Entradas '!B:F,4,FALSE)</f>
        <v>2826</v>
      </c>
      <c r="D133">
        <f>VLOOKUP(A133,'Entradas '!B:F,5,FALSE)</f>
        <v>81.099999999999994</v>
      </c>
      <c r="E133">
        <f>SUMIF('Entradas '!B:B,Inventario!A133,'Entradas '!F:F)-SUMIF('Salidas '!B:B,Inventario!A133,'Salidas '!F:F)</f>
        <v>81.099999999999994</v>
      </c>
    </row>
    <row r="134" spans="1:5" x14ac:dyDescent="0.25">
      <c r="A134" s="30">
        <f>'Entradas '!B:B</f>
        <v>200611132</v>
      </c>
      <c r="B134" t="str">
        <f>VLOOKUP(A134,'Entradas '!B:F,3,FALSE)</f>
        <v>Pelicula PVC 35 mic. CH 611 mm</v>
      </c>
      <c r="C134">
        <f>VLOOKUP(A134,'Entradas '!B:F,4,FALSE)</f>
        <v>2826</v>
      </c>
      <c r="D134">
        <f>VLOOKUP(A134,'Entradas '!B:F,5,FALSE)</f>
        <v>82.1</v>
      </c>
      <c r="E134">
        <f>SUMIF('Entradas '!B:B,Inventario!A134,'Entradas '!F:F)-SUMIF('Salidas '!B:B,Inventario!A134,'Salidas '!F:F)</f>
        <v>0</v>
      </c>
    </row>
    <row r="135" spans="1:5" x14ac:dyDescent="0.25">
      <c r="A135" s="30">
        <f>'Entradas '!B:B</f>
        <v>200611133</v>
      </c>
      <c r="B135" t="str">
        <f>VLOOKUP(A135,'Entradas '!B:F,3,FALSE)</f>
        <v>Pelicula PVC 35 mic. CH 611 mm</v>
      </c>
      <c r="C135">
        <f>VLOOKUP(A135,'Entradas '!B:F,4,FALSE)</f>
        <v>2853</v>
      </c>
      <c r="D135">
        <f>VLOOKUP(A135,'Entradas '!B:F,5,FALSE)</f>
        <v>83.1</v>
      </c>
      <c r="E135">
        <f>SUMIF('Entradas '!B:B,Inventario!A135,'Entradas '!F:F)-SUMIF('Salidas '!B:B,Inventario!A135,'Salidas '!F:F)</f>
        <v>0</v>
      </c>
    </row>
    <row r="136" spans="1:5" x14ac:dyDescent="0.25">
      <c r="A136" s="30">
        <f>'Entradas '!B:B</f>
        <v>200611134</v>
      </c>
      <c r="B136" t="str">
        <f>VLOOKUP(A136,'Entradas '!B:F,3,FALSE)</f>
        <v>Pelicula PVC 35 mic. CH 611 mm</v>
      </c>
      <c r="C136">
        <f>VLOOKUP(A136,'Entradas '!B:F,4,FALSE)</f>
        <v>2838</v>
      </c>
      <c r="D136">
        <f>VLOOKUP(A136,'Entradas '!B:F,5,FALSE)</f>
        <v>81.2</v>
      </c>
      <c r="E136">
        <f>SUMIF('Entradas '!B:B,Inventario!A136,'Entradas '!F:F)-SUMIF('Salidas '!B:B,Inventario!A136,'Salidas '!F:F)</f>
        <v>81.2</v>
      </c>
    </row>
    <row r="137" spans="1:5" x14ac:dyDescent="0.25">
      <c r="A137" s="30">
        <f>'Entradas '!B:B</f>
        <v>200611135</v>
      </c>
      <c r="B137" t="str">
        <f>VLOOKUP(A137,'Entradas '!B:F,3,FALSE)</f>
        <v>Pelicula PVC 35 mic. CH 611 mm</v>
      </c>
      <c r="C137">
        <f>VLOOKUP(A137,'Entradas '!B:F,4,FALSE)</f>
        <v>2850</v>
      </c>
      <c r="D137">
        <f>VLOOKUP(A137,'Entradas '!B:F,5,FALSE)</f>
        <v>78.599999999999994</v>
      </c>
      <c r="E137">
        <f>SUMIF('Entradas '!B:B,Inventario!A137,'Entradas '!F:F)-SUMIF('Salidas '!B:B,Inventario!A137,'Salidas '!F:F)</f>
        <v>78.599999999999994</v>
      </c>
    </row>
    <row r="138" spans="1:5" x14ac:dyDescent="0.25">
      <c r="A138" s="30">
        <f>'Entradas '!B:B</f>
        <v>200611136</v>
      </c>
      <c r="B138" t="str">
        <f>VLOOKUP(A138,'Entradas '!B:F,3,FALSE)</f>
        <v>Pelicula PVC 35 mic. CH 611 mm</v>
      </c>
      <c r="C138">
        <f>VLOOKUP(A138,'Entradas '!B:F,4,FALSE)</f>
        <v>2853</v>
      </c>
      <c r="D138">
        <f>VLOOKUP(A138,'Entradas '!B:F,5,FALSE)</f>
        <v>83.5</v>
      </c>
      <c r="E138">
        <f>SUMIF('Entradas '!B:B,Inventario!A138,'Entradas '!F:F)-SUMIF('Salidas '!B:B,Inventario!A138,'Salidas '!F:F)</f>
        <v>83.5</v>
      </c>
    </row>
    <row r="139" spans="1:5" x14ac:dyDescent="0.25">
      <c r="A139" s="30">
        <f>'Entradas '!B:B</f>
        <v>200611137</v>
      </c>
      <c r="B139" t="str">
        <f>VLOOKUP(A139,'Entradas '!B:F,3,FALSE)</f>
        <v>Pelicula PVC 35 mic. CH 611 mm</v>
      </c>
      <c r="C139">
        <f>VLOOKUP(A139,'Entradas '!B:F,4,FALSE)</f>
        <v>2815</v>
      </c>
      <c r="D139">
        <f>VLOOKUP(A139,'Entradas '!B:F,5,FALSE)</f>
        <v>81.8</v>
      </c>
      <c r="E139">
        <f>SUMIF('Entradas '!B:B,Inventario!A139,'Entradas '!F:F)-SUMIF('Salidas '!B:B,Inventario!A139,'Salidas '!F:F)</f>
        <v>81.8</v>
      </c>
    </row>
    <row r="140" spans="1:5" x14ac:dyDescent="0.25">
      <c r="A140" s="30">
        <f>'Entradas '!B:B</f>
        <v>200611138</v>
      </c>
      <c r="B140" t="str">
        <f>VLOOKUP(A140,'Entradas '!B:F,3,FALSE)</f>
        <v>Pelicula PVC 35 mic. CH 611 mm</v>
      </c>
      <c r="C140">
        <f>VLOOKUP(A140,'Entradas '!B:F,4,FALSE)</f>
        <v>2889</v>
      </c>
      <c r="D140">
        <f>VLOOKUP(A140,'Entradas '!B:F,5,FALSE)</f>
        <v>84.3</v>
      </c>
      <c r="E140">
        <f>SUMIF('Entradas '!B:B,Inventario!A140,'Entradas '!F:F)-SUMIF('Salidas '!B:B,Inventario!A140,'Salidas '!F:F)</f>
        <v>0</v>
      </c>
    </row>
    <row r="141" spans="1:5" x14ac:dyDescent="0.25">
      <c r="A141" s="30">
        <f>'Entradas '!B:B</f>
        <v>200611139</v>
      </c>
      <c r="B141" t="str">
        <f>VLOOKUP(A141,'Entradas '!B:F,3,FALSE)</f>
        <v>Pelicula PVC 35 mic. CH 611 mm</v>
      </c>
      <c r="C141">
        <f>VLOOKUP(A141,'Entradas '!B:F,4,FALSE)</f>
        <v>2821</v>
      </c>
      <c r="D141">
        <f>VLOOKUP(A141,'Entradas '!B:F,5,FALSE)</f>
        <v>79.7</v>
      </c>
      <c r="E141">
        <f>SUMIF('Entradas '!B:B,Inventario!A141,'Entradas '!F:F)-SUMIF('Salidas '!B:B,Inventario!A141,'Salidas '!F:F)</f>
        <v>79.7</v>
      </c>
    </row>
    <row r="142" spans="1:5" x14ac:dyDescent="0.25">
      <c r="A142" s="30">
        <f>'Entradas '!B:B</f>
        <v>200611140</v>
      </c>
      <c r="B142" t="str">
        <f>VLOOKUP(A142,'Entradas '!B:F,3,FALSE)</f>
        <v>Pelicula PVC 35 mic. CH 611 mm</v>
      </c>
      <c r="C142">
        <f>VLOOKUP(A142,'Entradas '!B:F,4,FALSE)</f>
        <v>2855</v>
      </c>
      <c r="D142">
        <f>VLOOKUP(A142,'Entradas '!B:F,5,FALSE)</f>
        <v>80.3</v>
      </c>
      <c r="E142">
        <f>SUMIF('Entradas '!B:B,Inventario!A142,'Entradas '!F:F)-SUMIF('Salidas '!B:B,Inventario!A142,'Salidas '!F:F)</f>
        <v>80.3</v>
      </c>
    </row>
    <row r="143" spans="1:5" x14ac:dyDescent="0.25">
      <c r="A143" s="30">
        <f>'Entradas '!B:B</f>
        <v>200611141</v>
      </c>
      <c r="B143" t="str">
        <f>VLOOKUP(A143,'Entradas '!B:F,3,FALSE)</f>
        <v>Pelicula PVC 35 mic. CH 611 mm</v>
      </c>
      <c r="C143">
        <f>VLOOKUP(A143,'Entradas '!B:F,4,FALSE)</f>
        <v>2879</v>
      </c>
      <c r="D143">
        <f>VLOOKUP(A143,'Entradas '!B:F,5,FALSE)</f>
        <v>81.400000000000006</v>
      </c>
      <c r="E143">
        <f>SUMIF('Entradas '!B:B,Inventario!A143,'Entradas '!F:F)-SUMIF('Salidas '!B:B,Inventario!A143,'Salidas '!F:F)</f>
        <v>0</v>
      </c>
    </row>
    <row r="144" spans="1:5" x14ac:dyDescent="0.25">
      <c r="A144" s="30">
        <f>'Entradas '!B:B</f>
        <v>200611142</v>
      </c>
      <c r="B144" t="str">
        <f>VLOOKUP(A144,'Entradas '!B:F,3,FALSE)</f>
        <v>Pelicula PVC 35 mic. CH 611 mm</v>
      </c>
      <c r="C144">
        <f>VLOOKUP(A144,'Entradas '!B:F,4,FALSE)</f>
        <v>2818</v>
      </c>
      <c r="D144">
        <f>VLOOKUP(A144,'Entradas '!B:F,5,FALSE)</f>
        <v>78.599999999999994</v>
      </c>
      <c r="E144">
        <f>SUMIF('Entradas '!B:B,Inventario!A144,'Entradas '!F:F)-SUMIF('Salidas '!B:B,Inventario!A144,'Salidas '!F:F)</f>
        <v>78.599999999999994</v>
      </c>
    </row>
    <row r="145" spans="1:5" x14ac:dyDescent="0.25">
      <c r="A145" s="30">
        <f>'Entradas '!B:B</f>
        <v>200611143</v>
      </c>
      <c r="B145" t="str">
        <f>VLOOKUP(A145,'Entradas '!B:F,3,FALSE)</f>
        <v>Pelicula PVC 35 mic. CH 611 mm</v>
      </c>
      <c r="C145">
        <f>VLOOKUP(A145,'Entradas '!B:F,4,FALSE)</f>
        <v>2889</v>
      </c>
      <c r="D145">
        <f>VLOOKUP(A145,'Entradas '!B:F,5,FALSE)</f>
        <v>84.1</v>
      </c>
      <c r="E145">
        <f>SUMIF('Entradas '!B:B,Inventario!A145,'Entradas '!F:F)-SUMIF('Salidas '!B:B,Inventario!A145,'Salidas '!F:F)</f>
        <v>0</v>
      </c>
    </row>
    <row r="146" spans="1:5" x14ac:dyDescent="0.25">
      <c r="A146" s="30">
        <f>'Entradas '!B:B</f>
        <v>200611144</v>
      </c>
      <c r="B146" t="str">
        <f>VLOOKUP(A146,'Entradas '!B:F,3,FALSE)</f>
        <v>Pelicula PVC 35 mic. CH 611 mm</v>
      </c>
      <c r="C146">
        <f>VLOOKUP(A146,'Entradas '!B:F,4,FALSE)</f>
        <v>2821</v>
      </c>
      <c r="D146">
        <f>VLOOKUP(A146,'Entradas '!B:F,5,FALSE)</f>
        <v>80.3</v>
      </c>
      <c r="E146">
        <f>SUMIF('Entradas '!B:B,Inventario!A146,'Entradas '!F:F)-SUMIF('Salidas '!B:B,Inventario!A146,'Salidas '!F:F)</f>
        <v>0</v>
      </c>
    </row>
    <row r="147" spans="1:5" x14ac:dyDescent="0.25">
      <c r="A147" s="30">
        <f>'Entradas '!B:B</f>
        <v>200611145</v>
      </c>
      <c r="B147" t="str">
        <f>VLOOKUP(A147,'Entradas '!B:F,3,FALSE)</f>
        <v>Pelicula PVC 35 mic. CH 611 mm</v>
      </c>
      <c r="C147">
        <f>VLOOKUP(A147,'Entradas '!B:F,4,FALSE)</f>
        <v>2838</v>
      </c>
      <c r="D147">
        <f>VLOOKUP(A147,'Entradas '!B:F,5,FALSE)</f>
        <v>82.3</v>
      </c>
      <c r="E147">
        <f>SUMIF('Entradas '!B:B,Inventario!A147,'Entradas '!F:F)-SUMIF('Salidas '!B:B,Inventario!A147,'Salidas '!F:F)</f>
        <v>0</v>
      </c>
    </row>
    <row r="148" spans="1:5" x14ac:dyDescent="0.25">
      <c r="A148" s="30">
        <f>'Entradas '!B:B</f>
        <v>200611146</v>
      </c>
      <c r="B148" t="str">
        <f>VLOOKUP(A148,'Entradas '!B:F,3,FALSE)</f>
        <v>Pelicula PVC 35 mic. CH 611 mm</v>
      </c>
      <c r="C148">
        <f>VLOOKUP(A148,'Entradas '!B:F,4,FALSE)</f>
        <v>2818</v>
      </c>
      <c r="D148">
        <f>VLOOKUP(A148,'Entradas '!B:F,5,FALSE)</f>
        <v>79</v>
      </c>
      <c r="E148">
        <f>SUMIF('Entradas '!B:B,Inventario!A148,'Entradas '!F:F)-SUMIF('Salidas '!B:B,Inventario!A148,'Salidas '!F:F)</f>
        <v>0</v>
      </c>
    </row>
    <row r="149" spans="1:5" x14ac:dyDescent="0.25">
      <c r="A149" s="30">
        <f>'Entradas '!B:B</f>
        <v>200611147</v>
      </c>
      <c r="B149" t="str">
        <f>VLOOKUP(A149,'Entradas '!B:F,3,FALSE)</f>
        <v>Pelicula PVC 35 mic. CH 611 mm</v>
      </c>
      <c r="C149">
        <f>VLOOKUP(A149,'Entradas '!B:F,4,FALSE)</f>
        <v>2822</v>
      </c>
      <c r="D149">
        <f>VLOOKUP(A149,'Entradas '!B:F,5,FALSE)</f>
        <v>80.099999999999994</v>
      </c>
      <c r="E149">
        <f>SUMIF('Entradas '!B:B,Inventario!A149,'Entradas '!F:F)-SUMIF('Salidas '!B:B,Inventario!A149,'Salidas '!F:F)</f>
        <v>80.099999999999994</v>
      </c>
    </row>
    <row r="150" spans="1:5" x14ac:dyDescent="0.25">
      <c r="A150" s="30">
        <f>'Entradas '!B:B</f>
        <v>200611148</v>
      </c>
      <c r="B150" t="str">
        <f>VLOOKUP(A150,'Entradas '!B:F,3,FALSE)</f>
        <v>Pelicula PVC 35 mic. CH 611 mm</v>
      </c>
      <c r="C150">
        <f>VLOOKUP(A150,'Entradas '!B:F,4,FALSE)</f>
        <v>2822</v>
      </c>
      <c r="D150">
        <f>VLOOKUP(A150,'Entradas '!B:F,5,FALSE)</f>
        <v>80.7</v>
      </c>
      <c r="E150">
        <f>SUMIF('Entradas '!B:B,Inventario!A150,'Entradas '!F:F)-SUMIF('Salidas '!B:B,Inventario!A150,'Salidas '!F:F)</f>
        <v>0</v>
      </c>
    </row>
    <row r="151" spans="1:5" x14ac:dyDescent="0.25">
      <c r="A151" s="30">
        <f>'Entradas '!B:B</f>
        <v>200611149</v>
      </c>
      <c r="B151" t="str">
        <f>VLOOKUP(A151,'Entradas '!B:F,3,FALSE)</f>
        <v>Pelicula PVC 35 mic. CH 611 mm</v>
      </c>
      <c r="C151">
        <f>VLOOKUP(A151,'Entradas '!B:F,4,FALSE)</f>
        <v>2813</v>
      </c>
      <c r="D151">
        <f>VLOOKUP(A151,'Entradas '!B:F,5,FALSE)</f>
        <v>79.599999999999994</v>
      </c>
      <c r="E151">
        <f>SUMIF('Entradas '!B:B,Inventario!A151,'Entradas '!F:F)-SUMIF('Salidas '!B:B,Inventario!A151,'Salidas '!F:F)</f>
        <v>79.599999999999994</v>
      </c>
    </row>
    <row r="152" spans="1:5" x14ac:dyDescent="0.25">
      <c r="A152" s="30">
        <f>'Entradas '!B:B</f>
        <v>200611150</v>
      </c>
      <c r="B152" t="str">
        <f>VLOOKUP(A152,'Entradas '!B:F,3,FALSE)</f>
        <v>Pelicula PVC 35 mic. CH 611 mm</v>
      </c>
      <c r="C152">
        <f>VLOOKUP(A152,'Entradas '!B:F,4,FALSE)</f>
        <v>2813</v>
      </c>
      <c r="D152">
        <f>VLOOKUP(A152,'Entradas '!B:F,5,FALSE)</f>
        <v>80.900000000000006</v>
      </c>
      <c r="E152">
        <f>SUMIF('Entradas '!B:B,Inventario!A152,'Entradas '!F:F)-SUMIF('Salidas '!B:B,Inventario!A152,'Salidas '!F:F)</f>
        <v>80.900000000000006</v>
      </c>
    </row>
    <row r="153" spans="1:5" x14ac:dyDescent="0.25">
      <c r="A153" s="30">
        <f>'Entradas '!B:B</f>
        <v>200677001</v>
      </c>
      <c r="B153" t="str">
        <f>VLOOKUP(A153,'Entradas '!B:F,3,FALSE)</f>
        <v>Pelicula  PVC 35 mic. CH  667 mm</v>
      </c>
      <c r="C153">
        <f>VLOOKUP(A153,'Entradas '!B:F,4,FALSE)</f>
        <v>2818</v>
      </c>
      <c r="D153">
        <f>VLOOKUP(A153,'Entradas '!B:F,5,FALSE)</f>
        <v>89.3</v>
      </c>
      <c r="E153">
        <f>SUMIF('Entradas '!B:B,Inventario!A153,'Entradas '!F:F)-SUMIF('Salidas '!B:B,Inventario!A153,'Salidas '!F:F)</f>
        <v>89.3</v>
      </c>
    </row>
    <row r="154" spans="1:5" x14ac:dyDescent="0.25">
      <c r="A154" s="30">
        <f>'Entradas '!B:B</f>
        <v>200677002</v>
      </c>
      <c r="B154" t="str">
        <f>VLOOKUP(A154,'Entradas '!B:F,3,FALSE)</f>
        <v>Pelicula  PVC 35 mic. CH  667 mm</v>
      </c>
      <c r="C154">
        <f>VLOOKUP(A154,'Entradas '!B:F,4,FALSE)</f>
        <v>2818</v>
      </c>
      <c r="D154">
        <f>VLOOKUP(A154,'Entradas '!B:F,5,FALSE)</f>
        <v>89.7</v>
      </c>
      <c r="E154">
        <f>SUMIF('Entradas '!B:B,Inventario!A154,'Entradas '!F:F)-SUMIF('Salidas '!B:B,Inventario!A154,'Salidas '!F:F)</f>
        <v>89.7</v>
      </c>
    </row>
    <row r="155" spans="1:5" x14ac:dyDescent="0.25">
      <c r="A155" s="30">
        <f>'Entradas '!B:B</f>
        <v>200677003</v>
      </c>
      <c r="B155" t="str">
        <f>VLOOKUP(A155,'Entradas '!B:F,3,FALSE)</f>
        <v>Pelicula  PVC 35 mic. CH  667 mm</v>
      </c>
      <c r="C155">
        <f>VLOOKUP(A155,'Entradas '!B:F,4,FALSE)</f>
        <v>2867</v>
      </c>
      <c r="D155">
        <f>VLOOKUP(A155,'Entradas '!B:F,5,FALSE)</f>
        <v>88.7</v>
      </c>
      <c r="E155">
        <f>SUMIF('Entradas '!B:B,Inventario!A155,'Entradas '!F:F)-SUMIF('Salidas '!B:B,Inventario!A155,'Salidas '!F:F)</f>
        <v>88.7</v>
      </c>
    </row>
    <row r="156" spans="1:5" x14ac:dyDescent="0.25">
      <c r="A156" s="30">
        <f>'Entradas '!B:B</f>
        <v>200677004</v>
      </c>
      <c r="B156" t="str">
        <f>VLOOKUP(A156,'Entradas '!B:F,3,FALSE)</f>
        <v>Pelicula  PVC 35 mic. CH  667 mm</v>
      </c>
      <c r="C156">
        <f>VLOOKUP(A156,'Entradas '!B:F,4,FALSE)</f>
        <v>2830</v>
      </c>
      <c r="D156">
        <f>VLOOKUP(A156,'Entradas '!B:F,5,FALSE)</f>
        <v>91.3</v>
      </c>
      <c r="E156">
        <f>SUMIF('Entradas '!B:B,Inventario!A156,'Entradas '!F:F)-SUMIF('Salidas '!B:B,Inventario!A156,'Salidas '!F:F)</f>
        <v>91.3</v>
      </c>
    </row>
    <row r="157" spans="1:5" x14ac:dyDescent="0.25">
      <c r="A157" s="30">
        <f>'Entradas '!B:B</f>
        <v>200677005</v>
      </c>
      <c r="B157" t="str">
        <f>VLOOKUP(A157,'Entradas '!B:F,3,FALSE)</f>
        <v>Pelicula  PVC 35 mic. CH  667 mm</v>
      </c>
      <c r="C157">
        <f>VLOOKUP(A157,'Entradas '!B:F,4,FALSE)</f>
        <v>2856</v>
      </c>
      <c r="D157">
        <f>VLOOKUP(A157,'Entradas '!B:F,5,FALSE)</f>
        <v>91.8</v>
      </c>
      <c r="E157">
        <f>SUMIF('Entradas '!B:B,Inventario!A157,'Entradas '!F:F)-SUMIF('Salidas '!B:B,Inventario!A157,'Salidas '!F:F)</f>
        <v>91.8</v>
      </c>
    </row>
    <row r="158" spans="1:5" x14ac:dyDescent="0.25">
      <c r="A158" s="30">
        <f>'Entradas '!B:B</f>
        <v>200677006</v>
      </c>
      <c r="B158" t="str">
        <f>VLOOKUP(A158,'Entradas '!B:F,3,FALSE)</f>
        <v>Pelicula  PVC 35 mic. CH  667 mm</v>
      </c>
      <c r="C158">
        <f>VLOOKUP(A158,'Entradas '!B:F,4,FALSE)</f>
        <v>2897</v>
      </c>
      <c r="D158">
        <f>VLOOKUP(A158,'Entradas '!B:F,5,FALSE)</f>
        <v>92.8</v>
      </c>
      <c r="E158">
        <f>SUMIF('Entradas '!B:B,Inventario!A158,'Entradas '!F:F)-SUMIF('Salidas '!B:B,Inventario!A158,'Salidas '!F:F)</f>
        <v>92.8</v>
      </c>
    </row>
    <row r="159" spans="1:5" x14ac:dyDescent="0.25">
      <c r="A159" s="30">
        <f>'Entradas '!B:B</f>
        <v>200677007</v>
      </c>
      <c r="B159" t="str">
        <f>VLOOKUP(A159,'Entradas '!B:F,3,FALSE)</f>
        <v>Pelicula  PVC 35 mic. CH  667 mm</v>
      </c>
      <c r="C159">
        <f>VLOOKUP(A159,'Entradas '!B:F,4,FALSE)</f>
        <v>2830</v>
      </c>
      <c r="D159">
        <f>VLOOKUP(A159,'Entradas '!B:F,5,FALSE)</f>
        <v>96.1</v>
      </c>
      <c r="E159">
        <f>SUMIF('Entradas '!B:B,Inventario!A159,'Entradas '!F:F)-SUMIF('Salidas '!B:B,Inventario!A159,'Salidas '!F:F)</f>
        <v>96.1</v>
      </c>
    </row>
    <row r="160" spans="1:5" x14ac:dyDescent="0.25">
      <c r="A160" s="30">
        <f>'Entradas '!B:B</f>
        <v>200677008</v>
      </c>
      <c r="B160" t="str">
        <f>VLOOKUP(A160,'Entradas '!B:F,3,FALSE)</f>
        <v>Pelicula  PVC 35 mic. CH  667 mm</v>
      </c>
      <c r="C160">
        <f>VLOOKUP(A160,'Entradas '!B:F,4,FALSE)</f>
        <v>2818</v>
      </c>
      <c r="D160">
        <f>VLOOKUP(A160,'Entradas '!B:F,5,FALSE)</f>
        <v>89.6</v>
      </c>
      <c r="E160">
        <f>SUMIF('Entradas '!B:B,Inventario!A160,'Entradas '!F:F)-SUMIF('Salidas '!B:B,Inventario!A160,'Salidas '!F:F)</f>
        <v>89.6</v>
      </c>
    </row>
    <row r="161" spans="1:5" x14ac:dyDescent="0.25">
      <c r="A161" s="30">
        <f>'Entradas '!B:B</f>
        <v>200677009</v>
      </c>
      <c r="B161" t="str">
        <f>VLOOKUP(A161,'Entradas '!B:F,3,FALSE)</f>
        <v>Pelicula  PVC 35 mic. CH  667 mm</v>
      </c>
      <c r="C161">
        <f>VLOOKUP(A161,'Entradas '!B:F,4,FALSE)</f>
        <v>2897</v>
      </c>
      <c r="D161">
        <f>VLOOKUP(A161,'Entradas '!B:F,5,FALSE)</f>
        <v>92</v>
      </c>
      <c r="E161">
        <f>SUMIF('Entradas '!B:B,Inventario!A161,'Entradas '!F:F)-SUMIF('Salidas '!B:B,Inventario!A161,'Salidas '!F:F)</f>
        <v>92</v>
      </c>
    </row>
    <row r="162" spans="1:5" x14ac:dyDescent="0.25">
      <c r="A162" s="30">
        <f>'Entradas '!B:B</f>
        <v>200677010</v>
      </c>
      <c r="B162" t="str">
        <f>VLOOKUP(A162,'Entradas '!B:F,3,FALSE)</f>
        <v>Pelicula  PVC 35 mic. CH  667 mm</v>
      </c>
      <c r="C162">
        <f>VLOOKUP(A162,'Entradas '!B:F,4,FALSE)</f>
        <v>2813</v>
      </c>
      <c r="D162">
        <f>VLOOKUP(A162,'Entradas '!B:F,5,FALSE)</f>
        <v>90.1</v>
      </c>
      <c r="E162">
        <f>SUMIF('Entradas '!B:B,Inventario!A162,'Entradas '!F:F)-SUMIF('Salidas '!B:B,Inventario!A162,'Salidas '!F:F)</f>
        <v>90.1</v>
      </c>
    </row>
    <row r="163" spans="1:5" x14ac:dyDescent="0.25">
      <c r="A163" s="30">
        <f>'Entradas '!B:B</f>
        <v>200677011</v>
      </c>
      <c r="B163" t="str">
        <f>VLOOKUP(A163,'Entradas '!B:F,3,FALSE)</f>
        <v>Pelicula  PVC 35 mic. CH  667 mm</v>
      </c>
      <c r="C163">
        <f>VLOOKUP(A163,'Entradas '!B:F,4,FALSE)</f>
        <v>2930</v>
      </c>
      <c r="D163">
        <f>VLOOKUP(A163,'Entradas '!B:F,5,FALSE)</f>
        <v>93.4</v>
      </c>
      <c r="E163">
        <f>SUMIF('Entradas '!B:B,Inventario!A163,'Entradas '!F:F)-SUMIF('Salidas '!B:B,Inventario!A163,'Salidas '!F:F)</f>
        <v>93.4</v>
      </c>
    </row>
    <row r="164" spans="1:5" x14ac:dyDescent="0.25">
      <c r="A164" s="30">
        <f>'Entradas '!B:B</f>
        <v>200677012</v>
      </c>
      <c r="B164" t="str">
        <f>VLOOKUP(A164,'Entradas '!B:F,3,FALSE)</f>
        <v>Pelicula  PVC 35 mic. CH  667 mm</v>
      </c>
      <c r="C164">
        <f>VLOOKUP(A164,'Entradas '!B:F,4,FALSE)</f>
        <v>2833</v>
      </c>
      <c r="D164">
        <f>VLOOKUP(A164,'Entradas '!B:F,5,FALSE)</f>
        <v>91.4</v>
      </c>
      <c r="E164">
        <f>SUMIF('Entradas '!B:B,Inventario!A164,'Entradas '!F:F)-SUMIF('Salidas '!B:B,Inventario!A164,'Salidas '!F:F)</f>
        <v>91.4</v>
      </c>
    </row>
    <row r="165" spans="1:5" x14ac:dyDescent="0.25">
      <c r="A165" s="30">
        <f>'Entradas '!B:B</f>
        <v>200677013</v>
      </c>
      <c r="B165" t="str">
        <f>VLOOKUP(A165,'Entradas '!B:F,3,FALSE)</f>
        <v>Pelicula  PVC 35 mic. CH  667 mm</v>
      </c>
      <c r="C165">
        <f>VLOOKUP(A165,'Entradas '!B:F,4,FALSE)</f>
        <v>2856</v>
      </c>
      <c r="D165">
        <f>VLOOKUP(A165,'Entradas '!B:F,5,FALSE)</f>
        <v>91.9</v>
      </c>
      <c r="E165">
        <f>SUMIF('Entradas '!B:B,Inventario!A165,'Entradas '!F:F)-SUMIF('Salidas '!B:B,Inventario!A165,'Salidas '!F:F)</f>
        <v>91.9</v>
      </c>
    </row>
    <row r="166" spans="1:5" x14ac:dyDescent="0.25">
      <c r="A166" s="30">
        <f>'Entradas '!B:B</f>
        <v>200677014</v>
      </c>
      <c r="B166" t="str">
        <f>VLOOKUP(A166,'Entradas '!B:F,3,FALSE)</f>
        <v>Pelicula  PVC 35 mic. CH  667 mm</v>
      </c>
      <c r="C166">
        <f>VLOOKUP(A166,'Entradas '!B:F,4,FALSE)</f>
        <v>2785</v>
      </c>
      <c r="D166">
        <f>VLOOKUP(A166,'Entradas '!B:F,5,FALSE)</f>
        <v>90</v>
      </c>
      <c r="E166">
        <f>SUMIF('Entradas '!B:B,Inventario!A166,'Entradas '!F:F)-SUMIF('Salidas '!B:B,Inventario!A166,'Salidas '!F:F)</f>
        <v>90</v>
      </c>
    </row>
    <row r="167" spans="1:5" x14ac:dyDescent="0.25">
      <c r="A167" s="30">
        <f>'Entradas '!B:B</f>
        <v>200677015</v>
      </c>
      <c r="B167" t="str">
        <f>VLOOKUP(A167,'Entradas '!B:F,3,FALSE)</f>
        <v>Pelicula  PVC 35 mic. CH  667 mm</v>
      </c>
      <c r="C167">
        <f>VLOOKUP(A167,'Entradas '!B:F,4,FALSE)</f>
        <v>2813</v>
      </c>
      <c r="D167">
        <f>VLOOKUP(A167,'Entradas '!B:F,5,FALSE)</f>
        <v>90</v>
      </c>
      <c r="E167">
        <f>SUMIF('Entradas '!B:B,Inventario!A167,'Entradas '!F:F)-SUMIF('Salidas '!B:B,Inventario!A167,'Salidas '!F:F)</f>
        <v>90</v>
      </c>
    </row>
    <row r="168" spans="1:5" x14ac:dyDescent="0.25">
      <c r="A168" s="30">
        <f>'Entradas '!B:B</f>
        <v>200677016</v>
      </c>
      <c r="B168" t="str">
        <f>VLOOKUP(A168,'Entradas '!B:F,3,FALSE)</f>
        <v>Pelicula  PVC 35 mic. CH  667 mm</v>
      </c>
      <c r="C168">
        <f>VLOOKUP(A168,'Entradas '!B:F,4,FALSE)</f>
        <v>2813</v>
      </c>
      <c r="D168">
        <f>VLOOKUP(A168,'Entradas '!B:F,5,FALSE)</f>
        <v>90</v>
      </c>
      <c r="E168">
        <f>SUMIF('Entradas '!B:B,Inventario!A168,'Entradas '!F:F)-SUMIF('Salidas '!B:B,Inventario!A168,'Salidas '!F:F)</f>
        <v>90</v>
      </c>
    </row>
    <row r="169" spans="1:5" x14ac:dyDescent="0.25">
      <c r="A169" s="30">
        <f>'Entradas '!B:B</f>
        <v>200677017</v>
      </c>
      <c r="B169" t="str">
        <f>VLOOKUP(A169,'Entradas '!B:F,3,FALSE)</f>
        <v>Pelicula  PVC 35 mic. CH  667 mm</v>
      </c>
      <c r="C169">
        <f>VLOOKUP(A169,'Entradas '!B:F,4,FALSE)</f>
        <v>2930</v>
      </c>
      <c r="D169">
        <f>VLOOKUP(A169,'Entradas '!B:F,5,FALSE)</f>
        <v>93.7</v>
      </c>
      <c r="E169">
        <f>SUMIF('Entradas '!B:B,Inventario!A169,'Entradas '!F:F)-SUMIF('Salidas '!B:B,Inventario!A169,'Salidas '!F:F)</f>
        <v>93.7</v>
      </c>
    </row>
    <row r="170" spans="1:5" x14ac:dyDescent="0.25">
      <c r="A170" s="30">
        <f>'Entradas '!B:B</f>
        <v>200677018</v>
      </c>
      <c r="B170" t="str">
        <f>VLOOKUP(A170,'Entradas '!B:F,3,FALSE)</f>
        <v>Pelicula  PVC 35 mic. CH  667 mm</v>
      </c>
      <c r="C170">
        <f>VLOOKUP(A170,'Entradas '!B:F,4,FALSE)</f>
        <v>2833</v>
      </c>
      <c r="D170">
        <f>VLOOKUP(A170,'Entradas '!B:F,5,FALSE)</f>
        <v>90.6</v>
      </c>
      <c r="E170">
        <f>SUMIF('Entradas '!B:B,Inventario!A170,'Entradas '!F:F)-SUMIF('Salidas '!B:B,Inventario!A170,'Salidas '!F:F)</f>
        <v>90.6</v>
      </c>
    </row>
    <row r="171" spans="1:5" x14ac:dyDescent="0.25">
      <c r="A171" s="30">
        <f>'Entradas '!B:B</f>
        <v>200677019</v>
      </c>
      <c r="B171" t="str">
        <f>VLOOKUP(A171,'Entradas '!B:F,3,FALSE)</f>
        <v>Pelicula  PVC 35 mic. CH  667 mm</v>
      </c>
      <c r="C171">
        <f>VLOOKUP(A171,'Entradas '!B:F,4,FALSE)</f>
        <v>2849</v>
      </c>
      <c r="D171">
        <f>VLOOKUP(A171,'Entradas '!B:F,5,FALSE)</f>
        <v>91.7</v>
      </c>
      <c r="E171">
        <f>SUMIF('Entradas '!B:B,Inventario!A171,'Entradas '!F:F)-SUMIF('Salidas '!B:B,Inventario!A171,'Salidas '!F:F)</f>
        <v>91.7</v>
      </c>
    </row>
    <row r="172" spans="1:5" x14ac:dyDescent="0.25">
      <c r="A172" s="30">
        <f>'Entradas '!B:B</f>
        <v>200677020</v>
      </c>
      <c r="B172" t="str">
        <f>VLOOKUP(A172,'Entradas '!B:F,3,FALSE)</f>
        <v>Pelicula  PVC 35 mic. CH  667 mm</v>
      </c>
      <c r="C172">
        <f>VLOOKUP(A172,'Entradas '!B:F,4,FALSE)</f>
        <v>2631</v>
      </c>
      <c r="D172">
        <f>VLOOKUP(A172,'Entradas '!B:F,5,FALSE)</f>
        <v>84.3</v>
      </c>
      <c r="E172">
        <f>SUMIF('Entradas '!B:B,Inventario!A172,'Entradas '!F:F)-SUMIF('Salidas '!B:B,Inventario!A172,'Salidas '!F:F)</f>
        <v>84.3</v>
      </c>
    </row>
    <row r="173" spans="1:5" x14ac:dyDescent="0.25">
      <c r="A173" s="30">
        <f>'Entradas '!B:B</f>
        <v>200677021</v>
      </c>
      <c r="B173" t="str">
        <f>VLOOKUP(A173,'Entradas '!B:F,3,FALSE)</f>
        <v>Pelicula  PVC 35 mic. CH  667 mm</v>
      </c>
      <c r="C173">
        <f>VLOOKUP(A173,'Entradas '!B:F,4,FALSE)</f>
        <v>2631</v>
      </c>
      <c r="D173">
        <f>VLOOKUP(A173,'Entradas '!B:F,5,FALSE)</f>
        <v>84.3</v>
      </c>
      <c r="E173">
        <f>SUMIF('Entradas '!B:B,Inventario!A173,'Entradas '!F:F)-SUMIF('Salidas '!B:B,Inventario!A173,'Salidas '!F:F)</f>
        <v>84.3</v>
      </c>
    </row>
    <row r="174" spans="1:5" x14ac:dyDescent="0.25">
      <c r="A174" s="30">
        <f>'Entradas '!B:B</f>
        <v>200677022</v>
      </c>
      <c r="B174" t="str">
        <f>VLOOKUP(A174,'Entradas '!B:F,3,FALSE)</f>
        <v>Pelicula  PVC 35 mic. CH  667 mm</v>
      </c>
      <c r="C174">
        <f>VLOOKUP(A174,'Entradas '!B:F,4,FALSE)</f>
        <v>2940</v>
      </c>
      <c r="D174">
        <f>VLOOKUP(A174,'Entradas '!B:F,5,FALSE)</f>
        <v>91.7</v>
      </c>
      <c r="E174">
        <f>SUMIF('Entradas '!B:B,Inventario!A174,'Entradas '!F:F)-SUMIF('Salidas '!B:B,Inventario!A174,'Salidas '!F:F)</f>
        <v>91.7</v>
      </c>
    </row>
    <row r="175" spans="1:5" x14ac:dyDescent="0.25">
      <c r="A175" s="30">
        <f>'Entradas '!B:B</f>
        <v>200677023</v>
      </c>
      <c r="B175" t="str">
        <f>VLOOKUP(A175,'Entradas '!B:F,3,FALSE)</f>
        <v>Pelicula  PVC 35 mic. CH  667 mm</v>
      </c>
      <c r="C175">
        <f>VLOOKUP(A175,'Entradas '!B:F,4,FALSE)</f>
        <v>2801</v>
      </c>
      <c r="D175">
        <f>VLOOKUP(A175,'Entradas '!B:F,5,FALSE)</f>
        <v>84.3</v>
      </c>
      <c r="E175">
        <f>SUMIF('Entradas '!B:B,Inventario!A175,'Entradas '!F:F)-SUMIF('Salidas '!B:B,Inventario!A175,'Salidas '!F:F)</f>
        <v>84.3</v>
      </c>
    </row>
    <row r="176" spans="1:5" x14ac:dyDescent="0.25">
      <c r="A176" s="30">
        <f>'Entradas '!B:B</f>
        <v>200677024</v>
      </c>
      <c r="B176" t="str">
        <f>VLOOKUP(A176,'Entradas '!B:F,3,FALSE)</f>
        <v>Pelicula  PVC 35 mic. CH  667 mm</v>
      </c>
      <c r="C176">
        <f>VLOOKUP(A176,'Entradas '!B:F,4,FALSE)</f>
        <v>2800</v>
      </c>
      <c r="D176">
        <f>VLOOKUP(A176,'Entradas '!B:F,5,FALSE)</f>
        <v>84.5</v>
      </c>
      <c r="E176">
        <f>SUMIF('Entradas '!B:B,Inventario!A176,'Entradas '!F:F)-SUMIF('Salidas '!B:B,Inventario!A176,'Salidas '!F:F)</f>
        <v>84.5</v>
      </c>
    </row>
    <row r="177" spans="1:5" x14ac:dyDescent="0.25">
      <c r="A177" s="30">
        <f>'Entradas '!B:B</f>
        <v>200677025</v>
      </c>
      <c r="B177" t="str">
        <f>VLOOKUP(A177,'Entradas '!B:F,3,FALSE)</f>
        <v>Pelicula  PVC 35 mic. CH  667 mm</v>
      </c>
      <c r="C177">
        <f>VLOOKUP(A177,'Entradas '!B:F,4,FALSE)</f>
        <v>2796</v>
      </c>
      <c r="D177">
        <f>VLOOKUP(A177,'Entradas '!B:F,5,FALSE)</f>
        <v>88.5</v>
      </c>
      <c r="E177">
        <f>SUMIF('Entradas '!B:B,Inventario!A177,'Entradas '!F:F)-SUMIF('Salidas '!B:B,Inventario!A177,'Salidas '!F:F)</f>
        <v>88.5</v>
      </c>
    </row>
    <row r="178" spans="1:5" x14ac:dyDescent="0.25">
      <c r="A178" s="30">
        <f>'Entradas '!B:B</f>
        <v>200677026</v>
      </c>
      <c r="B178" t="str">
        <f>VLOOKUP(A178,'Entradas '!B:F,3,FALSE)</f>
        <v>Pelicula  PVC 35 mic. CH  667 mm</v>
      </c>
      <c r="C178">
        <f>VLOOKUP(A178,'Entradas '!B:F,4,FALSE)</f>
        <v>2826</v>
      </c>
      <c r="D178">
        <f>VLOOKUP(A178,'Entradas '!B:F,5,FALSE)</f>
        <v>91.4</v>
      </c>
      <c r="E178">
        <f>SUMIF('Entradas '!B:B,Inventario!A178,'Entradas '!F:F)-SUMIF('Salidas '!B:B,Inventario!A178,'Salidas '!F:F)</f>
        <v>91.4</v>
      </c>
    </row>
    <row r="179" spans="1:5" x14ac:dyDescent="0.25">
      <c r="A179" s="30">
        <f>'Entradas '!B:B</f>
        <v>200677027</v>
      </c>
      <c r="B179" t="str">
        <f>VLOOKUP(A179,'Entradas '!B:F,3,FALSE)</f>
        <v>Pelicula  PVC 35 mic. CH  667 mm</v>
      </c>
      <c r="C179">
        <f>VLOOKUP(A179,'Entradas '!B:F,4,FALSE)</f>
        <v>2796</v>
      </c>
      <c r="D179">
        <f>VLOOKUP(A179,'Entradas '!B:F,5,FALSE)</f>
        <v>88</v>
      </c>
      <c r="E179">
        <f>SUMIF('Entradas '!B:B,Inventario!A179,'Entradas '!F:F)-SUMIF('Salidas '!B:B,Inventario!A179,'Salidas '!F:F)</f>
        <v>88</v>
      </c>
    </row>
    <row r="180" spans="1:5" x14ac:dyDescent="0.25">
      <c r="A180" s="30">
        <f>'Entradas '!B:B</f>
        <v>200677028</v>
      </c>
      <c r="B180" t="str">
        <f>VLOOKUP(A180,'Entradas '!B:F,3,FALSE)</f>
        <v>Pelicula  PVC 35 mic. CH  667 mm</v>
      </c>
      <c r="C180">
        <f>VLOOKUP(A180,'Entradas '!B:F,4,FALSE)</f>
        <v>2680</v>
      </c>
      <c r="D180">
        <f>VLOOKUP(A180,'Entradas '!B:F,5,FALSE)</f>
        <v>84</v>
      </c>
      <c r="E180">
        <f>SUMIF('Entradas '!B:B,Inventario!A180,'Entradas '!F:F)-SUMIF('Salidas '!B:B,Inventario!A180,'Salidas '!F:F)</f>
        <v>84</v>
      </c>
    </row>
    <row r="181" spans="1:5" x14ac:dyDescent="0.25">
      <c r="A181" s="30">
        <f>'Entradas '!B:B</f>
        <v>200677029</v>
      </c>
      <c r="B181" t="str">
        <f>VLOOKUP(A181,'Entradas '!B:F,3,FALSE)</f>
        <v>Pelicula  PVC 35 mic. CH  667 mm</v>
      </c>
      <c r="C181">
        <f>VLOOKUP(A181,'Entradas '!B:F,4,FALSE)</f>
        <v>2680</v>
      </c>
      <c r="D181">
        <f>VLOOKUP(A181,'Entradas '!B:F,5,FALSE)</f>
        <v>84.5</v>
      </c>
      <c r="E181">
        <f>SUMIF('Entradas '!B:B,Inventario!A181,'Entradas '!F:F)-SUMIF('Salidas '!B:B,Inventario!A181,'Salidas '!F:F)</f>
        <v>84.5</v>
      </c>
    </row>
    <row r="182" spans="1:5" x14ac:dyDescent="0.25">
      <c r="A182" s="30">
        <f>'Entradas '!B:B</f>
        <v>200677030</v>
      </c>
      <c r="B182" t="str">
        <f>VLOOKUP(A182,'Entradas '!B:F,3,FALSE)</f>
        <v>Pelicula  PVC 35 mic. CH  667 mm</v>
      </c>
      <c r="C182">
        <f>VLOOKUP(A182,'Entradas '!B:F,4,FALSE)</f>
        <v>2846</v>
      </c>
      <c r="D182">
        <f>VLOOKUP(A182,'Entradas '!B:F,5,FALSE)</f>
        <v>89.7</v>
      </c>
      <c r="E182">
        <f>SUMIF('Entradas '!B:B,Inventario!A182,'Entradas '!F:F)-SUMIF('Salidas '!B:B,Inventario!A182,'Salidas '!F:F)</f>
        <v>89.7</v>
      </c>
    </row>
    <row r="183" spans="1:5" x14ac:dyDescent="0.25">
      <c r="A183" s="30">
        <f>'Entradas '!B:B</f>
        <v>200677031</v>
      </c>
      <c r="B183" t="str">
        <f>VLOOKUP(A183,'Entradas '!B:F,3,FALSE)</f>
        <v>Pelicula  PVC 35 mic. CH  667 mm</v>
      </c>
      <c r="C183">
        <f>VLOOKUP(A183,'Entradas '!B:F,4,FALSE)</f>
        <v>2835</v>
      </c>
      <c r="D183">
        <f>VLOOKUP(A183,'Entradas '!B:F,5,FALSE)</f>
        <v>89.6</v>
      </c>
      <c r="E183">
        <f>SUMIF('Entradas '!B:B,Inventario!A183,'Entradas '!F:F)-SUMIF('Salidas '!B:B,Inventario!A183,'Salidas '!F:F)</f>
        <v>89.6</v>
      </c>
    </row>
    <row r="184" spans="1:5" x14ac:dyDescent="0.25">
      <c r="A184" s="30">
        <f>'Entradas '!B:B</f>
        <v>200677032</v>
      </c>
      <c r="B184" t="str">
        <f>VLOOKUP(A184,'Entradas '!B:F,3,FALSE)</f>
        <v>Pelicula  PVC 35 mic. CH  667 mm</v>
      </c>
      <c r="C184">
        <f>VLOOKUP(A184,'Entradas '!B:F,4,FALSE)</f>
        <v>2913</v>
      </c>
      <c r="D184">
        <f>VLOOKUP(A184,'Entradas '!B:F,5,FALSE)</f>
        <v>90</v>
      </c>
      <c r="E184">
        <f>SUMIF('Entradas '!B:B,Inventario!A184,'Entradas '!F:F)-SUMIF('Salidas '!B:B,Inventario!A184,'Salidas '!F:F)</f>
        <v>90</v>
      </c>
    </row>
    <row r="185" spans="1:5" x14ac:dyDescent="0.25">
      <c r="A185" s="30">
        <f>'Entradas '!B:B</f>
        <v>200677033</v>
      </c>
      <c r="B185" t="str">
        <f>VLOOKUP(A185,'Entradas '!B:F,3,FALSE)</f>
        <v>Pelicula  PVC 35 mic. CH  667 mm</v>
      </c>
      <c r="C185">
        <f>VLOOKUP(A185,'Entradas '!B:F,4,FALSE)</f>
        <v>2846</v>
      </c>
      <c r="D185">
        <f>VLOOKUP(A185,'Entradas '!B:F,5,FALSE)</f>
        <v>89.7</v>
      </c>
      <c r="E185">
        <f>SUMIF('Entradas '!B:B,Inventario!A185,'Entradas '!F:F)-SUMIF('Salidas '!B:B,Inventario!A185,'Salidas '!F:F)</f>
        <v>89.7</v>
      </c>
    </row>
    <row r="186" spans="1:5" x14ac:dyDescent="0.25">
      <c r="A186" s="30">
        <f>'Entradas '!B:B</f>
        <v>200677034</v>
      </c>
      <c r="B186" t="str">
        <f>VLOOKUP(A186,'Entradas '!B:F,3,FALSE)</f>
        <v>Pelicula  PVC 35 mic. CH  667 mm</v>
      </c>
      <c r="C186">
        <f>VLOOKUP(A186,'Entradas '!B:F,4,FALSE)</f>
        <v>2813</v>
      </c>
      <c r="D186">
        <f>VLOOKUP(A186,'Entradas '!B:F,5,FALSE)</f>
        <v>90.1</v>
      </c>
      <c r="E186">
        <f>SUMIF('Entradas '!B:B,Inventario!A186,'Entradas '!F:F)-SUMIF('Salidas '!B:B,Inventario!A186,'Salidas '!F:F)</f>
        <v>90.1</v>
      </c>
    </row>
    <row r="187" spans="1:5" x14ac:dyDescent="0.25">
      <c r="A187" s="30">
        <f>'Entradas '!B:B</f>
        <v>200677035</v>
      </c>
      <c r="B187" t="str">
        <f>VLOOKUP(A187,'Entradas '!B:F,3,FALSE)</f>
        <v>Pelicula  PVC 35 mic. CH  667 mm</v>
      </c>
      <c r="C187">
        <f>VLOOKUP(A187,'Entradas '!B:F,4,FALSE)</f>
        <v>2913</v>
      </c>
      <c r="D187">
        <f>VLOOKUP(A187,'Entradas '!B:F,5,FALSE)</f>
        <v>90.2</v>
      </c>
      <c r="E187">
        <f>SUMIF('Entradas '!B:B,Inventario!A187,'Entradas '!F:F)-SUMIF('Salidas '!B:B,Inventario!A187,'Salidas '!F:F)</f>
        <v>90.2</v>
      </c>
    </row>
    <row r="188" spans="1:5" x14ac:dyDescent="0.25">
      <c r="A188" s="30">
        <f>'Entradas '!B:B</f>
        <v>200677036</v>
      </c>
      <c r="B188" t="str">
        <f>VLOOKUP(A188,'Entradas '!B:F,3,FALSE)</f>
        <v>Pelicula  PVC 35 mic. CH  667 mm</v>
      </c>
      <c r="C188">
        <f>VLOOKUP(A188,'Entradas '!B:F,4,FALSE)</f>
        <v>2850</v>
      </c>
      <c r="D188">
        <f>VLOOKUP(A188,'Entradas '!B:F,5,FALSE)</f>
        <v>90.6</v>
      </c>
      <c r="E188">
        <f>SUMIF('Entradas '!B:B,Inventario!A188,'Entradas '!F:F)-SUMIF('Salidas '!B:B,Inventario!A188,'Salidas '!F:F)</f>
        <v>90.6</v>
      </c>
    </row>
    <row r="189" spans="1:5" x14ac:dyDescent="0.25">
      <c r="A189" s="30">
        <f>'Entradas '!B:B</f>
        <v>200677037</v>
      </c>
      <c r="B189" t="str">
        <f>VLOOKUP(A189,'Entradas '!B:F,3,FALSE)</f>
        <v>Pelicula  PVC 35 mic. CH  667 mm</v>
      </c>
      <c r="C189">
        <f>VLOOKUP(A189,'Entradas '!B:F,4,FALSE)</f>
        <v>2850</v>
      </c>
      <c r="D189">
        <f>VLOOKUP(A189,'Entradas '!B:F,5,FALSE)</f>
        <v>90.2</v>
      </c>
      <c r="E189">
        <f>SUMIF('Entradas '!B:B,Inventario!A189,'Entradas '!F:F)-SUMIF('Salidas '!B:B,Inventario!A189,'Salidas '!F:F)</f>
        <v>90.2</v>
      </c>
    </row>
    <row r="190" spans="1:5" x14ac:dyDescent="0.25">
      <c r="A190" s="30">
        <f>'Entradas '!B:B</f>
        <v>200677038</v>
      </c>
      <c r="B190" t="str">
        <f>VLOOKUP(A190,'Entradas '!B:F,3,FALSE)</f>
        <v>Pelicula  PVC 35 mic. CH  667 mm</v>
      </c>
      <c r="C190">
        <f>VLOOKUP(A190,'Entradas '!B:F,4,FALSE)</f>
        <v>3012</v>
      </c>
      <c r="D190">
        <f>VLOOKUP(A190,'Entradas '!B:F,5,FALSE)</f>
        <v>92.3</v>
      </c>
      <c r="E190">
        <f>SUMIF('Entradas '!B:B,Inventario!A190,'Entradas '!F:F)-SUMIF('Salidas '!B:B,Inventario!A190,'Salidas '!F:F)</f>
        <v>92.3</v>
      </c>
    </row>
    <row r="191" spans="1:5" x14ac:dyDescent="0.25">
      <c r="A191" s="30">
        <f>'Entradas '!B:B</f>
        <v>200677039</v>
      </c>
      <c r="B191" t="str">
        <f>VLOOKUP(A191,'Entradas '!B:F,3,FALSE)</f>
        <v>Pelicula  PVC 35 mic. CH  667 mm</v>
      </c>
      <c r="C191">
        <f>VLOOKUP(A191,'Entradas '!B:F,4,FALSE)</f>
        <v>2845</v>
      </c>
      <c r="D191">
        <f>VLOOKUP(A191,'Entradas '!B:F,5,FALSE)</f>
        <v>92.5</v>
      </c>
      <c r="E191">
        <f>SUMIF('Entradas '!B:B,Inventario!A191,'Entradas '!F:F)-SUMIF('Salidas '!B:B,Inventario!A191,'Salidas '!F:F)</f>
        <v>92.5</v>
      </c>
    </row>
    <row r="192" spans="1:5" x14ac:dyDescent="0.25">
      <c r="A192" s="30">
        <f>'Entradas '!B:B</f>
        <v>200677040</v>
      </c>
      <c r="B192" t="str">
        <f>VLOOKUP(A192,'Entradas '!B:F,3,FALSE)</f>
        <v>Pelicula  PVC 35 mic. CH  667 mm</v>
      </c>
      <c r="C192">
        <f>VLOOKUP(A192,'Entradas '!B:F,4,FALSE)</f>
        <v>2826</v>
      </c>
      <c r="D192">
        <f>VLOOKUP(A192,'Entradas '!B:F,5,FALSE)</f>
        <v>88.6</v>
      </c>
      <c r="E192">
        <f>SUMIF('Entradas '!B:B,Inventario!A192,'Entradas '!F:F)-SUMIF('Salidas '!B:B,Inventario!A192,'Salidas '!F:F)</f>
        <v>88.6</v>
      </c>
    </row>
    <row r="193" spans="1:5" x14ac:dyDescent="0.25">
      <c r="A193" s="30">
        <f>'Entradas '!B:B</f>
        <v>200677041</v>
      </c>
      <c r="B193" t="str">
        <f>VLOOKUP(A193,'Entradas '!B:F,3,FALSE)</f>
        <v>Pelicula  PVC 35 mic. CH  667 mm</v>
      </c>
      <c r="C193">
        <f>VLOOKUP(A193,'Entradas '!B:F,4,FALSE)</f>
        <v>2840</v>
      </c>
      <c r="D193">
        <f>VLOOKUP(A193,'Entradas '!B:F,5,FALSE)</f>
        <v>87</v>
      </c>
      <c r="E193">
        <f>SUMIF('Entradas '!B:B,Inventario!A193,'Entradas '!F:F)-SUMIF('Salidas '!B:B,Inventario!A193,'Salidas '!F:F)</f>
        <v>87</v>
      </c>
    </row>
    <row r="194" spans="1:5" x14ac:dyDescent="0.25">
      <c r="A194" s="30">
        <f>'Entradas '!B:B</f>
        <v>200677042</v>
      </c>
      <c r="B194" t="str">
        <f>VLOOKUP(A194,'Entradas '!B:F,3,FALSE)</f>
        <v>Pelicula  PVC 35 mic. CH  667 mm</v>
      </c>
      <c r="C194">
        <f>VLOOKUP(A194,'Entradas '!B:F,4,FALSE)</f>
        <v>2826</v>
      </c>
      <c r="D194">
        <f>VLOOKUP(A194,'Entradas '!B:F,5,FALSE)</f>
        <v>88.8</v>
      </c>
      <c r="E194">
        <f>SUMIF('Entradas '!B:B,Inventario!A194,'Entradas '!F:F)-SUMIF('Salidas '!B:B,Inventario!A194,'Salidas '!F:F)</f>
        <v>88.8</v>
      </c>
    </row>
    <row r="195" spans="1:5" x14ac:dyDescent="0.25">
      <c r="A195" s="30">
        <f>'Entradas '!B:B</f>
        <v>200677043</v>
      </c>
      <c r="B195" t="str">
        <f>VLOOKUP(A195,'Entradas '!B:F,3,FALSE)</f>
        <v>Pelicula  PVC 35 mic. CH  667 mm</v>
      </c>
      <c r="C195">
        <f>VLOOKUP(A195,'Entradas '!B:F,4,FALSE)</f>
        <v>2864</v>
      </c>
      <c r="D195">
        <f>VLOOKUP(A195,'Entradas '!B:F,5,FALSE)</f>
        <v>91.4</v>
      </c>
      <c r="E195">
        <f>SUMIF('Entradas '!B:B,Inventario!A195,'Entradas '!F:F)-SUMIF('Salidas '!B:B,Inventario!A195,'Salidas '!F:F)</f>
        <v>91.4</v>
      </c>
    </row>
    <row r="196" spans="1:5" x14ac:dyDescent="0.25">
      <c r="A196" s="30">
        <f>'Entradas '!B:B</f>
        <v>200677044</v>
      </c>
      <c r="B196" t="str">
        <f>VLOOKUP(A196,'Entradas '!B:F,3,FALSE)</f>
        <v>Pelicula  PVC 35 mic. CH  667 mm</v>
      </c>
      <c r="C196">
        <f>VLOOKUP(A196,'Entradas '!B:F,4,FALSE)</f>
        <v>2864</v>
      </c>
      <c r="D196">
        <f>VLOOKUP(A196,'Entradas '!B:F,5,FALSE)</f>
        <v>91.1</v>
      </c>
      <c r="E196">
        <f>SUMIF('Entradas '!B:B,Inventario!A196,'Entradas '!F:F)-SUMIF('Salidas '!B:B,Inventario!A196,'Salidas '!F:F)</f>
        <v>91.1</v>
      </c>
    </row>
    <row r="197" spans="1:5" x14ac:dyDescent="0.25">
      <c r="A197" s="30">
        <f>'Entradas '!B:B</f>
        <v>200677045</v>
      </c>
      <c r="B197" t="str">
        <f>VLOOKUP(A197,'Entradas '!B:F,3,FALSE)</f>
        <v>Pelicula  PVC 35 mic. CH  667 mm</v>
      </c>
      <c r="C197">
        <f>VLOOKUP(A197,'Entradas '!B:F,4,FALSE)</f>
        <v>2840</v>
      </c>
      <c r="D197">
        <f>VLOOKUP(A197,'Entradas '!B:F,5,FALSE)</f>
        <v>86.8</v>
      </c>
      <c r="E197">
        <f>SUMIF('Entradas '!B:B,Inventario!A197,'Entradas '!F:F)-SUMIF('Salidas '!B:B,Inventario!A197,'Salidas '!F:F)</f>
        <v>86.8</v>
      </c>
    </row>
    <row r="198" spans="1:5" x14ac:dyDescent="0.25">
      <c r="A198" s="30">
        <f>'Entradas '!B:B</f>
        <v>200677046</v>
      </c>
      <c r="B198" t="str">
        <f>VLOOKUP(A198,'Entradas '!B:F,3,FALSE)</f>
        <v>Pelicula  PVC 35 mic. CH  667 mm</v>
      </c>
      <c r="C198">
        <f>VLOOKUP(A198,'Entradas '!B:F,4,FALSE)</f>
        <v>2855</v>
      </c>
      <c r="D198">
        <f>VLOOKUP(A198,'Entradas '!B:F,5,FALSE)</f>
        <v>90.6</v>
      </c>
      <c r="E198">
        <f>SUMIF('Entradas '!B:B,Inventario!A198,'Entradas '!F:F)-SUMIF('Salidas '!B:B,Inventario!A198,'Salidas '!F:F)</f>
        <v>90.6</v>
      </c>
    </row>
    <row r="199" spans="1:5" x14ac:dyDescent="0.25">
      <c r="A199" s="30">
        <f>'Entradas '!B:B</f>
        <v>200677047</v>
      </c>
      <c r="B199" t="str">
        <f>VLOOKUP(A199,'Entradas '!B:F,3,FALSE)</f>
        <v>Pelicula  PVC 35 mic. CH  667 mm</v>
      </c>
      <c r="C199">
        <f>VLOOKUP(A199,'Entradas '!B:F,4,FALSE)</f>
        <v>2849</v>
      </c>
      <c r="D199">
        <f>VLOOKUP(A199,'Entradas '!B:F,5,FALSE)</f>
        <v>91.3</v>
      </c>
      <c r="E199">
        <f>SUMIF('Entradas '!B:B,Inventario!A199,'Entradas '!F:F)-SUMIF('Salidas '!B:B,Inventario!A199,'Salidas '!F:F)</f>
        <v>91.3</v>
      </c>
    </row>
    <row r="200" spans="1:5" x14ac:dyDescent="0.25">
      <c r="A200" s="30">
        <f>'Entradas '!B:B</f>
        <v>200677048</v>
      </c>
      <c r="B200" t="str">
        <f>VLOOKUP(A200,'Entradas '!B:F,3,FALSE)</f>
        <v>Pelicula  PVC 35 mic. CH  667 mm</v>
      </c>
      <c r="C200">
        <f>VLOOKUP(A200,'Entradas '!B:F,4,FALSE)</f>
        <v>2831</v>
      </c>
      <c r="D200">
        <f>VLOOKUP(A200,'Entradas '!B:F,5,FALSE)</f>
        <v>90</v>
      </c>
      <c r="E200">
        <f>SUMIF('Entradas '!B:B,Inventario!A200,'Entradas '!F:F)-SUMIF('Salidas '!B:B,Inventario!A200,'Salidas '!F:F)</f>
        <v>90</v>
      </c>
    </row>
    <row r="201" spans="1:5" x14ac:dyDescent="0.25">
      <c r="A201" s="30">
        <f>'Entradas '!B:B</f>
        <v>200677049</v>
      </c>
      <c r="B201" t="str">
        <f>VLOOKUP(A201,'Entradas '!B:F,3,FALSE)</f>
        <v>Pelicula  PVC 35 mic. CH  667 mm</v>
      </c>
      <c r="C201">
        <f>VLOOKUP(A201,'Entradas '!B:F,4,FALSE)</f>
        <v>2840</v>
      </c>
      <c r="D201">
        <f>VLOOKUP(A201,'Entradas '!B:F,5,FALSE)</f>
        <v>90.2</v>
      </c>
      <c r="E201">
        <f>SUMIF('Entradas '!B:B,Inventario!A201,'Entradas '!F:F)-SUMIF('Salidas '!B:B,Inventario!A201,'Salidas '!F:F)</f>
        <v>90.2</v>
      </c>
    </row>
    <row r="202" spans="1:5" x14ac:dyDescent="0.25">
      <c r="A202" s="30">
        <f>'Entradas '!B:B</f>
        <v>200677050</v>
      </c>
      <c r="B202" t="str">
        <f>VLOOKUP(A202,'Entradas '!B:F,3,FALSE)</f>
        <v>Pelicula  PVC 35 mic. CH  667 mm</v>
      </c>
      <c r="C202">
        <f>VLOOKUP(A202,'Entradas '!B:F,4,FALSE)</f>
        <v>2840</v>
      </c>
      <c r="D202">
        <f>VLOOKUP(A202,'Entradas '!B:F,5,FALSE)</f>
        <v>90</v>
      </c>
      <c r="E202">
        <f>SUMIF('Entradas '!B:B,Inventario!A202,'Entradas '!F:F)-SUMIF('Salidas '!B:B,Inventario!A202,'Salidas '!F:F)</f>
        <v>90</v>
      </c>
    </row>
    <row r="203" spans="1:5" x14ac:dyDescent="0.25">
      <c r="A203" s="30">
        <f>'Entradas '!B:B</f>
        <v>200677051</v>
      </c>
      <c r="B203" t="str">
        <f>VLOOKUP(A203,'Entradas '!B:F,3,FALSE)</f>
        <v>Pelicula  PVC 35 mic. CH  667 mm</v>
      </c>
      <c r="C203">
        <f>VLOOKUP(A203,'Entradas '!B:F,4,FALSE)</f>
        <v>2680</v>
      </c>
      <c r="D203">
        <f>VLOOKUP(A203,'Entradas '!B:F,5,FALSE)</f>
        <v>83.9</v>
      </c>
      <c r="E203">
        <f>SUMIF('Entradas '!B:B,Inventario!A203,'Entradas '!F:F)-SUMIF('Salidas '!B:B,Inventario!A203,'Salidas '!F:F)</f>
        <v>83.9</v>
      </c>
    </row>
    <row r="204" spans="1:5" x14ac:dyDescent="0.25">
      <c r="A204" s="30">
        <f>'Entradas '!B:B</f>
        <v>200677052</v>
      </c>
      <c r="B204" t="str">
        <f>VLOOKUP(A204,'Entradas '!B:F,3,FALSE)</f>
        <v>Pelicula  PVC 35 mic. CH  667 mm</v>
      </c>
      <c r="C204">
        <f>VLOOKUP(A204,'Entradas '!B:F,4,FALSE)</f>
        <v>2850</v>
      </c>
      <c r="D204">
        <f>VLOOKUP(A204,'Entradas '!B:F,5,FALSE)</f>
        <v>90.5</v>
      </c>
      <c r="E204">
        <f>SUMIF('Entradas '!B:B,Inventario!A204,'Entradas '!F:F)-SUMIF('Salidas '!B:B,Inventario!A204,'Salidas '!F:F)</f>
        <v>90.5</v>
      </c>
    </row>
    <row r="205" spans="1:5" x14ac:dyDescent="0.25">
      <c r="A205" s="30">
        <f>'Entradas '!B:B</f>
        <v>200677053</v>
      </c>
      <c r="B205" t="str">
        <f>VLOOKUP(A205,'Entradas '!B:F,3,FALSE)</f>
        <v>Pelicula  PVC 35 mic. CH  667 mm</v>
      </c>
      <c r="C205">
        <f>VLOOKUP(A205,'Entradas '!B:F,4,FALSE)</f>
        <v>2831</v>
      </c>
      <c r="D205">
        <f>VLOOKUP(A205,'Entradas '!B:F,5,FALSE)</f>
        <v>88.7</v>
      </c>
      <c r="E205">
        <f>SUMIF('Entradas '!B:B,Inventario!A205,'Entradas '!F:F)-SUMIF('Salidas '!B:B,Inventario!A205,'Salidas '!F:F)</f>
        <v>88.7</v>
      </c>
    </row>
    <row r="206" spans="1:5" x14ac:dyDescent="0.25">
      <c r="A206" s="30">
        <f>'Entradas '!B:B</f>
        <v>200677054</v>
      </c>
      <c r="B206" t="str">
        <f>VLOOKUP(A206,'Entradas '!B:F,3,FALSE)</f>
        <v>Pelicula  PVC 35 mic. CH  667 mm</v>
      </c>
      <c r="C206">
        <f>VLOOKUP(A206,'Entradas '!B:F,4,FALSE)</f>
        <v>2855</v>
      </c>
      <c r="D206">
        <f>VLOOKUP(A206,'Entradas '!B:F,5,FALSE)</f>
        <v>90.4</v>
      </c>
      <c r="E206">
        <f>SUMIF('Entradas '!B:B,Inventario!A206,'Entradas '!F:F)-SUMIF('Salidas '!B:B,Inventario!A206,'Salidas '!F:F)</f>
        <v>90.4</v>
      </c>
    </row>
    <row r="207" spans="1:5" x14ac:dyDescent="0.25">
      <c r="A207" s="30">
        <f>'Entradas '!B:B</f>
        <v>200677055</v>
      </c>
      <c r="B207" t="str">
        <f>VLOOKUP(A207,'Entradas '!B:F,3,FALSE)</f>
        <v>Pelicula  PVC 35 mic. CH  667 mm</v>
      </c>
      <c r="C207">
        <f>VLOOKUP(A207,'Entradas '!B:F,4,FALSE)</f>
        <v>2862</v>
      </c>
      <c r="D207">
        <f>VLOOKUP(A207,'Entradas '!B:F,5,FALSE)</f>
        <v>88.3</v>
      </c>
      <c r="E207">
        <f>SUMIF('Entradas '!B:B,Inventario!A207,'Entradas '!F:F)-SUMIF('Salidas '!B:B,Inventario!A207,'Salidas '!F:F)</f>
        <v>88.3</v>
      </c>
    </row>
    <row r="208" spans="1:5" x14ac:dyDescent="0.25">
      <c r="A208" s="30">
        <f>'Entradas '!B:B</f>
        <v>200677056</v>
      </c>
      <c r="B208" t="str">
        <f>VLOOKUP(A208,'Entradas '!B:F,3,FALSE)</f>
        <v>Pelicula  PVC 35 mic. CH  667 mm</v>
      </c>
      <c r="C208">
        <f>VLOOKUP(A208,'Entradas '!B:F,4,FALSE)</f>
        <v>2831</v>
      </c>
      <c r="D208">
        <f>VLOOKUP(A208,'Entradas '!B:F,5,FALSE)</f>
        <v>92</v>
      </c>
      <c r="E208">
        <f>SUMIF('Entradas '!B:B,Inventario!A208,'Entradas '!F:F)-SUMIF('Salidas '!B:B,Inventario!A208,'Salidas '!F:F)</f>
        <v>92</v>
      </c>
    </row>
    <row r="209" spans="1:5" x14ac:dyDescent="0.25">
      <c r="A209" s="30">
        <f>'Entradas '!B:B</f>
        <v>200677057</v>
      </c>
      <c r="B209" t="str">
        <f>VLOOKUP(A209,'Entradas '!B:F,3,FALSE)</f>
        <v>Pelicula  PVC 35 mic. CH  667 mm</v>
      </c>
      <c r="C209">
        <f>VLOOKUP(A209,'Entradas '!B:F,4,FALSE)</f>
        <v>2813</v>
      </c>
      <c r="D209">
        <f>VLOOKUP(A209,'Entradas '!B:F,5,FALSE)</f>
        <v>89.8</v>
      </c>
      <c r="E209">
        <f>SUMIF('Entradas '!B:B,Inventario!A209,'Entradas '!F:F)-SUMIF('Salidas '!B:B,Inventario!A209,'Salidas '!F:F)</f>
        <v>89.8</v>
      </c>
    </row>
    <row r="210" spans="1:5" x14ac:dyDescent="0.25">
      <c r="A210" s="30">
        <f>'Entradas '!B:B</f>
        <v>200677058</v>
      </c>
      <c r="B210" t="str">
        <f>VLOOKUP(A210,'Entradas '!B:F,3,FALSE)</f>
        <v>Pelicula  PVC 35 mic. CH  667 mm</v>
      </c>
      <c r="C210">
        <f>VLOOKUP(A210,'Entradas '!B:F,4,FALSE)</f>
        <v>2820</v>
      </c>
      <c r="D210">
        <f>VLOOKUP(A210,'Entradas '!B:F,5,FALSE)</f>
        <v>90.1</v>
      </c>
      <c r="E210">
        <f>SUMIF('Entradas '!B:B,Inventario!A210,'Entradas '!F:F)-SUMIF('Salidas '!B:B,Inventario!A210,'Salidas '!F:F)</f>
        <v>90.1</v>
      </c>
    </row>
    <row r="211" spans="1:5" x14ac:dyDescent="0.25">
      <c r="A211" s="30">
        <f>'Entradas '!B:B</f>
        <v>200677059</v>
      </c>
      <c r="B211" t="str">
        <f>VLOOKUP(A211,'Entradas '!B:F,3,FALSE)</f>
        <v>Pelicula  PVC 35 mic. CH  667 mm</v>
      </c>
      <c r="C211">
        <f>VLOOKUP(A211,'Entradas '!B:F,4,FALSE)</f>
        <v>2840</v>
      </c>
      <c r="D211">
        <f>VLOOKUP(A211,'Entradas '!B:F,5,FALSE)</f>
        <v>91</v>
      </c>
      <c r="E211">
        <f>SUMIF('Entradas '!B:B,Inventario!A211,'Entradas '!F:F)-SUMIF('Salidas '!B:B,Inventario!A211,'Salidas '!F:F)</f>
        <v>91</v>
      </c>
    </row>
    <row r="212" spans="1:5" x14ac:dyDescent="0.25">
      <c r="A212" s="30">
        <f>'Entradas '!B:B</f>
        <v>200677060</v>
      </c>
      <c r="B212" t="str">
        <f>VLOOKUP(A212,'Entradas '!B:F,3,FALSE)</f>
        <v>Pelicula  PVC 35 mic. CH  667 mm</v>
      </c>
      <c r="C212">
        <f>VLOOKUP(A212,'Entradas '!B:F,4,FALSE)</f>
        <v>2840</v>
      </c>
      <c r="D212">
        <f>VLOOKUP(A212,'Entradas '!B:F,5,FALSE)</f>
        <v>91.4</v>
      </c>
      <c r="E212">
        <f>SUMIF('Entradas '!B:B,Inventario!A212,'Entradas '!F:F)-SUMIF('Salidas '!B:B,Inventario!A212,'Salidas '!F:F)</f>
        <v>91.4</v>
      </c>
    </row>
    <row r="213" spans="1:5" x14ac:dyDescent="0.25">
      <c r="A213" s="30">
        <f>'Entradas '!B:B</f>
        <v>200677061</v>
      </c>
      <c r="B213" t="str">
        <f>VLOOKUP(A213,'Entradas '!B:F,3,FALSE)</f>
        <v>Pelicula  PVC 35 mic. CH  667 mm</v>
      </c>
      <c r="C213">
        <f>VLOOKUP(A213,'Entradas '!B:F,4,FALSE)</f>
        <v>2820</v>
      </c>
      <c r="D213">
        <f>VLOOKUP(A213,'Entradas '!B:F,5,FALSE)</f>
        <v>90.3</v>
      </c>
      <c r="E213">
        <f>SUMIF('Entradas '!B:B,Inventario!A213,'Entradas '!F:F)-SUMIF('Salidas '!B:B,Inventario!A213,'Salidas '!F:F)</f>
        <v>90.3</v>
      </c>
    </row>
    <row r="214" spans="1:5" x14ac:dyDescent="0.25">
      <c r="A214" s="30">
        <f>'Entradas '!B:B</f>
        <v>200677062</v>
      </c>
      <c r="B214" t="str">
        <f>VLOOKUP(A214,'Entradas '!B:F,3,FALSE)</f>
        <v>Pelicula  PVC 35 mic. CH  667 mm</v>
      </c>
      <c r="C214">
        <f>VLOOKUP(A214,'Entradas '!B:F,4,FALSE)</f>
        <v>2831</v>
      </c>
      <c r="D214">
        <f>VLOOKUP(A214,'Entradas '!B:F,5,FALSE)</f>
        <v>91.5</v>
      </c>
      <c r="E214">
        <f>SUMIF('Entradas '!B:B,Inventario!A214,'Entradas '!F:F)-SUMIF('Salidas '!B:B,Inventario!A214,'Salidas '!F:F)</f>
        <v>91.5</v>
      </c>
    </row>
    <row r="215" spans="1:5" x14ac:dyDescent="0.25">
      <c r="A215" s="30">
        <f>'Entradas '!B:B</f>
        <v>200677063</v>
      </c>
      <c r="B215" t="str">
        <f>VLOOKUP(A215,'Entradas '!B:F,3,FALSE)</f>
        <v>Pelicula  PVC 35 mic. CH  667 mm</v>
      </c>
      <c r="C215">
        <f>VLOOKUP(A215,'Entradas '!B:F,4,FALSE)</f>
        <v>2845</v>
      </c>
      <c r="D215">
        <f>VLOOKUP(A215,'Entradas '!B:F,5,FALSE)</f>
        <v>92.2</v>
      </c>
      <c r="E215">
        <f>SUMIF('Entradas '!B:B,Inventario!A215,'Entradas '!F:F)-SUMIF('Salidas '!B:B,Inventario!A215,'Salidas '!F:F)</f>
        <v>92.2</v>
      </c>
    </row>
    <row r="216" spans="1:5" x14ac:dyDescent="0.25">
      <c r="A216" s="30">
        <f>'Entradas '!B:B</f>
        <v>200677064</v>
      </c>
      <c r="B216" t="str">
        <f>VLOOKUP(A216,'Entradas '!B:F,3,FALSE)</f>
        <v>Pelicula  PVC 35 mic. CH  667 mm</v>
      </c>
      <c r="C216">
        <f>VLOOKUP(A216,'Entradas '!B:F,4,FALSE)</f>
        <v>2835</v>
      </c>
      <c r="D216">
        <f>VLOOKUP(A216,'Entradas '!B:F,5,FALSE)</f>
        <v>89.4</v>
      </c>
      <c r="E216">
        <f>SUMIF('Entradas '!B:B,Inventario!A216,'Entradas '!F:F)-SUMIF('Salidas '!B:B,Inventario!A216,'Salidas '!F:F)</f>
        <v>89.4</v>
      </c>
    </row>
    <row r="217" spans="1:5" x14ac:dyDescent="0.25">
      <c r="A217" s="30">
        <f>'Entradas '!B:B</f>
        <v>200677065</v>
      </c>
      <c r="B217" t="str">
        <f>VLOOKUP(A217,'Entradas '!B:F,3,FALSE)</f>
        <v>Pelicula  PVC 35 mic. CH  667 mm</v>
      </c>
      <c r="C217">
        <f>VLOOKUP(A217,'Entradas '!B:F,4,FALSE)</f>
        <v>2837</v>
      </c>
      <c r="D217">
        <f>VLOOKUP(A217,'Entradas '!B:F,5,FALSE)</f>
        <v>89</v>
      </c>
      <c r="E217">
        <f>SUMIF('Entradas '!B:B,Inventario!A217,'Entradas '!F:F)-SUMIF('Salidas '!B:B,Inventario!A217,'Salidas '!F:F)</f>
        <v>89</v>
      </c>
    </row>
    <row r="218" spans="1:5" x14ac:dyDescent="0.25">
      <c r="A218" s="30">
        <f>'Entradas '!B:B</f>
        <v>200677066</v>
      </c>
      <c r="B218" t="str">
        <f>VLOOKUP(A218,'Entradas '!B:F,3,FALSE)</f>
        <v>Pelicula  PVC 35 mic. CH  667 mm</v>
      </c>
      <c r="C218">
        <f>VLOOKUP(A218,'Entradas '!B:F,4,FALSE)</f>
        <v>2830</v>
      </c>
      <c r="D218">
        <f>VLOOKUP(A218,'Entradas '!B:F,5,FALSE)</f>
        <v>90</v>
      </c>
      <c r="E218">
        <f>SUMIF('Entradas '!B:B,Inventario!A218,'Entradas '!F:F)-SUMIF('Salidas '!B:B,Inventario!A218,'Salidas '!F:F)</f>
        <v>90</v>
      </c>
    </row>
    <row r="219" spans="1:5" x14ac:dyDescent="0.25">
      <c r="A219" s="30">
        <f>'Entradas '!B:B</f>
        <v>200677067</v>
      </c>
      <c r="B219" t="str">
        <f>VLOOKUP(A219,'Entradas '!B:F,3,FALSE)</f>
        <v>Pelicula  PVC 35 mic. CH  667 mm</v>
      </c>
      <c r="C219">
        <f>VLOOKUP(A219,'Entradas '!B:F,4,FALSE)</f>
        <v>2818</v>
      </c>
      <c r="D219">
        <f>VLOOKUP(A219,'Entradas '!B:F,5,FALSE)</f>
        <v>89.6</v>
      </c>
      <c r="E219">
        <f>SUMIF('Entradas '!B:B,Inventario!A219,'Entradas '!F:F)-SUMIF('Salidas '!B:B,Inventario!A219,'Salidas '!F:F)</f>
        <v>89.6</v>
      </c>
    </row>
    <row r="220" spans="1:5" x14ac:dyDescent="0.25">
      <c r="A220" s="30">
        <f>'Entradas '!B:B</f>
        <v>200677068</v>
      </c>
      <c r="B220" t="str">
        <f>VLOOKUP(A220,'Entradas '!B:F,3,FALSE)</f>
        <v>Pelicula  PVC 35 mic. CH  667 mm</v>
      </c>
      <c r="C220">
        <f>VLOOKUP(A220,'Entradas '!B:F,4,FALSE)</f>
        <v>2890</v>
      </c>
      <c r="D220">
        <f>VLOOKUP(A220,'Entradas '!B:F,5,FALSE)</f>
        <v>90.4</v>
      </c>
      <c r="E220">
        <f>SUMIF('Entradas '!B:B,Inventario!A220,'Entradas '!F:F)-SUMIF('Salidas '!B:B,Inventario!A220,'Salidas '!F:F)</f>
        <v>90.4</v>
      </c>
    </row>
    <row r="221" spans="1:5" x14ac:dyDescent="0.25">
      <c r="A221" s="30">
        <f>'Entradas '!B:B</f>
        <v>200677069</v>
      </c>
      <c r="B221" t="str">
        <f>VLOOKUP(A221,'Entradas '!B:F,3,FALSE)</f>
        <v>Pelicula  PVC 35 mic. CH  667 mm</v>
      </c>
      <c r="C221">
        <f>VLOOKUP(A221,'Entradas '!B:F,4,FALSE)</f>
        <v>2990</v>
      </c>
      <c r="D221">
        <f>VLOOKUP(A221,'Entradas '!B:F,5,FALSE)</f>
        <v>91.2</v>
      </c>
      <c r="E221">
        <f>SUMIF('Entradas '!B:B,Inventario!A221,'Entradas '!F:F)-SUMIF('Salidas '!B:B,Inventario!A221,'Salidas '!F:F)</f>
        <v>91.2</v>
      </c>
    </row>
    <row r="222" spans="1:5" x14ac:dyDescent="0.25">
      <c r="A222" s="30">
        <f>'Entradas '!B:B</f>
        <v>200677070</v>
      </c>
      <c r="B222" t="str">
        <f>VLOOKUP(A222,'Entradas '!B:F,3,FALSE)</f>
        <v>Pelicula  PVC 35 mic. CH  667 mm</v>
      </c>
      <c r="C222">
        <f>VLOOKUP(A222,'Entradas '!B:F,4,FALSE)</f>
        <v>2848</v>
      </c>
      <c r="D222">
        <f>VLOOKUP(A222,'Entradas '!B:F,5,FALSE)</f>
        <v>92.2</v>
      </c>
      <c r="E222">
        <f>SUMIF('Entradas '!B:B,Inventario!A222,'Entradas '!F:F)-SUMIF('Salidas '!B:B,Inventario!A222,'Salidas '!F:F)</f>
        <v>92.2</v>
      </c>
    </row>
    <row r="223" spans="1:5" x14ac:dyDescent="0.25">
      <c r="A223" s="30">
        <f>'Entradas '!B:B</f>
        <v>200677071</v>
      </c>
      <c r="B223" t="str">
        <f>VLOOKUP(A223,'Entradas '!B:F,3,FALSE)</f>
        <v>Pelicula  PVC 35 mic. CH  667 mm</v>
      </c>
      <c r="C223">
        <f>VLOOKUP(A223,'Entradas '!B:F,4,FALSE)</f>
        <v>2848</v>
      </c>
      <c r="D223">
        <f>VLOOKUP(A223,'Entradas '!B:F,5,FALSE)</f>
        <v>92.2</v>
      </c>
      <c r="E223">
        <f>SUMIF('Entradas '!B:B,Inventario!A223,'Entradas '!F:F)-SUMIF('Salidas '!B:B,Inventario!A223,'Salidas '!F:F)</f>
        <v>92.2</v>
      </c>
    </row>
    <row r="224" spans="1:5" x14ac:dyDescent="0.25">
      <c r="A224" s="30">
        <f>'Entradas '!B:B</f>
        <v>200677072</v>
      </c>
      <c r="B224" t="str">
        <f>VLOOKUP(A224,'Entradas '!B:F,3,FALSE)</f>
        <v>Pelicula  PVC 35 mic. CH  667 mm</v>
      </c>
      <c r="C224">
        <f>VLOOKUP(A224,'Entradas '!B:F,4,FALSE)</f>
        <v>2990</v>
      </c>
      <c r="D224">
        <f>VLOOKUP(A224,'Entradas '!B:F,5,FALSE)</f>
        <v>91.4</v>
      </c>
      <c r="E224">
        <f>SUMIF('Entradas '!B:B,Inventario!A224,'Entradas '!F:F)-SUMIF('Salidas '!B:B,Inventario!A224,'Salidas '!F:F)</f>
        <v>91.4</v>
      </c>
    </row>
    <row r="225" spans="1:5" x14ac:dyDescent="0.25">
      <c r="A225" s="30">
        <f>'Entradas '!B:B</f>
        <v>200677073</v>
      </c>
      <c r="B225" t="str">
        <f>VLOOKUP(A225,'Entradas '!B:F,3,FALSE)</f>
        <v>Pelicula  PVC 35 mic. CH  667 mm</v>
      </c>
      <c r="C225">
        <f>VLOOKUP(A225,'Entradas '!B:F,4,FALSE)</f>
        <v>2940</v>
      </c>
      <c r="D225">
        <f>VLOOKUP(A225,'Entradas '!B:F,5,FALSE)</f>
        <v>92.1</v>
      </c>
      <c r="E225">
        <f>SUMIF('Entradas '!B:B,Inventario!A225,'Entradas '!F:F)-SUMIF('Salidas '!B:B,Inventario!A225,'Salidas '!F:F)</f>
        <v>92.1</v>
      </c>
    </row>
    <row r="226" spans="1:5" x14ac:dyDescent="0.25">
      <c r="A226" s="30">
        <f>'Entradas '!B:B</f>
        <v>200677074</v>
      </c>
      <c r="B226" t="str">
        <f>VLOOKUP(A226,'Entradas '!B:F,3,FALSE)</f>
        <v>Pelicula  PVC 35 mic. CH  667 mm</v>
      </c>
      <c r="C226">
        <f>VLOOKUP(A226,'Entradas '!B:F,4,FALSE)</f>
        <v>2835</v>
      </c>
      <c r="D226">
        <f>VLOOKUP(A226,'Entradas '!B:F,5,FALSE)</f>
        <v>89.3</v>
      </c>
      <c r="E226">
        <f>SUMIF('Entradas '!B:B,Inventario!A226,'Entradas '!F:F)-SUMIF('Salidas '!B:B,Inventario!A226,'Salidas '!F:F)</f>
        <v>89.3</v>
      </c>
    </row>
    <row r="227" spans="1:5" x14ac:dyDescent="0.25">
      <c r="A227" s="30">
        <f>'Entradas '!B:B</f>
        <v>200677075</v>
      </c>
      <c r="B227" t="str">
        <f>VLOOKUP(A227,'Entradas '!B:F,3,FALSE)</f>
        <v>Pelicula  PVC 35 mic. CH  667 mm</v>
      </c>
      <c r="C227">
        <f>VLOOKUP(A227,'Entradas '!B:F,4,FALSE)</f>
        <v>2835</v>
      </c>
      <c r="D227">
        <f>VLOOKUP(A227,'Entradas '!B:F,5,FALSE)</f>
        <v>89.3</v>
      </c>
      <c r="E227">
        <f>SUMIF('Entradas '!B:B,Inventario!A227,'Entradas '!F:F)-SUMIF('Salidas '!B:B,Inventario!A227,'Salidas '!F:F)</f>
        <v>89.3</v>
      </c>
    </row>
    <row r="228" spans="1:5" x14ac:dyDescent="0.25">
      <c r="A228" s="30">
        <f>'Entradas '!B:B</f>
        <v>200677076</v>
      </c>
      <c r="B228" t="str">
        <f>VLOOKUP(A228,'Entradas '!B:F,3,FALSE)</f>
        <v>Pelicula  PVC 35 mic. CH  667 mm</v>
      </c>
      <c r="C228">
        <f>VLOOKUP(A228,'Entradas '!B:F,4,FALSE)</f>
        <v>2907</v>
      </c>
      <c r="D228">
        <f>VLOOKUP(A228,'Entradas '!B:F,5,FALSE)</f>
        <v>92.7</v>
      </c>
      <c r="E228">
        <f>SUMIF('Entradas '!B:B,Inventario!A228,'Entradas '!F:F)-SUMIF('Salidas '!B:B,Inventario!A228,'Salidas '!F:F)</f>
        <v>92.7</v>
      </c>
    </row>
    <row r="229" spans="1:5" x14ac:dyDescent="0.25">
      <c r="A229" s="30">
        <f>'Entradas '!B:B</f>
        <v>200700001</v>
      </c>
      <c r="B229" t="str">
        <f>VLOOKUP(A229,'Entradas '!B:F,3,FALSE)</f>
        <v>Pet-G  pelicula  45 mic. CH 667 mm</v>
      </c>
      <c r="C229">
        <f>VLOOKUP(A229,'Entradas '!B:F,4,FALSE)</f>
        <v>2271</v>
      </c>
      <c r="D229">
        <f>VLOOKUP(A229,'Entradas '!B:F,5,FALSE)</f>
        <v>92.5</v>
      </c>
      <c r="E229">
        <f>SUMIF('Entradas '!B:B,Inventario!A229,'Entradas '!F:F)-SUMIF('Salidas '!B:B,Inventario!A229,'Salidas '!F:F)</f>
        <v>92.5</v>
      </c>
    </row>
    <row r="230" spans="1:5" x14ac:dyDescent="0.25">
      <c r="A230" s="30">
        <f>'Entradas '!B:B</f>
        <v>200700002</v>
      </c>
      <c r="B230" t="str">
        <f>VLOOKUP(A230,'Entradas '!B:F,3,FALSE)</f>
        <v>Pet-G  pelicula  45 mic. CH 667 mm</v>
      </c>
      <c r="C230">
        <f>VLOOKUP(A230,'Entradas '!B:F,4,FALSE)</f>
        <v>2245</v>
      </c>
      <c r="D230">
        <f>VLOOKUP(A230,'Entradas '!B:F,5,FALSE)</f>
        <v>91</v>
      </c>
      <c r="E230">
        <f>SUMIF('Entradas '!B:B,Inventario!A230,'Entradas '!F:F)-SUMIF('Salidas '!B:B,Inventario!A230,'Salidas '!F:F)</f>
        <v>91</v>
      </c>
    </row>
    <row r="231" spans="1:5" x14ac:dyDescent="0.25">
      <c r="A231" s="30">
        <f>'Entradas '!B:B</f>
        <v>200700003</v>
      </c>
      <c r="B231" t="str">
        <f>VLOOKUP(A231,'Entradas '!B:F,3,FALSE)</f>
        <v>Pet-G  pelicula  45 mic. CH 667 mm</v>
      </c>
      <c r="C231">
        <f>VLOOKUP(A231,'Entradas '!B:F,4,FALSE)</f>
        <v>2271</v>
      </c>
      <c r="D231">
        <f>VLOOKUP(A231,'Entradas '!B:F,5,FALSE)</f>
        <v>93.2</v>
      </c>
      <c r="E231">
        <f>SUMIF('Entradas '!B:B,Inventario!A231,'Entradas '!F:F)-SUMIF('Salidas '!B:B,Inventario!A231,'Salidas '!F:F)</f>
        <v>93.2</v>
      </c>
    </row>
    <row r="232" spans="1:5" x14ac:dyDescent="0.25">
      <c r="A232" s="30">
        <f>'Entradas '!B:B</f>
        <v>200700004</v>
      </c>
      <c r="B232" t="str">
        <f>VLOOKUP(A232,'Entradas '!B:F,3,FALSE)</f>
        <v>Pet-G  pelicula  45 mic. CH 667 mm</v>
      </c>
      <c r="C232">
        <f>VLOOKUP(A232,'Entradas '!B:F,4,FALSE)</f>
        <v>2176</v>
      </c>
      <c r="D232">
        <f>VLOOKUP(A232,'Entradas '!B:F,5,FALSE)</f>
        <v>89.1</v>
      </c>
      <c r="E232">
        <f>SUMIF('Entradas '!B:B,Inventario!A232,'Entradas '!F:F)-SUMIF('Salidas '!B:B,Inventario!A232,'Salidas '!F:F)</f>
        <v>89.1</v>
      </c>
    </row>
    <row r="233" spans="1:5" x14ac:dyDescent="0.25">
      <c r="A233" s="30">
        <f>'Entradas '!B:B</f>
        <v>200700005</v>
      </c>
      <c r="B233" t="str">
        <f>VLOOKUP(A233,'Entradas '!B:F,3,FALSE)</f>
        <v>Pet-G  pelicula  45 mic. CH 667 mm</v>
      </c>
      <c r="C233">
        <f>VLOOKUP(A233,'Entradas '!B:F,4,FALSE)</f>
        <v>2246</v>
      </c>
      <c r="D233">
        <f>VLOOKUP(A233,'Entradas '!B:F,5,FALSE)</f>
        <v>91.7</v>
      </c>
      <c r="E233">
        <f>SUMIF('Entradas '!B:B,Inventario!A233,'Entradas '!F:F)-SUMIF('Salidas '!B:B,Inventario!A233,'Salidas '!F:F)</f>
        <v>91.7</v>
      </c>
    </row>
    <row r="234" spans="1:5" x14ac:dyDescent="0.25">
      <c r="A234" s="30">
        <f>'Entradas '!B:B</f>
        <v>200700006</v>
      </c>
      <c r="B234" t="str">
        <f>VLOOKUP(A234,'Entradas '!B:F,3,FALSE)</f>
        <v>Pet-G  pelicula  45 mic. CH 667 mm</v>
      </c>
      <c r="C234">
        <f>VLOOKUP(A234,'Entradas '!B:F,4,FALSE)</f>
        <v>2246</v>
      </c>
      <c r="D234">
        <f>VLOOKUP(A234,'Entradas '!B:F,5,FALSE)</f>
        <v>90.7</v>
      </c>
      <c r="E234">
        <f>SUMIF('Entradas '!B:B,Inventario!A234,'Entradas '!F:F)-SUMIF('Salidas '!B:B,Inventario!A234,'Salidas '!F:F)</f>
        <v>90.7</v>
      </c>
    </row>
    <row r="235" spans="1:5" x14ac:dyDescent="0.25">
      <c r="A235" s="30">
        <f>'Entradas '!B:B</f>
        <v>200700007</v>
      </c>
      <c r="B235" t="str">
        <f>VLOOKUP(A235,'Entradas '!B:F,3,FALSE)</f>
        <v>Pet-G  pelicula  45 mic. CH 667 mm</v>
      </c>
      <c r="C235">
        <f>VLOOKUP(A235,'Entradas '!B:F,4,FALSE)</f>
        <v>2272</v>
      </c>
      <c r="D235">
        <f>VLOOKUP(A235,'Entradas '!B:F,5,FALSE)</f>
        <v>92.2</v>
      </c>
      <c r="E235">
        <f>SUMIF('Entradas '!B:B,Inventario!A235,'Entradas '!F:F)-SUMIF('Salidas '!B:B,Inventario!A235,'Salidas '!F:F)</f>
        <v>92.2</v>
      </c>
    </row>
    <row r="236" spans="1:5" x14ac:dyDescent="0.25">
      <c r="A236" s="30">
        <f>'Entradas '!B:B</f>
        <v>200700008</v>
      </c>
      <c r="B236" t="str">
        <f>VLOOKUP(A236,'Entradas '!B:F,3,FALSE)</f>
        <v>Pet-G  pelicula  45 mic. CH 667 mm</v>
      </c>
      <c r="C236">
        <f>VLOOKUP(A236,'Entradas '!B:F,4,FALSE)</f>
        <v>2248</v>
      </c>
      <c r="D236">
        <f>VLOOKUP(A236,'Entradas '!B:F,5,FALSE)</f>
        <v>91.6</v>
      </c>
      <c r="E236">
        <f>SUMIF('Entradas '!B:B,Inventario!A236,'Entradas '!F:F)-SUMIF('Salidas '!B:B,Inventario!A236,'Salidas '!F:F)</f>
        <v>91.6</v>
      </c>
    </row>
    <row r="237" spans="1:5" x14ac:dyDescent="0.25">
      <c r="A237" s="30">
        <f>'Entradas '!B:B</f>
        <v>200700009</v>
      </c>
      <c r="B237" t="str">
        <f>VLOOKUP(A237,'Entradas '!B:F,3,FALSE)</f>
        <v>Pet-G  pelicula  45 mic. CH 667 mm</v>
      </c>
      <c r="C237">
        <f>VLOOKUP(A237,'Entradas '!B:F,4,FALSE)</f>
        <v>2248</v>
      </c>
      <c r="D237">
        <f>VLOOKUP(A237,'Entradas '!B:F,5,FALSE)</f>
        <v>92.4</v>
      </c>
      <c r="E237">
        <f>SUMIF('Entradas '!B:B,Inventario!A237,'Entradas '!F:F)-SUMIF('Salidas '!B:B,Inventario!A237,'Salidas '!F:F)</f>
        <v>92.4</v>
      </c>
    </row>
    <row r="238" spans="1:5" x14ac:dyDescent="0.25">
      <c r="A238" s="30">
        <f>'Entradas '!B:B</f>
        <v>200700010</v>
      </c>
      <c r="B238" t="str">
        <f>VLOOKUP(A238,'Entradas '!B:F,3,FALSE)</f>
        <v>Pet-G  pelicula  45 mic. CH 667 mm</v>
      </c>
      <c r="C238">
        <f>VLOOKUP(A238,'Entradas '!B:F,4,FALSE)</f>
        <v>2230</v>
      </c>
      <c r="D238">
        <f>VLOOKUP(A238,'Entradas '!B:F,5,FALSE)</f>
        <v>90.5</v>
      </c>
      <c r="E238">
        <f>SUMIF('Entradas '!B:B,Inventario!A238,'Entradas '!F:F)-SUMIF('Salidas '!B:B,Inventario!A238,'Salidas '!F:F)</f>
        <v>90.5</v>
      </c>
    </row>
    <row r="239" spans="1:5" x14ac:dyDescent="0.25">
      <c r="A239" s="30">
        <f>'Entradas '!B:B</f>
        <v>200700011</v>
      </c>
      <c r="B239" t="str">
        <f>VLOOKUP(A239,'Entradas '!B:F,3,FALSE)</f>
        <v>Pet-G  pelicula  45 mic. CH 667 mm</v>
      </c>
      <c r="C239">
        <f>VLOOKUP(A239,'Entradas '!B:F,4,FALSE)</f>
        <v>2230</v>
      </c>
      <c r="D239">
        <f>VLOOKUP(A239,'Entradas '!B:F,5,FALSE)</f>
        <v>91.1</v>
      </c>
      <c r="E239">
        <f>SUMIF('Entradas '!B:B,Inventario!A239,'Entradas '!F:F)-SUMIF('Salidas '!B:B,Inventario!A239,'Salidas '!F:F)</f>
        <v>91.1</v>
      </c>
    </row>
    <row r="240" spans="1:5" x14ac:dyDescent="0.25">
      <c r="A240" s="30">
        <f>'Entradas '!B:B</f>
        <v>200700012</v>
      </c>
      <c r="B240" t="str">
        <f>VLOOKUP(A240,'Entradas '!B:F,3,FALSE)</f>
        <v>Pet-G  pelicula  45 mic. CH 667 mm</v>
      </c>
      <c r="C240">
        <f>VLOOKUP(A240,'Entradas '!B:F,4,FALSE)</f>
        <v>2258</v>
      </c>
      <c r="D240">
        <f>VLOOKUP(A240,'Entradas '!B:F,5,FALSE)</f>
        <v>91.4</v>
      </c>
      <c r="E240">
        <f>SUMIF('Entradas '!B:B,Inventario!A240,'Entradas '!F:F)-SUMIF('Salidas '!B:B,Inventario!A240,'Salidas '!F:F)</f>
        <v>91.4</v>
      </c>
    </row>
    <row r="241" spans="1:5" x14ac:dyDescent="0.25">
      <c r="A241" s="30">
        <f>'Entradas '!B:B</f>
        <v>200700013</v>
      </c>
      <c r="B241" t="str">
        <f>VLOOKUP(A241,'Entradas '!B:F,3,FALSE)</f>
        <v>Pet-G  pelicula  45 mic. CH 667 mm</v>
      </c>
      <c r="C241">
        <f>VLOOKUP(A241,'Entradas '!B:F,4,FALSE)</f>
        <v>2210</v>
      </c>
      <c r="D241">
        <f>VLOOKUP(A241,'Entradas '!B:F,5,FALSE)</f>
        <v>89</v>
      </c>
      <c r="E241">
        <f>SUMIF('Entradas '!B:B,Inventario!A241,'Entradas '!F:F)-SUMIF('Salidas '!B:B,Inventario!A241,'Salidas '!F:F)</f>
        <v>89</v>
      </c>
    </row>
    <row r="242" spans="1:5" x14ac:dyDescent="0.25">
      <c r="A242" s="30">
        <f>'Entradas '!B:B</f>
        <v>200700014</v>
      </c>
      <c r="B242" t="str">
        <f>VLOOKUP(A242,'Entradas '!B:F,3,FALSE)</f>
        <v>Pet-G  pelicula  45 mic. CH 667 mm</v>
      </c>
      <c r="C242">
        <f>VLOOKUP(A242,'Entradas '!B:F,4,FALSE)</f>
        <v>2271</v>
      </c>
      <c r="D242">
        <f>VLOOKUP(A242,'Entradas '!B:F,5,FALSE)</f>
        <v>92.8</v>
      </c>
      <c r="E242">
        <f>SUMIF('Entradas '!B:B,Inventario!A242,'Entradas '!F:F)-SUMIF('Salidas '!B:B,Inventario!A242,'Salidas '!F:F)</f>
        <v>92.8</v>
      </c>
    </row>
    <row r="243" spans="1:5" x14ac:dyDescent="0.25">
      <c r="A243" s="30">
        <f>'Entradas '!B:B</f>
        <v>200700015</v>
      </c>
      <c r="B243" t="str">
        <f>VLOOKUP(A243,'Entradas '!B:F,3,FALSE)</f>
        <v>Pet-G  pelicula  45 mic. CH 667 mm</v>
      </c>
      <c r="C243">
        <f>VLOOKUP(A243,'Entradas '!B:F,4,FALSE)</f>
        <v>2253</v>
      </c>
      <c r="D243">
        <f>VLOOKUP(A243,'Entradas '!B:F,5,FALSE)</f>
        <v>91.5</v>
      </c>
      <c r="E243">
        <f>SUMIF('Entradas '!B:B,Inventario!A243,'Entradas '!F:F)-SUMIF('Salidas '!B:B,Inventario!A243,'Salidas '!F:F)</f>
        <v>91.5</v>
      </c>
    </row>
    <row r="244" spans="1:5" x14ac:dyDescent="0.25">
      <c r="A244" s="30">
        <f>'Entradas '!B:B</f>
        <v>200700016</v>
      </c>
      <c r="B244" t="str">
        <f>VLOOKUP(A244,'Entradas '!B:F,3,FALSE)</f>
        <v>Pet-G  pelicula  45 mic. CH 667 mm</v>
      </c>
      <c r="C244">
        <f>VLOOKUP(A244,'Entradas '!B:F,4,FALSE)</f>
        <v>2245</v>
      </c>
      <c r="D244">
        <f>VLOOKUP(A244,'Entradas '!B:F,5,FALSE)</f>
        <v>92.4</v>
      </c>
      <c r="E244">
        <f>SUMIF('Entradas '!B:B,Inventario!A244,'Entradas '!F:F)-SUMIF('Salidas '!B:B,Inventario!A244,'Salidas '!F:F)</f>
        <v>92.4</v>
      </c>
    </row>
    <row r="245" spans="1:5" x14ac:dyDescent="0.25">
      <c r="A245" s="30">
        <f>'Entradas '!B:B</f>
        <v>200700017</v>
      </c>
      <c r="B245" t="str">
        <f>VLOOKUP(A245,'Entradas '!B:F,3,FALSE)</f>
        <v>Pet-G  pelicula  45 mic. CH 667 mm</v>
      </c>
      <c r="C245">
        <f>VLOOKUP(A245,'Entradas '!B:F,4,FALSE)</f>
        <v>2272</v>
      </c>
      <c r="D245">
        <f>VLOOKUP(A245,'Entradas '!B:F,5,FALSE)</f>
        <v>93.3</v>
      </c>
      <c r="E245">
        <f>SUMIF('Entradas '!B:B,Inventario!A245,'Entradas '!F:F)-SUMIF('Salidas '!B:B,Inventario!A245,'Salidas '!F:F)</f>
        <v>93.3</v>
      </c>
    </row>
    <row r="246" spans="1:5" x14ac:dyDescent="0.25">
      <c r="A246" s="30">
        <f>'Entradas '!B:B</f>
        <v>200700018</v>
      </c>
      <c r="B246" t="str">
        <f>VLOOKUP(A246,'Entradas '!B:F,3,FALSE)</f>
        <v>Pet-G  pelicula  45 mic. CH 667 mm</v>
      </c>
      <c r="C246">
        <f>VLOOKUP(A246,'Entradas '!B:F,4,FALSE)</f>
        <v>2271</v>
      </c>
      <c r="D246">
        <f>VLOOKUP(A246,'Entradas '!B:F,5,FALSE)</f>
        <v>93.8</v>
      </c>
      <c r="E246">
        <f>SUMIF('Entradas '!B:B,Inventario!A246,'Entradas '!F:F)-SUMIF('Salidas '!B:B,Inventario!A246,'Salidas '!F:F)</f>
        <v>93.8</v>
      </c>
    </row>
    <row r="247" spans="1:5" x14ac:dyDescent="0.25">
      <c r="A247" s="30">
        <f>'Entradas '!B:B</f>
        <v>200700019</v>
      </c>
      <c r="B247" t="str">
        <f>VLOOKUP(A247,'Entradas '!B:F,3,FALSE)</f>
        <v>Pet-G  pelicula  45 mic. CH 667 mm</v>
      </c>
      <c r="C247">
        <f>VLOOKUP(A247,'Entradas '!B:F,4,FALSE)</f>
        <v>2250</v>
      </c>
      <c r="D247">
        <f>VLOOKUP(A247,'Entradas '!B:F,5,FALSE)</f>
        <v>92</v>
      </c>
      <c r="E247">
        <f>SUMIF('Entradas '!B:B,Inventario!A247,'Entradas '!F:F)-SUMIF('Salidas '!B:B,Inventario!A247,'Salidas '!F:F)</f>
        <v>92</v>
      </c>
    </row>
    <row r="248" spans="1:5" x14ac:dyDescent="0.25">
      <c r="A248" s="30">
        <f>'Entradas '!B:B</f>
        <v>200700020</v>
      </c>
      <c r="B248" t="str">
        <f>VLOOKUP(A248,'Entradas '!B:F,3,FALSE)</f>
        <v>Pet-G  pelicula  45 mic. CH 667 mm</v>
      </c>
      <c r="C248">
        <f>VLOOKUP(A248,'Entradas '!B:F,4,FALSE)</f>
        <v>2350</v>
      </c>
      <c r="D248">
        <f>VLOOKUP(A248,'Entradas '!B:F,5,FALSE)</f>
        <v>97.5</v>
      </c>
      <c r="E248">
        <f>SUMIF('Entradas '!B:B,Inventario!A248,'Entradas '!F:F)-SUMIF('Salidas '!B:B,Inventario!A248,'Salidas '!F:F)</f>
        <v>97.5</v>
      </c>
    </row>
    <row r="249" spans="1:5" x14ac:dyDescent="0.25">
      <c r="A249" s="30">
        <f>'Entradas '!B:B</f>
        <v>200700021</v>
      </c>
      <c r="B249" t="str">
        <f>VLOOKUP(A249,'Entradas '!B:F,3,FALSE)</f>
        <v>Pet-G  pelicula  45 mic. CH 667 mm</v>
      </c>
      <c r="C249">
        <f>VLOOKUP(A249,'Entradas '!B:F,4,FALSE)</f>
        <v>2176</v>
      </c>
      <c r="D249">
        <f>VLOOKUP(A249,'Entradas '!B:F,5,FALSE)</f>
        <v>88.1</v>
      </c>
      <c r="E249">
        <f>SUMIF('Entradas '!B:B,Inventario!A249,'Entradas '!F:F)-SUMIF('Salidas '!B:B,Inventario!A249,'Salidas '!F:F)</f>
        <v>88.1</v>
      </c>
    </row>
    <row r="250" spans="1:5" x14ac:dyDescent="0.25">
      <c r="A250" s="30">
        <f>'Entradas '!B:B</f>
        <v>200700022</v>
      </c>
      <c r="B250" t="str">
        <f>VLOOKUP(A250,'Entradas '!B:F,3,FALSE)</f>
        <v>Pet-G  pelicula  45 mic. CH 667 mm</v>
      </c>
      <c r="C250">
        <f>VLOOKUP(A250,'Entradas '!B:F,4,FALSE)</f>
        <v>2231</v>
      </c>
      <c r="D250">
        <f>VLOOKUP(A250,'Entradas '!B:F,5,FALSE)</f>
        <v>90.6</v>
      </c>
      <c r="E250">
        <f>SUMIF('Entradas '!B:B,Inventario!A250,'Entradas '!F:F)-SUMIF('Salidas '!B:B,Inventario!A250,'Salidas '!F:F)</f>
        <v>90.6</v>
      </c>
    </row>
    <row r="251" spans="1:5" x14ac:dyDescent="0.25">
      <c r="A251" s="30">
        <f>'Entradas '!B:B</f>
        <v>200700023</v>
      </c>
      <c r="B251" t="str">
        <f>VLOOKUP(A251,'Entradas '!B:F,3,FALSE)</f>
        <v>Pet-G  pelicula  45 mic. CH 667 mm</v>
      </c>
      <c r="C251">
        <f>VLOOKUP(A251,'Entradas '!B:F,4,FALSE)</f>
        <v>2210</v>
      </c>
      <c r="D251">
        <f>VLOOKUP(A251,'Entradas '!B:F,5,FALSE)</f>
        <v>89.5</v>
      </c>
      <c r="E251">
        <f>SUMIF('Entradas '!B:B,Inventario!A251,'Entradas '!F:F)-SUMIF('Salidas '!B:B,Inventario!A251,'Salidas '!F:F)</f>
        <v>89.5</v>
      </c>
    </row>
    <row r="252" spans="1:5" x14ac:dyDescent="0.25">
      <c r="A252" s="30">
        <f>'Entradas '!B:B</f>
        <v>200700024</v>
      </c>
      <c r="B252" t="str">
        <f>VLOOKUP(A252,'Entradas '!B:F,3,FALSE)</f>
        <v>Pet-G  pelicula  45 mic. CH 667 mm</v>
      </c>
      <c r="C252">
        <f>VLOOKUP(A252,'Entradas '!B:F,4,FALSE)</f>
        <v>2258</v>
      </c>
      <c r="D252">
        <f>VLOOKUP(A252,'Entradas '!B:F,5,FALSE)</f>
        <v>91.7</v>
      </c>
      <c r="E252">
        <f>SUMIF('Entradas '!B:B,Inventario!A252,'Entradas '!F:F)-SUMIF('Salidas '!B:B,Inventario!A252,'Salidas '!F:F)</f>
        <v>91.7</v>
      </c>
    </row>
    <row r="253" spans="1:5" x14ac:dyDescent="0.25">
      <c r="A253" s="30">
        <f>'Entradas '!B:B</f>
        <v>200700025</v>
      </c>
      <c r="B253" t="str">
        <f>VLOOKUP(A253,'Entradas '!B:F,3,FALSE)</f>
        <v>Pet-G  pelicula  45 mic. CH 667 mm</v>
      </c>
      <c r="C253">
        <f>VLOOKUP(A253,'Entradas '!B:F,4,FALSE)</f>
        <v>2350</v>
      </c>
      <c r="D253">
        <f>VLOOKUP(A253,'Entradas '!B:F,5,FALSE)</f>
        <v>92.5</v>
      </c>
      <c r="E253">
        <f>SUMIF('Entradas '!B:B,Inventario!A253,'Entradas '!F:F)-SUMIF('Salidas '!B:B,Inventario!A253,'Salidas '!F:F)</f>
        <v>92.5</v>
      </c>
    </row>
    <row r="254" spans="1:5" x14ac:dyDescent="0.25">
      <c r="A254" s="30">
        <f>'Entradas '!B:B</f>
        <v>200700026</v>
      </c>
      <c r="B254" t="str">
        <f>VLOOKUP(A254,'Entradas '!B:F,3,FALSE)</f>
        <v>Pet-G  pelicula  45 mic. CH 667 mm</v>
      </c>
      <c r="C254">
        <f>VLOOKUP(A254,'Entradas '!B:F,4,FALSE)</f>
        <v>2251</v>
      </c>
      <c r="D254">
        <f>VLOOKUP(A254,'Entradas '!B:F,5,FALSE)</f>
        <v>92.4</v>
      </c>
      <c r="E254">
        <f>SUMIF('Entradas '!B:B,Inventario!A254,'Entradas '!F:F)-SUMIF('Salidas '!B:B,Inventario!A254,'Salidas '!F:F)</f>
        <v>92.4</v>
      </c>
    </row>
    <row r="255" spans="1:5" x14ac:dyDescent="0.25">
      <c r="A255" s="30">
        <f>'Entradas '!B:B</f>
        <v>200700027</v>
      </c>
      <c r="B255" t="str">
        <f>VLOOKUP(A255,'Entradas '!B:F,3,FALSE)</f>
        <v>Pet-G  pelicula  45 mic. CH 667 mm</v>
      </c>
      <c r="C255">
        <f>VLOOKUP(A255,'Entradas '!B:F,4,FALSE)</f>
        <v>2150</v>
      </c>
      <c r="D255">
        <f>VLOOKUP(A255,'Entradas '!B:F,5,FALSE)</f>
        <v>88.5</v>
      </c>
      <c r="E255">
        <f>SUMIF('Entradas '!B:B,Inventario!A255,'Entradas '!F:F)-SUMIF('Salidas '!B:B,Inventario!A255,'Salidas '!F:F)</f>
        <v>88.5</v>
      </c>
    </row>
    <row r="256" spans="1:5" x14ac:dyDescent="0.25">
      <c r="A256" s="30">
        <f>'Entradas '!B:B</f>
        <v>200700028</v>
      </c>
      <c r="B256" t="str">
        <f>VLOOKUP(A256,'Entradas '!B:F,3,FALSE)</f>
        <v>Pet-G  pelicula  45 mic. CH 667 mm</v>
      </c>
      <c r="C256">
        <f>VLOOKUP(A256,'Entradas '!B:F,4,FALSE)</f>
        <v>2234</v>
      </c>
      <c r="D256">
        <f>VLOOKUP(A256,'Entradas '!B:F,5,FALSE)</f>
        <v>91.4</v>
      </c>
      <c r="E256">
        <f>SUMIF('Entradas '!B:B,Inventario!A256,'Entradas '!F:F)-SUMIF('Salidas '!B:B,Inventario!A256,'Salidas '!F:F)</f>
        <v>91.4</v>
      </c>
    </row>
    <row r="257" spans="1:5" x14ac:dyDescent="0.25">
      <c r="A257" s="30">
        <f>'Entradas '!B:B</f>
        <v>200700029</v>
      </c>
      <c r="B257" t="str">
        <f>VLOOKUP(A257,'Entradas '!B:F,3,FALSE)</f>
        <v>Pet-G  pelicula  45 mic. CH 667 mm</v>
      </c>
      <c r="C257">
        <f>VLOOKUP(A257,'Entradas '!B:F,4,FALSE)</f>
        <v>2103</v>
      </c>
      <c r="D257">
        <f>VLOOKUP(A257,'Entradas '!B:F,5,FALSE)</f>
        <v>83.4</v>
      </c>
      <c r="E257">
        <f>SUMIF('Entradas '!B:B,Inventario!A257,'Entradas '!F:F)-SUMIF('Salidas '!B:B,Inventario!A257,'Salidas '!F:F)</f>
        <v>83.4</v>
      </c>
    </row>
    <row r="258" spans="1:5" x14ac:dyDescent="0.25">
      <c r="A258" s="30">
        <f>'Entradas '!B:B</f>
        <v>200700030</v>
      </c>
      <c r="B258" t="str">
        <f>VLOOKUP(A258,'Entradas '!B:F,3,FALSE)</f>
        <v>Pet-G  pelicula  45 mic. CH 667 mm</v>
      </c>
      <c r="C258">
        <f>VLOOKUP(A258,'Entradas '!B:F,4,FALSE)</f>
        <v>2150</v>
      </c>
      <c r="D258">
        <f>VLOOKUP(A258,'Entradas '!B:F,5,FALSE)</f>
        <v>87.4</v>
      </c>
      <c r="E258">
        <f>SUMIF('Entradas '!B:B,Inventario!A258,'Entradas '!F:F)-SUMIF('Salidas '!B:B,Inventario!A258,'Salidas '!F:F)</f>
        <v>87.4</v>
      </c>
    </row>
    <row r="259" spans="1:5" x14ac:dyDescent="0.25">
      <c r="A259" s="30">
        <f>'Entradas '!B:B</f>
        <v>200700031</v>
      </c>
      <c r="B259" t="str">
        <f>VLOOKUP(A259,'Entradas '!B:F,3,FALSE)</f>
        <v>Pet-G  pelicula  45 mic. CH 667 mm</v>
      </c>
      <c r="C259">
        <f>VLOOKUP(A259,'Entradas '!B:F,4,FALSE)</f>
        <v>2103</v>
      </c>
      <c r="D259">
        <f>VLOOKUP(A259,'Entradas '!B:F,5,FALSE)</f>
        <v>84.3</v>
      </c>
      <c r="E259">
        <f>SUMIF('Entradas '!B:B,Inventario!A259,'Entradas '!F:F)-SUMIF('Salidas '!B:B,Inventario!A259,'Salidas '!F:F)</f>
        <v>84.3</v>
      </c>
    </row>
    <row r="260" spans="1:5" x14ac:dyDescent="0.25">
      <c r="A260" s="30">
        <f>'Entradas '!B:B</f>
        <v>200700032</v>
      </c>
      <c r="B260" t="str">
        <f>VLOOKUP(A260,'Entradas '!B:F,3,FALSE)</f>
        <v>Pet-G  pelicula  45 mic. CH 667 mm</v>
      </c>
      <c r="C260">
        <f>VLOOKUP(A260,'Entradas '!B:F,4,FALSE)</f>
        <v>2231</v>
      </c>
      <c r="D260">
        <f>VLOOKUP(A260,'Entradas '!B:F,5,FALSE)</f>
        <v>91.2</v>
      </c>
      <c r="E260">
        <f>SUMIF('Entradas '!B:B,Inventario!A260,'Entradas '!F:F)-SUMIF('Salidas '!B:B,Inventario!A260,'Salidas '!F:F)</f>
        <v>91.2</v>
      </c>
    </row>
    <row r="261" spans="1:5" x14ac:dyDescent="0.25">
      <c r="A261" s="30">
        <f>'Entradas '!B:B</f>
        <v>200700033</v>
      </c>
      <c r="B261" t="str">
        <f>VLOOKUP(A261,'Entradas '!B:F,3,FALSE)</f>
        <v>Pet-G  pelicula  45 mic. CH 667 mm</v>
      </c>
      <c r="C261">
        <f>VLOOKUP(A261,'Entradas '!B:F,4,FALSE)</f>
        <v>2234</v>
      </c>
      <c r="D261">
        <f>VLOOKUP(A261,'Entradas '!B:F,5,FALSE)</f>
        <v>92.3</v>
      </c>
      <c r="E261">
        <f>SUMIF('Entradas '!B:B,Inventario!A261,'Entradas '!F:F)-SUMIF('Salidas '!B:B,Inventario!A261,'Salidas '!F:F)</f>
        <v>92.3</v>
      </c>
    </row>
    <row r="262" spans="1:5" x14ac:dyDescent="0.25">
      <c r="A262" s="30">
        <f>'Entradas '!B:B</f>
        <v>300670001</v>
      </c>
      <c r="B262" t="str">
        <f>VLOOKUP(A262,'Entradas '!B:F,3,FALSE)</f>
        <v>Pet-G  pelicula  40 mic. CH 667 mm</v>
      </c>
      <c r="C262">
        <f>VLOOKUP(A262,'Entradas '!B:F,4,FALSE)</f>
        <v>2200</v>
      </c>
      <c r="D262">
        <f>VLOOKUP(A262,'Entradas '!B:F,5,FALSE)</f>
        <v>77</v>
      </c>
      <c r="E262">
        <f>SUMIF('Entradas '!B:B,Inventario!A262,'Entradas '!F:F)-SUMIF('Salidas '!B:B,Inventario!A262,'Salidas '!F:F)</f>
        <v>0</v>
      </c>
    </row>
    <row r="263" spans="1:5" x14ac:dyDescent="0.25">
      <c r="A263" s="30">
        <f>'Entradas '!B:B</f>
        <v>300670002</v>
      </c>
      <c r="B263" t="str">
        <f>VLOOKUP(A263,'Entradas '!B:F,3,FALSE)</f>
        <v>Pet-G  pelicula  40 mic. CH 667 mm</v>
      </c>
      <c r="C263">
        <f>VLOOKUP(A263,'Entradas '!B:F,4,FALSE)</f>
        <v>2200</v>
      </c>
      <c r="D263">
        <f>VLOOKUP(A263,'Entradas '!B:F,5,FALSE)</f>
        <v>77</v>
      </c>
      <c r="E263">
        <f>SUMIF('Entradas '!B:B,Inventario!A263,'Entradas '!F:F)-SUMIF('Salidas '!B:B,Inventario!A263,'Salidas '!F:F)</f>
        <v>0</v>
      </c>
    </row>
    <row r="264" spans="1:5" x14ac:dyDescent="0.25">
      <c r="A264" s="30">
        <f>'Entradas '!B:B</f>
        <v>300670003</v>
      </c>
      <c r="B264" t="str">
        <f>VLOOKUP(A264,'Entradas '!B:F,3,FALSE)</f>
        <v>Pet-G  pelicula  40 mic. CH 667 mm</v>
      </c>
      <c r="C264">
        <f>VLOOKUP(A264,'Entradas '!B:F,4,FALSE)</f>
        <v>2200</v>
      </c>
      <c r="D264">
        <f>VLOOKUP(A264,'Entradas '!B:F,5,FALSE)</f>
        <v>77</v>
      </c>
      <c r="E264">
        <f>SUMIF('Entradas '!B:B,Inventario!A264,'Entradas '!F:F)-SUMIF('Salidas '!B:B,Inventario!A264,'Salidas '!F:F)</f>
        <v>0</v>
      </c>
    </row>
    <row r="265" spans="1:5" x14ac:dyDescent="0.25">
      <c r="A265" s="30">
        <f>'Entradas '!B:B</f>
        <v>300670004</v>
      </c>
      <c r="B265" t="str">
        <f>VLOOKUP(A265,'Entradas '!B:F,3,FALSE)</f>
        <v>Pet-G  pelicula  40 mic. CH 667 mm</v>
      </c>
      <c r="C265">
        <f>VLOOKUP(A265,'Entradas '!B:F,4,FALSE)</f>
        <v>2200</v>
      </c>
      <c r="D265">
        <f>VLOOKUP(A265,'Entradas '!B:F,5,FALSE)</f>
        <v>77</v>
      </c>
      <c r="E265">
        <f>SUMIF('Entradas '!B:B,Inventario!A265,'Entradas '!F:F)-SUMIF('Salidas '!B:B,Inventario!A265,'Salidas '!F:F)</f>
        <v>0</v>
      </c>
    </row>
    <row r="266" spans="1:5" x14ac:dyDescent="0.25">
      <c r="A266" s="30">
        <f>'Entradas '!B:B</f>
        <v>300670005</v>
      </c>
      <c r="B266" t="str">
        <f>VLOOKUP(A266,'Entradas '!B:F,3,FALSE)</f>
        <v>Pet-G  pelicula  40 mic. CH 667 mm</v>
      </c>
      <c r="C266">
        <f>VLOOKUP(A266,'Entradas '!B:F,4,FALSE)</f>
        <v>2200</v>
      </c>
      <c r="D266">
        <f>VLOOKUP(A266,'Entradas '!B:F,5,FALSE)</f>
        <v>77</v>
      </c>
      <c r="E266">
        <f>SUMIF('Entradas '!B:B,Inventario!A266,'Entradas '!F:F)-SUMIF('Salidas '!B:B,Inventario!A266,'Salidas '!F:F)</f>
        <v>0</v>
      </c>
    </row>
    <row r="267" spans="1:5" x14ac:dyDescent="0.25">
      <c r="A267" s="30">
        <f>'Entradas '!B:B</f>
        <v>300670006</v>
      </c>
      <c r="B267" t="str">
        <f>VLOOKUP(A267,'Entradas '!B:F,3,FALSE)</f>
        <v>Pet-G  pelicula  40 mic. CH 667 mm</v>
      </c>
      <c r="C267">
        <f>VLOOKUP(A267,'Entradas '!B:F,4,FALSE)</f>
        <v>2200</v>
      </c>
      <c r="D267">
        <f>VLOOKUP(A267,'Entradas '!B:F,5,FALSE)</f>
        <v>77</v>
      </c>
      <c r="E267">
        <f>SUMIF('Entradas '!B:B,Inventario!A267,'Entradas '!F:F)-SUMIF('Salidas '!B:B,Inventario!A267,'Salidas '!F:F)</f>
        <v>0</v>
      </c>
    </row>
    <row r="268" spans="1:5" x14ac:dyDescent="0.25">
      <c r="A268" s="30">
        <f>'Entradas '!B:B</f>
        <v>300670007</v>
      </c>
      <c r="B268" t="str">
        <f>VLOOKUP(A268,'Entradas '!B:F,3,FALSE)</f>
        <v>Pet-G  pelicula  40 mic. CH 667 mm</v>
      </c>
      <c r="C268">
        <f>VLOOKUP(A268,'Entradas '!B:F,4,FALSE)</f>
        <v>2200</v>
      </c>
      <c r="D268">
        <f>VLOOKUP(A268,'Entradas '!B:F,5,FALSE)</f>
        <v>77</v>
      </c>
      <c r="E268">
        <f>SUMIF('Entradas '!B:B,Inventario!A268,'Entradas '!F:F)-SUMIF('Salidas '!B:B,Inventario!A268,'Salidas '!F:F)</f>
        <v>0</v>
      </c>
    </row>
    <row r="269" spans="1:5" x14ac:dyDescent="0.25">
      <c r="A269" s="30">
        <f>'Entradas '!B:B</f>
        <v>300670008</v>
      </c>
      <c r="B269" t="str">
        <f>VLOOKUP(A269,'Entradas '!B:F,3,FALSE)</f>
        <v>Pet-G  pelicula  40 mic. CH 667 mm</v>
      </c>
      <c r="C269">
        <f>VLOOKUP(A269,'Entradas '!B:F,4,FALSE)</f>
        <v>2200</v>
      </c>
      <c r="D269">
        <f>VLOOKUP(A269,'Entradas '!B:F,5,FALSE)</f>
        <v>77</v>
      </c>
      <c r="E269">
        <f>SUMIF('Entradas '!B:B,Inventario!A269,'Entradas '!F:F)-SUMIF('Salidas '!B:B,Inventario!A269,'Salidas '!F:F)</f>
        <v>0</v>
      </c>
    </row>
    <row r="270" spans="1:5" x14ac:dyDescent="0.25">
      <c r="A270" s="30">
        <f>'Entradas '!B:B</f>
        <v>300670009</v>
      </c>
      <c r="B270" t="str">
        <f>VLOOKUP(A270,'Entradas '!B:F,3,FALSE)</f>
        <v>Pet-G  pelicula  40 mic. CH 667 mm</v>
      </c>
      <c r="C270">
        <f>VLOOKUP(A270,'Entradas '!B:F,4,FALSE)</f>
        <v>2200</v>
      </c>
      <c r="D270">
        <f>VLOOKUP(A270,'Entradas '!B:F,5,FALSE)</f>
        <v>77</v>
      </c>
      <c r="E270">
        <f>SUMIF('Entradas '!B:B,Inventario!A270,'Entradas '!F:F)-SUMIF('Salidas '!B:B,Inventario!A270,'Salidas '!F:F)</f>
        <v>0</v>
      </c>
    </row>
    <row r="271" spans="1:5" x14ac:dyDescent="0.25">
      <c r="A271" s="30">
        <f>'Entradas '!B:B</f>
        <v>300670010</v>
      </c>
      <c r="B271" t="str">
        <f>VLOOKUP(A271,'Entradas '!B:F,3,FALSE)</f>
        <v>Pet-G  pelicula  40 mic. CH 667 mm</v>
      </c>
      <c r="C271">
        <f>VLOOKUP(A271,'Entradas '!B:F,4,FALSE)</f>
        <v>2200</v>
      </c>
      <c r="D271">
        <f>VLOOKUP(A271,'Entradas '!B:F,5,FALSE)</f>
        <v>77</v>
      </c>
      <c r="E271">
        <f>SUMIF('Entradas '!B:B,Inventario!A271,'Entradas '!F:F)-SUMIF('Salidas '!B:B,Inventario!A271,'Salidas '!F:F)</f>
        <v>0</v>
      </c>
    </row>
    <row r="272" spans="1:5" x14ac:dyDescent="0.25">
      <c r="A272" s="30">
        <f>'Entradas '!B:B</f>
        <v>300670011</v>
      </c>
      <c r="B272" t="str">
        <f>VLOOKUP(A272,'Entradas '!B:F,3,FALSE)</f>
        <v>Pet-G  pelicula  40 mic. CH 667 mm</v>
      </c>
      <c r="C272">
        <f>VLOOKUP(A272,'Entradas '!B:F,4,FALSE)</f>
        <v>2200</v>
      </c>
      <c r="D272">
        <f>VLOOKUP(A272,'Entradas '!B:F,5,FALSE)</f>
        <v>77</v>
      </c>
      <c r="E272">
        <f>SUMIF('Entradas '!B:B,Inventario!A272,'Entradas '!F:F)-SUMIF('Salidas '!B:B,Inventario!A272,'Salidas '!F:F)</f>
        <v>0</v>
      </c>
    </row>
    <row r="273" spans="1:5" x14ac:dyDescent="0.25">
      <c r="A273" s="30">
        <f>'Entradas '!B:B</f>
        <v>300670012</v>
      </c>
      <c r="B273" t="str">
        <f>VLOOKUP(A273,'Entradas '!B:F,3,FALSE)</f>
        <v>Pet-G  pelicula  40 mic. CH 667 mm</v>
      </c>
      <c r="C273">
        <f>VLOOKUP(A273,'Entradas '!B:F,4,FALSE)</f>
        <v>2200</v>
      </c>
      <c r="D273">
        <f>VLOOKUP(A273,'Entradas '!B:F,5,FALSE)</f>
        <v>77</v>
      </c>
      <c r="E273">
        <f>SUMIF('Entradas '!B:B,Inventario!A273,'Entradas '!F:F)-SUMIF('Salidas '!B:B,Inventario!A273,'Salidas '!F:F)</f>
        <v>0</v>
      </c>
    </row>
    <row r="274" spans="1:5" x14ac:dyDescent="0.25">
      <c r="A274" s="30">
        <f>'Entradas '!B:B</f>
        <v>300670013</v>
      </c>
      <c r="B274" t="str">
        <f>VLOOKUP(A274,'Entradas '!B:F,3,FALSE)</f>
        <v>Pet-G  pelicula  40 mic. CH 667 mm</v>
      </c>
      <c r="C274">
        <f>VLOOKUP(A274,'Entradas '!B:F,4,FALSE)</f>
        <v>2200</v>
      </c>
      <c r="D274">
        <f>VLOOKUP(A274,'Entradas '!B:F,5,FALSE)</f>
        <v>77</v>
      </c>
      <c r="E274">
        <f>SUMIF('Entradas '!B:B,Inventario!A274,'Entradas '!F:F)-SUMIF('Salidas '!B:B,Inventario!A274,'Salidas '!F:F)</f>
        <v>0</v>
      </c>
    </row>
    <row r="275" spans="1:5" x14ac:dyDescent="0.25">
      <c r="A275" s="30">
        <f>'Entradas '!B:B</f>
        <v>300670014</v>
      </c>
      <c r="B275" t="str">
        <f>VLOOKUP(A275,'Entradas '!B:F,3,FALSE)</f>
        <v>Pet-G  pelicula  40 mic. CH 667 mm</v>
      </c>
      <c r="C275">
        <f>VLOOKUP(A275,'Entradas '!B:F,4,FALSE)</f>
        <v>2200</v>
      </c>
      <c r="D275">
        <f>VLOOKUP(A275,'Entradas '!B:F,5,FALSE)</f>
        <v>77</v>
      </c>
      <c r="E275">
        <f>SUMIF('Entradas '!B:B,Inventario!A275,'Entradas '!F:F)-SUMIF('Salidas '!B:B,Inventario!A275,'Salidas '!F:F)</f>
        <v>0</v>
      </c>
    </row>
    <row r="276" spans="1:5" x14ac:dyDescent="0.25">
      <c r="A276" s="30">
        <f>'Entradas '!B:B</f>
        <v>300670015</v>
      </c>
      <c r="B276" t="str">
        <f>VLOOKUP(A276,'Entradas '!B:F,3,FALSE)</f>
        <v>Pet-G  pelicula  40 mic. CH 667 mm</v>
      </c>
      <c r="C276">
        <f>VLOOKUP(A276,'Entradas '!B:F,4,FALSE)</f>
        <v>2200</v>
      </c>
      <c r="D276">
        <f>VLOOKUP(A276,'Entradas '!B:F,5,FALSE)</f>
        <v>77</v>
      </c>
      <c r="E276">
        <f>SUMIF('Entradas '!B:B,Inventario!A276,'Entradas '!F:F)-SUMIF('Salidas '!B:B,Inventario!A276,'Salidas '!F:F)</f>
        <v>0</v>
      </c>
    </row>
    <row r="277" spans="1:5" x14ac:dyDescent="0.25">
      <c r="A277" s="30">
        <f>'Entradas '!B:B</f>
        <v>300670016</v>
      </c>
      <c r="B277" t="str">
        <f>VLOOKUP(A277,'Entradas '!B:F,3,FALSE)</f>
        <v>Pet-G  pelicula  40 mic. CH 667 mm</v>
      </c>
      <c r="C277">
        <f>VLOOKUP(A277,'Entradas '!B:F,4,FALSE)</f>
        <v>2200</v>
      </c>
      <c r="D277">
        <f>VLOOKUP(A277,'Entradas '!B:F,5,FALSE)</f>
        <v>77</v>
      </c>
      <c r="E277">
        <f>SUMIF('Entradas '!B:B,Inventario!A277,'Entradas '!F:F)-SUMIF('Salidas '!B:B,Inventario!A277,'Salidas '!F:F)</f>
        <v>0</v>
      </c>
    </row>
    <row r="278" spans="1:5" x14ac:dyDescent="0.25">
      <c r="A278" s="30">
        <f>'Entradas '!B:B</f>
        <v>300670017</v>
      </c>
      <c r="B278" t="str">
        <f>VLOOKUP(A278,'Entradas '!B:F,3,FALSE)</f>
        <v>Pet-G  pelicula  40 mic. CH 667 mm</v>
      </c>
      <c r="C278">
        <f>VLOOKUP(A278,'Entradas '!B:F,4,FALSE)</f>
        <v>2200</v>
      </c>
      <c r="D278">
        <f>VLOOKUP(A278,'Entradas '!B:F,5,FALSE)</f>
        <v>77</v>
      </c>
      <c r="E278">
        <f>SUMIF('Entradas '!B:B,Inventario!A278,'Entradas '!F:F)-SUMIF('Salidas '!B:B,Inventario!A278,'Salidas '!F:F)</f>
        <v>0</v>
      </c>
    </row>
    <row r="279" spans="1:5" x14ac:dyDescent="0.25">
      <c r="A279" s="30">
        <f>'Entradas '!B:B</f>
        <v>300670018</v>
      </c>
      <c r="B279" t="str">
        <f>VLOOKUP(A279,'Entradas '!B:F,3,FALSE)</f>
        <v>Pet-G  pelicula  40 mic. CH 667 mm</v>
      </c>
      <c r="C279">
        <f>VLOOKUP(A279,'Entradas '!B:F,4,FALSE)</f>
        <v>2200</v>
      </c>
      <c r="D279">
        <f>VLOOKUP(A279,'Entradas '!B:F,5,FALSE)</f>
        <v>77</v>
      </c>
      <c r="E279">
        <f>SUMIF('Entradas '!B:B,Inventario!A279,'Entradas '!F:F)-SUMIF('Salidas '!B:B,Inventario!A279,'Salidas '!F:F)</f>
        <v>0</v>
      </c>
    </row>
    <row r="280" spans="1:5" x14ac:dyDescent="0.25">
      <c r="A280" s="30">
        <f>'Entradas '!B:B</f>
        <v>300670019</v>
      </c>
      <c r="B280" t="str">
        <f>VLOOKUP(A280,'Entradas '!B:F,3,FALSE)</f>
        <v>Pet-G  pelicula  40 mic. CH 667 mm</v>
      </c>
      <c r="C280">
        <f>VLOOKUP(A280,'Entradas '!B:F,4,FALSE)</f>
        <v>2200</v>
      </c>
      <c r="D280">
        <f>VLOOKUP(A280,'Entradas '!B:F,5,FALSE)</f>
        <v>77</v>
      </c>
      <c r="E280">
        <f>SUMIF('Entradas '!B:B,Inventario!A280,'Entradas '!F:F)-SUMIF('Salidas '!B:B,Inventario!A280,'Salidas '!F:F)</f>
        <v>0</v>
      </c>
    </row>
    <row r="281" spans="1:5" x14ac:dyDescent="0.25">
      <c r="A281" s="30">
        <f>'Entradas '!B:B</f>
        <v>300670020</v>
      </c>
      <c r="B281" t="str">
        <f>VLOOKUP(A281,'Entradas '!B:F,3,FALSE)</f>
        <v>Pet-G  pelicula  40 mic. CH 667 mm</v>
      </c>
      <c r="C281">
        <f>VLOOKUP(A281,'Entradas '!B:F,4,FALSE)</f>
        <v>2200</v>
      </c>
      <c r="D281">
        <f>VLOOKUP(A281,'Entradas '!B:F,5,FALSE)</f>
        <v>77</v>
      </c>
      <c r="E281">
        <f>SUMIF('Entradas '!B:B,Inventario!A281,'Entradas '!F:F)-SUMIF('Salidas '!B:B,Inventario!A281,'Salidas '!F:F)</f>
        <v>0</v>
      </c>
    </row>
    <row r="282" spans="1:5" x14ac:dyDescent="0.25">
      <c r="A282" s="30">
        <f>'Entradas '!B:B</f>
        <v>300670021</v>
      </c>
      <c r="B282" t="str">
        <f>VLOOKUP(A282,'Entradas '!B:F,3,FALSE)</f>
        <v>Pet-G  pelicula  40 mic. CH 667 mm</v>
      </c>
      <c r="C282">
        <f>VLOOKUP(A282,'Entradas '!B:F,4,FALSE)</f>
        <v>2200</v>
      </c>
      <c r="D282">
        <f>VLOOKUP(A282,'Entradas '!B:F,5,FALSE)</f>
        <v>77</v>
      </c>
      <c r="E282">
        <f>SUMIF('Entradas '!B:B,Inventario!A282,'Entradas '!F:F)-SUMIF('Salidas '!B:B,Inventario!A282,'Salidas '!F:F)</f>
        <v>0</v>
      </c>
    </row>
    <row r="283" spans="1:5" x14ac:dyDescent="0.25">
      <c r="A283" s="30">
        <f>'Entradas '!B:B</f>
        <v>300670022</v>
      </c>
      <c r="B283" t="str">
        <f>VLOOKUP(A283,'Entradas '!B:F,3,FALSE)</f>
        <v>Pet-G  pelicula  40 mic. CH 667 mm</v>
      </c>
      <c r="C283">
        <f>VLOOKUP(A283,'Entradas '!B:F,4,FALSE)</f>
        <v>2200</v>
      </c>
      <c r="D283">
        <f>VLOOKUP(A283,'Entradas '!B:F,5,FALSE)</f>
        <v>77</v>
      </c>
      <c r="E283">
        <f>SUMIF('Entradas '!B:B,Inventario!A283,'Entradas '!F:F)-SUMIF('Salidas '!B:B,Inventario!A283,'Salidas '!F:F)</f>
        <v>0</v>
      </c>
    </row>
    <row r="284" spans="1:5" x14ac:dyDescent="0.25">
      <c r="A284" s="30">
        <f>'Entradas '!B:B</f>
        <v>300670023</v>
      </c>
      <c r="B284" t="str">
        <f>VLOOKUP(A284,'Entradas '!B:F,3,FALSE)</f>
        <v>Pet-G  pelicula  40 mic. CH 667 mm</v>
      </c>
      <c r="C284">
        <f>VLOOKUP(A284,'Entradas '!B:F,4,FALSE)</f>
        <v>2200</v>
      </c>
      <c r="D284">
        <f>VLOOKUP(A284,'Entradas '!B:F,5,FALSE)</f>
        <v>77</v>
      </c>
      <c r="E284">
        <f>SUMIF('Entradas '!B:B,Inventario!A284,'Entradas '!F:F)-SUMIF('Salidas '!B:B,Inventario!A284,'Salidas '!F:F)</f>
        <v>0</v>
      </c>
    </row>
    <row r="285" spans="1:5" x14ac:dyDescent="0.25">
      <c r="A285" s="30">
        <f>'Entradas '!B:B</f>
        <v>300670024</v>
      </c>
      <c r="B285" t="str">
        <f>VLOOKUP(A285,'Entradas '!B:F,3,FALSE)</f>
        <v>Pet-G  pelicula  40 mic. CH 667 mm</v>
      </c>
      <c r="C285">
        <f>VLOOKUP(A285,'Entradas '!B:F,4,FALSE)</f>
        <v>2200</v>
      </c>
      <c r="D285">
        <f>VLOOKUP(A285,'Entradas '!B:F,5,FALSE)</f>
        <v>77</v>
      </c>
      <c r="E285">
        <f>SUMIF('Entradas '!B:B,Inventario!A285,'Entradas '!F:F)-SUMIF('Salidas '!B:B,Inventario!A285,'Salidas '!F:F)</f>
        <v>0</v>
      </c>
    </row>
    <row r="286" spans="1:5" x14ac:dyDescent="0.25">
      <c r="A286" s="30">
        <f>'Entradas '!B:B</f>
        <v>300670025</v>
      </c>
      <c r="B286" t="str">
        <f>VLOOKUP(A286,'Entradas '!B:F,3,FALSE)</f>
        <v>Pet-G  pelicula  40 mic. CH 667 mm</v>
      </c>
      <c r="C286">
        <f>VLOOKUP(A286,'Entradas '!B:F,4,FALSE)</f>
        <v>2200</v>
      </c>
      <c r="D286">
        <f>VLOOKUP(A286,'Entradas '!B:F,5,FALSE)</f>
        <v>77</v>
      </c>
      <c r="E286">
        <f>SUMIF('Entradas '!B:B,Inventario!A286,'Entradas '!F:F)-SUMIF('Salidas '!B:B,Inventario!A286,'Salidas '!F:F)</f>
        <v>0</v>
      </c>
    </row>
    <row r="287" spans="1:5" x14ac:dyDescent="0.25">
      <c r="A287" s="30">
        <f>'Entradas '!B:B</f>
        <v>300670026</v>
      </c>
      <c r="B287" t="str">
        <f>VLOOKUP(A287,'Entradas '!B:F,3,FALSE)</f>
        <v>Pet-G  pelicula  40 mic. CH 667 mm</v>
      </c>
      <c r="C287">
        <f>VLOOKUP(A287,'Entradas '!B:F,4,FALSE)</f>
        <v>2200</v>
      </c>
      <c r="D287">
        <f>VLOOKUP(A287,'Entradas '!B:F,5,FALSE)</f>
        <v>77</v>
      </c>
      <c r="E287">
        <f>SUMIF('Entradas '!B:B,Inventario!A287,'Entradas '!F:F)-SUMIF('Salidas '!B:B,Inventario!A287,'Salidas '!F:F)</f>
        <v>0</v>
      </c>
    </row>
    <row r="288" spans="1:5" x14ac:dyDescent="0.25">
      <c r="A288" s="30">
        <f>'Entradas '!B:B</f>
        <v>300670027</v>
      </c>
      <c r="B288" t="str">
        <f>VLOOKUP(A288,'Entradas '!B:F,3,FALSE)</f>
        <v>Pet-G  pelicula  40 mic. CH 667 mm</v>
      </c>
      <c r="C288">
        <f>VLOOKUP(A288,'Entradas '!B:F,4,FALSE)</f>
        <v>2200</v>
      </c>
      <c r="D288">
        <f>VLOOKUP(A288,'Entradas '!B:F,5,FALSE)</f>
        <v>77</v>
      </c>
      <c r="E288">
        <f>SUMIF('Entradas '!B:B,Inventario!A288,'Entradas '!F:F)-SUMIF('Salidas '!B:B,Inventario!A288,'Salidas '!F:F)</f>
        <v>0</v>
      </c>
    </row>
    <row r="289" spans="1:5" x14ac:dyDescent="0.25">
      <c r="A289" s="30">
        <f>'Entradas '!B:B</f>
        <v>300670028</v>
      </c>
      <c r="B289" t="str">
        <f>VLOOKUP(A289,'Entradas '!B:F,3,FALSE)</f>
        <v>Pet-G  pelicula  40 mic. CH 667 mm</v>
      </c>
      <c r="C289">
        <f>VLOOKUP(A289,'Entradas '!B:F,4,FALSE)</f>
        <v>2200</v>
      </c>
      <c r="D289">
        <f>VLOOKUP(A289,'Entradas '!B:F,5,FALSE)</f>
        <v>77</v>
      </c>
      <c r="E289">
        <f>SUMIF('Entradas '!B:B,Inventario!A289,'Entradas '!F:F)-SUMIF('Salidas '!B:B,Inventario!A289,'Salidas '!F:F)</f>
        <v>0</v>
      </c>
    </row>
    <row r="290" spans="1:5" x14ac:dyDescent="0.25">
      <c r="A290" s="30">
        <f>'Entradas '!B:B</f>
        <v>300670029</v>
      </c>
      <c r="B290" t="str">
        <f>VLOOKUP(A290,'Entradas '!B:F,3,FALSE)</f>
        <v>Pet-G  pelicula  40 mic. CH 667 mm</v>
      </c>
      <c r="C290">
        <f>VLOOKUP(A290,'Entradas '!B:F,4,FALSE)</f>
        <v>2200</v>
      </c>
      <c r="D290">
        <f>VLOOKUP(A290,'Entradas '!B:F,5,FALSE)</f>
        <v>77</v>
      </c>
      <c r="E290">
        <f>SUMIF('Entradas '!B:B,Inventario!A290,'Entradas '!F:F)-SUMIF('Salidas '!B:B,Inventario!A290,'Salidas '!F:F)</f>
        <v>0</v>
      </c>
    </row>
    <row r="291" spans="1:5" x14ac:dyDescent="0.25">
      <c r="A291" s="30">
        <f>'Entradas '!B:B</f>
        <v>300670030</v>
      </c>
      <c r="B291" t="str">
        <f>VLOOKUP(A291,'Entradas '!B:F,3,FALSE)</f>
        <v>Pet-G  pelicula  40 mic. CH 667 mm</v>
      </c>
      <c r="C291">
        <f>VLOOKUP(A291,'Entradas '!B:F,4,FALSE)</f>
        <v>2200</v>
      </c>
      <c r="D291">
        <f>VLOOKUP(A291,'Entradas '!B:F,5,FALSE)</f>
        <v>77</v>
      </c>
      <c r="E291">
        <f>SUMIF('Entradas '!B:B,Inventario!A291,'Entradas '!F:F)-SUMIF('Salidas '!B:B,Inventario!A291,'Salidas '!F:F)</f>
        <v>0</v>
      </c>
    </row>
    <row r="292" spans="1:5" x14ac:dyDescent="0.25">
      <c r="A292" s="30">
        <f>'Entradas '!B:B</f>
        <v>300670031</v>
      </c>
      <c r="B292" t="str">
        <f>VLOOKUP(A292,'Entradas '!B:F,3,FALSE)</f>
        <v>Pet-G  pelicula  40 mic. CH 667 mm</v>
      </c>
      <c r="C292">
        <f>VLOOKUP(A292,'Entradas '!B:F,4,FALSE)</f>
        <v>2200</v>
      </c>
      <c r="D292">
        <f>VLOOKUP(A292,'Entradas '!B:F,5,FALSE)</f>
        <v>77</v>
      </c>
      <c r="E292">
        <f>SUMIF('Entradas '!B:B,Inventario!A292,'Entradas '!F:F)-SUMIF('Salidas '!B:B,Inventario!A292,'Salidas '!F:F)</f>
        <v>0</v>
      </c>
    </row>
    <row r="293" spans="1:5" x14ac:dyDescent="0.25">
      <c r="A293" s="30">
        <f>'Entradas '!B:B</f>
        <v>300670032</v>
      </c>
      <c r="B293" t="str">
        <f>VLOOKUP(A293,'Entradas '!B:F,3,FALSE)</f>
        <v>Pet-G  pelicula  40 mic. CH 667 mm</v>
      </c>
      <c r="C293">
        <f>VLOOKUP(A293,'Entradas '!B:F,4,FALSE)</f>
        <v>2200</v>
      </c>
      <c r="D293">
        <f>VLOOKUP(A293,'Entradas '!B:F,5,FALSE)</f>
        <v>77</v>
      </c>
      <c r="E293">
        <f>SUMIF('Entradas '!B:B,Inventario!A293,'Entradas '!F:F)-SUMIF('Salidas '!B:B,Inventario!A293,'Salidas '!F:F)</f>
        <v>0</v>
      </c>
    </row>
    <row r="294" spans="1:5" x14ac:dyDescent="0.25">
      <c r="A294" s="30">
        <f>'Entradas '!B:B</f>
        <v>300670033</v>
      </c>
      <c r="B294" t="str">
        <f>VLOOKUP(A294,'Entradas '!B:F,3,FALSE)</f>
        <v>Pet-G  pelicula  40 mic. CH 667 mm</v>
      </c>
      <c r="C294">
        <f>VLOOKUP(A294,'Entradas '!B:F,4,FALSE)</f>
        <v>2200</v>
      </c>
      <c r="D294">
        <f>VLOOKUP(A294,'Entradas '!B:F,5,FALSE)</f>
        <v>77</v>
      </c>
      <c r="E294">
        <f>SUMIF('Entradas '!B:B,Inventario!A294,'Entradas '!F:F)-SUMIF('Salidas '!B:B,Inventario!A294,'Salidas '!F:F)</f>
        <v>0</v>
      </c>
    </row>
    <row r="295" spans="1:5" x14ac:dyDescent="0.25">
      <c r="A295" s="30">
        <f>'Entradas '!B:B</f>
        <v>300670034</v>
      </c>
      <c r="B295" t="str">
        <f>VLOOKUP(A295,'Entradas '!B:F,3,FALSE)</f>
        <v>Pet-G  pelicula  40 mic. CH 667 mm</v>
      </c>
      <c r="C295">
        <f>VLOOKUP(A295,'Entradas '!B:F,4,FALSE)</f>
        <v>2200</v>
      </c>
      <c r="D295">
        <f>VLOOKUP(A295,'Entradas '!B:F,5,FALSE)</f>
        <v>77</v>
      </c>
      <c r="E295">
        <f>SUMIF('Entradas '!B:B,Inventario!A295,'Entradas '!F:F)-SUMIF('Salidas '!B:B,Inventario!A295,'Salidas '!F:F)</f>
        <v>0</v>
      </c>
    </row>
    <row r="296" spans="1:5" x14ac:dyDescent="0.25">
      <c r="A296" s="30">
        <f>'Entradas '!B:B</f>
        <v>300670035</v>
      </c>
      <c r="B296" t="str">
        <f>VLOOKUP(A296,'Entradas '!B:F,3,FALSE)</f>
        <v>Pet-G  pelicula  40 mic. CH 667 mm</v>
      </c>
      <c r="C296">
        <f>VLOOKUP(A296,'Entradas '!B:F,4,FALSE)</f>
        <v>2200</v>
      </c>
      <c r="D296">
        <f>VLOOKUP(A296,'Entradas '!B:F,5,FALSE)</f>
        <v>77</v>
      </c>
      <c r="E296">
        <f>SUMIF('Entradas '!B:B,Inventario!A296,'Entradas '!F:F)-SUMIF('Salidas '!B:B,Inventario!A296,'Salidas '!F:F)</f>
        <v>0</v>
      </c>
    </row>
    <row r="297" spans="1:5" x14ac:dyDescent="0.25">
      <c r="A297" s="30">
        <f>'Entradas '!B:B</f>
        <v>300670036</v>
      </c>
      <c r="B297" t="str">
        <f>VLOOKUP(A297,'Entradas '!B:F,3,FALSE)</f>
        <v>Pet-G  pelicula  40 mic. CH 667 mm</v>
      </c>
      <c r="C297">
        <f>VLOOKUP(A297,'Entradas '!B:F,4,FALSE)</f>
        <v>2200</v>
      </c>
      <c r="D297">
        <f>VLOOKUP(A297,'Entradas '!B:F,5,FALSE)</f>
        <v>77</v>
      </c>
      <c r="E297">
        <f>SUMIF('Entradas '!B:B,Inventario!A297,'Entradas '!F:F)-SUMIF('Salidas '!B:B,Inventario!A297,'Salidas '!F:F)</f>
        <v>0</v>
      </c>
    </row>
    <row r="298" spans="1:5" x14ac:dyDescent="0.25">
      <c r="A298" s="30">
        <f>'Entradas '!B:B</f>
        <v>300670037</v>
      </c>
      <c r="B298" t="str">
        <f>VLOOKUP(A298,'Entradas '!B:F,3,FALSE)</f>
        <v>Pet-G  pelicula  40 mic. CH 667 mm</v>
      </c>
      <c r="C298">
        <f>VLOOKUP(A298,'Entradas '!B:F,4,FALSE)</f>
        <v>2200</v>
      </c>
      <c r="D298">
        <f>VLOOKUP(A298,'Entradas '!B:F,5,FALSE)</f>
        <v>77</v>
      </c>
      <c r="E298">
        <f>SUMIF('Entradas '!B:B,Inventario!A298,'Entradas '!F:F)-SUMIF('Salidas '!B:B,Inventario!A298,'Salidas '!F:F)</f>
        <v>0</v>
      </c>
    </row>
    <row r="299" spans="1:5" x14ac:dyDescent="0.25">
      <c r="A299" s="30">
        <f>'Entradas '!B:B</f>
        <v>300670038</v>
      </c>
      <c r="B299" t="str">
        <f>VLOOKUP(A299,'Entradas '!B:F,3,FALSE)</f>
        <v>Pet-G  pelicula  40 mic. CH 667 mm</v>
      </c>
      <c r="C299">
        <f>VLOOKUP(A299,'Entradas '!B:F,4,FALSE)</f>
        <v>2200</v>
      </c>
      <c r="D299">
        <f>VLOOKUP(A299,'Entradas '!B:F,5,FALSE)</f>
        <v>77</v>
      </c>
      <c r="E299">
        <f>SUMIF('Entradas '!B:B,Inventario!A299,'Entradas '!F:F)-SUMIF('Salidas '!B:B,Inventario!A299,'Salidas '!F:F)</f>
        <v>0</v>
      </c>
    </row>
    <row r="300" spans="1:5" x14ac:dyDescent="0.25">
      <c r="A300" s="30">
        <f>'Entradas '!B:B</f>
        <v>300670039</v>
      </c>
      <c r="B300" t="str">
        <f>VLOOKUP(A300,'Entradas '!B:F,3,FALSE)</f>
        <v>Pet-G  pelicula  40 mic. CH 667 mm</v>
      </c>
      <c r="C300">
        <f>VLOOKUP(A300,'Entradas '!B:F,4,FALSE)</f>
        <v>2200</v>
      </c>
      <c r="D300">
        <f>VLOOKUP(A300,'Entradas '!B:F,5,FALSE)</f>
        <v>77</v>
      </c>
      <c r="E300">
        <f>SUMIF('Entradas '!B:B,Inventario!A300,'Entradas '!F:F)-SUMIF('Salidas '!B:B,Inventario!A300,'Salidas '!F:F)</f>
        <v>0</v>
      </c>
    </row>
    <row r="301" spans="1:5" x14ac:dyDescent="0.25">
      <c r="A301" s="30">
        <f>'Entradas '!B:B</f>
        <v>300670040</v>
      </c>
      <c r="B301" t="str">
        <f>VLOOKUP(A301,'Entradas '!B:F,3,FALSE)</f>
        <v>Pet-G  pelicula  40 mic. CH 667 mm</v>
      </c>
      <c r="C301">
        <f>VLOOKUP(A301,'Entradas '!B:F,4,FALSE)</f>
        <v>2200</v>
      </c>
      <c r="D301">
        <f>VLOOKUP(A301,'Entradas '!B:F,5,FALSE)</f>
        <v>77</v>
      </c>
      <c r="E301">
        <f>SUMIF('Entradas '!B:B,Inventario!A301,'Entradas '!F:F)-SUMIF('Salidas '!B:B,Inventario!A301,'Salidas '!F:F)</f>
        <v>0</v>
      </c>
    </row>
    <row r="302" spans="1:5" x14ac:dyDescent="0.25">
      <c r="A302" s="30">
        <f>'Entradas '!B:B</f>
        <v>300670041</v>
      </c>
      <c r="B302" t="str">
        <f>VLOOKUP(A302,'Entradas '!B:F,3,FALSE)</f>
        <v>Pet-G  pelicula  40 mic. CH 667 mm</v>
      </c>
      <c r="C302">
        <f>VLOOKUP(A302,'Entradas '!B:F,4,FALSE)</f>
        <v>2200</v>
      </c>
      <c r="D302">
        <f>VLOOKUP(A302,'Entradas '!B:F,5,FALSE)</f>
        <v>77</v>
      </c>
      <c r="E302">
        <f>SUMIF('Entradas '!B:B,Inventario!A302,'Entradas '!F:F)-SUMIF('Salidas '!B:B,Inventario!A302,'Salidas '!F:F)</f>
        <v>0</v>
      </c>
    </row>
    <row r="303" spans="1:5" x14ac:dyDescent="0.25">
      <c r="A303" s="30">
        <f>'Entradas '!B:B</f>
        <v>300670042</v>
      </c>
      <c r="B303" t="str">
        <f>VLOOKUP(A303,'Entradas '!B:F,3,FALSE)</f>
        <v>Pet-G  pelicula  40 mic. CH 667 mm</v>
      </c>
      <c r="C303">
        <f>VLOOKUP(A303,'Entradas '!B:F,4,FALSE)</f>
        <v>2200</v>
      </c>
      <c r="D303">
        <f>VLOOKUP(A303,'Entradas '!B:F,5,FALSE)</f>
        <v>77</v>
      </c>
      <c r="E303">
        <f>SUMIF('Entradas '!B:B,Inventario!A303,'Entradas '!F:F)-SUMIF('Salidas '!B:B,Inventario!A303,'Salidas '!F:F)</f>
        <v>0</v>
      </c>
    </row>
    <row r="304" spans="1:5" x14ac:dyDescent="0.25">
      <c r="A304" s="30">
        <f>'Entradas '!B:B</f>
        <v>300670043</v>
      </c>
      <c r="B304" t="str">
        <f>VLOOKUP(A304,'Entradas '!B:F,3,FALSE)</f>
        <v>Pet-G  pelicula  40 mic. CH 667 mm</v>
      </c>
      <c r="C304">
        <f>VLOOKUP(A304,'Entradas '!B:F,4,FALSE)</f>
        <v>2200</v>
      </c>
      <c r="D304">
        <f>VLOOKUP(A304,'Entradas '!B:F,5,FALSE)</f>
        <v>77</v>
      </c>
      <c r="E304">
        <f>SUMIF('Entradas '!B:B,Inventario!A304,'Entradas '!F:F)-SUMIF('Salidas '!B:B,Inventario!A304,'Salidas '!F:F)</f>
        <v>0</v>
      </c>
    </row>
    <row r="305" spans="1:5" x14ac:dyDescent="0.25">
      <c r="A305" s="30">
        <f>'Entradas '!B:B</f>
        <v>300670044</v>
      </c>
      <c r="B305" t="str">
        <f>VLOOKUP(A305,'Entradas '!B:F,3,FALSE)</f>
        <v>Pet-G  pelicula  40 mic. CH 667 mm</v>
      </c>
      <c r="C305">
        <f>VLOOKUP(A305,'Entradas '!B:F,4,FALSE)</f>
        <v>2200</v>
      </c>
      <c r="D305">
        <f>VLOOKUP(A305,'Entradas '!B:F,5,FALSE)</f>
        <v>77</v>
      </c>
      <c r="E305">
        <f>SUMIF('Entradas '!B:B,Inventario!A305,'Entradas '!F:F)-SUMIF('Salidas '!B:B,Inventario!A305,'Salidas '!F:F)</f>
        <v>0</v>
      </c>
    </row>
    <row r="306" spans="1:5" x14ac:dyDescent="0.25">
      <c r="A306" s="30">
        <f>'Entradas '!B:B</f>
        <v>300670045</v>
      </c>
      <c r="B306" t="str">
        <f>VLOOKUP(A306,'Entradas '!B:F,3,FALSE)</f>
        <v>Pet-G  pelicula  40 mic. CH 667 mm</v>
      </c>
      <c r="C306">
        <f>VLOOKUP(A306,'Entradas '!B:F,4,FALSE)</f>
        <v>2200</v>
      </c>
      <c r="D306">
        <f>VLOOKUP(A306,'Entradas '!B:F,5,FALSE)</f>
        <v>77</v>
      </c>
      <c r="E306">
        <f>SUMIF('Entradas '!B:B,Inventario!A306,'Entradas '!F:F)-SUMIF('Salidas '!B:B,Inventario!A306,'Salidas '!F:F)</f>
        <v>0</v>
      </c>
    </row>
    <row r="307" spans="1:5" x14ac:dyDescent="0.25">
      <c r="A307" s="30">
        <f>'Entradas '!B:B</f>
        <v>300670046</v>
      </c>
      <c r="B307" t="str">
        <f>VLOOKUP(A307,'Entradas '!B:F,3,FALSE)</f>
        <v>Pet-G  pelicula  40 mic. CH 667 mm</v>
      </c>
      <c r="C307">
        <f>VLOOKUP(A307,'Entradas '!B:F,4,FALSE)</f>
        <v>2200</v>
      </c>
      <c r="D307">
        <f>VLOOKUP(A307,'Entradas '!B:F,5,FALSE)</f>
        <v>77</v>
      </c>
      <c r="E307">
        <f>SUMIF('Entradas '!B:B,Inventario!A307,'Entradas '!F:F)-SUMIF('Salidas '!B:B,Inventario!A307,'Salidas '!F:F)</f>
        <v>0</v>
      </c>
    </row>
    <row r="308" spans="1:5" x14ac:dyDescent="0.25">
      <c r="A308" s="30">
        <f>'Entradas '!B:B</f>
        <v>300670047</v>
      </c>
      <c r="B308" t="str">
        <f>VLOOKUP(A308,'Entradas '!B:F,3,FALSE)</f>
        <v>Pet-G  pelicula  40 mic. CH 667 mm</v>
      </c>
      <c r="C308">
        <f>VLOOKUP(A308,'Entradas '!B:F,4,FALSE)</f>
        <v>2200</v>
      </c>
      <c r="D308">
        <f>VLOOKUP(A308,'Entradas '!B:F,5,FALSE)</f>
        <v>77</v>
      </c>
      <c r="E308">
        <f>SUMIF('Entradas '!B:B,Inventario!A308,'Entradas '!F:F)-SUMIF('Salidas '!B:B,Inventario!A308,'Salidas '!F:F)</f>
        <v>77</v>
      </c>
    </row>
    <row r="309" spans="1:5" x14ac:dyDescent="0.25">
      <c r="A309" s="30">
        <f>'Entradas '!B:B</f>
        <v>300670048</v>
      </c>
      <c r="B309" t="str">
        <f>VLOOKUP(A309,'Entradas '!B:F,3,FALSE)</f>
        <v>Pet-G  pelicula  40 mic. CH 667 mm</v>
      </c>
      <c r="C309">
        <f>VLOOKUP(A309,'Entradas '!B:F,4,FALSE)</f>
        <v>2200</v>
      </c>
      <c r="D309">
        <f>VLOOKUP(A309,'Entradas '!B:F,5,FALSE)</f>
        <v>77</v>
      </c>
      <c r="E309">
        <f>SUMIF('Entradas '!B:B,Inventario!A309,'Entradas '!F:F)-SUMIF('Salidas '!B:B,Inventario!A309,'Salidas '!F:F)</f>
        <v>77</v>
      </c>
    </row>
    <row r="310" spans="1:5" x14ac:dyDescent="0.25">
      <c r="A310" s="30">
        <f>'Entradas '!B:B</f>
        <v>300670049</v>
      </c>
      <c r="B310" t="str">
        <f>VLOOKUP(A310,'Entradas '!B:F,3,FALSE)</f>
        <v>Pet-G  pelicula  40 mic. CH 667 mm</v>
      </c>
      <c r="C310">
        <f>VLOOKUP(A310,'Entradas '!B:F,4,FALSE)</f>
        <v>2200</v>
      </c>
      <c r="D310">
        <f>VLOOKUP(A310,'Entradas '!B:F,5,FALSE)</f>
        <v>77</v>
      </c>
      <c r="E310">
        <f>SUMIF('Entradas '!B:B,Inventario!A310,'Entradas '!F:F)-SUMIF('Salidas '!B:B,Inventario!A310,'Salidas '!F:F)</f>
        <v>77</v>
      </c>
    </row>
    <row r="311" spans="1:5" x14ac:dyDescent="0.25">
      <c r="A311" s="30">
        <f>'Entradas '!B:B</f>
        <v>300670050</v>
      </c>
      <c r="B311" t="str">
        <f>VLOOKUP(A311,'Entradas '!B:F,3,FALSE)</f>
        <v>Pet-G  pelicula  40 mic. CH 667 mm</v>
      </c>
      <c r="C311">
        <f>VLOOKUP(A311,'Entradas '!B:F,4,FALSE)</f>
        <v>2200</v>
      </c>
      <c r="D311">
        <f>VLOOKUP(A311,'Entradas '!B:F,5,FALSE)</f>
        <v>77</v>
      </c>
      <c r="E311">
        <f>SUMIF('Entradas '!B:B,Inventario!A311,'Entradas '!F:F)-SUMIF('Salidas '!B:B,Inventario!A311,'Salidas '!F:F)</f>
        <v>77</v>
      </c>
    </row>
    <row r="312" spans="1:5" x14ac:dyDescent="0.25">
      <c r="A312" s="30">
        <f>'Entradas '!B:B</f>
        <v>300670051</v>
      </c>
      <c r="B312" t="str">
        <f>VLOOKUP(A312,'Entradas '!B:F,3,FALSE)</f>
        <v>Pet-G  pelicula  40 mic. CH 667 mm</v>
      </c>
      <c r="C312">
        <f>VLOOKUP(A312,'Entradas '!B:F,4,FALSE)</f>
        <v>2200</v>
      </c>
      <c r="D312">
        <f>VLOOKUP(A312,'Entradas '!B:F,5,FALSE)</f>
        <v>77</v>
      </c>
      <c r="E312">
        <f>SUMIF('Entradas '!B:B,Inventario!A312,'Entradas '!F:F)-SUMIF('Salidas '!B:B,Inventario!A312,'Salidas '!F:F)</f>
        <v>77</v>
      </c>
    </row>
    <row r="313" spans="1:5" x14ac:dyDescent="0.25">
      <c r="A313" s="30">
        <f>'Entradas '!B:B</f>
        <v>300670052</v>
      </c>
      <c r="B313" t="str">
        <f>VLOOKUP(A313,'Entradas '!B:F,3,FALSE)</f>
        <v>Pet-G  pelicula  40 mic. CH 667 mm</v>
      </c>
      <c r="C313">
        <f>VLOOKUP(A313,'Entradas '!B:F,4,FALSE)</f>
        <v>2200</v>
      </c>
      <c r="D313">
        <f>VLOOKUP(A313,'Entradas '!B:F,5,FALSE)</f>
        <v>77</v>
      </c>
      <c r="E313">
        <f>SUMIF('Entradas '!B:B,Inventario!A313,'Entradas '!F:F)-SUMIF('Salidas '!B:B,Inventario!A313,'Salidas '!F:F)</f>
        <v>77</v>
      </c>
    </row>
    <row r="314" spans="1:5" x14ac:dyDescent="0.25">
      <c r="A314" s="30">
        <f>'Entradas '!B:B</f>
        <v>300670053</v>
      </c>
      <c r="B314" t="str">
        <f>VLOOKUP(A314,'Entradas '!B:F,3,FALSE)</f>
        <v>Pet-G  pelicula  40 mic. CH 667 mm</v>
      </c>
      <c r="C314">
        <f>VLOOKUP(A314,'Entradas '!B:F,4,FALSE)</f>
        <v>2200</v>
      </c>
      <c r="D314">
        <f>VLOOKUP(A314,'Entradas '!B:F,5,FALSE)</f>
        <v>77</v>
      </c>
      <c r="E314">
        <f>SUMIF('Entradas '!B:B,Inventario!A314,'Entradas '!F:F)-SUMIF('Salidas '!B:B,Inventario!A314,'Salidas '!F:F)</f>
        <v>77</v>
      </c>
    </row>
    <row r="315" spans="1:5" x14ac:dyDescent="0.25">
      <c r="A315" s="30">
        <f>'Entradas '!B:B</f>
        <v>300670054</v>
      </c>
      <c r="B315" t="str">
        <f>VLOOKUP(A315,'Entradas '!B:F,3,FALSE)</f>
        <v>Pet-G  pelicula  40 mic. CH 667 mm</v>
      </c>
      <c r="C315">
        <f>VLOOKUP(A315,'Entradas '!B:F,4,FALSE)</f>
        <v>2200</v>
      </c>
      <c r="D315">
        <f>VLOOKUP(A315,'Entradas '!B:F,5,FALSE)</f>
        <v>77</v>
      </c>
      <c r="E315">
        <f>SUMIF('Entradas '!B:B,Inventario!A315,'Entradas '!F:F)-SUMIF('Salidas '!B:B,Inventario!A315,'Salidas '!F:F)</f>
        <v>77</v>
      </c>
    </row>
    <row r="316" spans="1:5" x14ac:dyDescent="0.25">
      <c r="A316" s="30">
        <f>'Entradas '!B:B</f>
        <v>300670055</v>
      </c>
      <c r="B316" t="str">
        <f>VLOOKUP(A316,'Entradas '!B:F,3,FALSE)</f>
        <v>Pet-G  pelicula  40 mic. CH 667 mm</v>
      </c>
      <c r="C316">
        <f>VLOOKUP(A316,'Entradas '!B:F,4,FALSE)</f>
        <v>2200</v>
      </c>
      <c r="D316">
        <f>VLOOKUP(A316,'Entradas '!B:F,5,FALSE)</f>
        <v>77</v>
      </c>
      <c r="E316">
        <f>SUMIF('Entradas '!B:B,Inventario!A316,'Entradas '!F:F)-SUMIF('Salidas '!B:B,Inventario!A316,'Salidas '!F:F)</f>
        <v>77</v>
      </c>
    </row>
    <row r="317" spans="1:5" x14ac:dyDescent="0.25">
      <c r="A317" s="30">
        <f>'Entradas '!B:B</f>
        <v>300670056</v>
      </c>
      <c r="B317" t="str">
        <f>VLOOKUP(A317,'Entradas '!B:F,3,FALSE)</f>
        <v>Pet-G  pelicula  40 mic. CH 667 mm</v>
      </c>
      <c r="C317">
        <f>VLOOKUP(A317,'Entradas '!B:F,4,FALSE)</f>
        <v>2200</v>
      </c>
      <c r="D317">
        <f>VLOOKUP(A317,'Entradas '!B:F,5,FALSE)</f>
        <v>77</v>
      </c>
      <c r="E317">
        <f>SUMIF('Entradas '!B:B,Inventario!A317,'Entradas '!F:F)-SUMIF('Salidas '!B:B,Inventario!A317,'Salidas '!F:F)</f>
        <v>77</v>
      </c>
    </row>
    <row r="318" spans="1:5" x14ac:dyDescent="0.25">
      <c r="A318" s="30">
        <f>'Entradas '!B:B</f>
        <v>300670057</v>
      </c>
      <c r="B318" t="str">
        <f>VLOOKUP(A318,'Entradas '!B:F,3,FALSE)</f>
        <v>Pet-G  pelicula  40 mic. CH 667 mm</v>
      </c>
      <c r="C318">
        <f>VLOOKUP(A318,'Entradas '!B:F,4,FALSE)</f>
        <v>2200</v>
      </c>
      <c r="D318">
        <f>VLOOKUP(A318,'Entradas '!B:F,5,FALSE)</f>
        <v>77</v>
      </c>
      <c r="E318">
        <f>SUMIF('Entradas '!B:B,Inventario!A318,'Entradas '!F:F)-SUMIF('Salidas '!B:B,Inventario!A318,'Salidas '!F:F)</f>
        <v>77</v>
      </c>
    </row>
    <row r="319" spans="1:5" x14ac:dyDescent="0.25">
      <c r="A319" s="30">
        <f>'Entradas '!B:B</f>
        <v>300670058</v>
      </c>
      <c r="B319" t="str">
        <f>VLOOKUP(A319,'Entradas '!B:F,3,FALSE)</f>
        <v>Pet-G  pelicula  40 mic. CH 667 mm</v>
      </c>
      <c r="C319">
        <f>VLOOKUP(A319,'Entradas '!B:F,4,FALSE)</f>
        <v>2200</v>
      </c>
      <c r="D319">
        <f>VLOOKUP(A319,'Entradas '!B:F,5,FALSE)</f>
        <v>77</v>
      </c>
      <c r="E319">
        <f>SUMIF('Entradas '!B:B,Inventario!A319,'Entradas '!F:F)-SUMIF('Salidas '!B:B,Inventario!A319,'Salidas '!F:F)</f>
        <v>77</v>
      </c>
    </row>
    <row r="320" spans="1:5" x14ac:dyDescent="0.25">
      <c r="A320" s="30">
        <f>'Entradas '!B:B</f>
        <v>300670059</v>
      </c>
      <c r="B320" t="str">
        <f>VLOOKUP(A320,'Entradas '!B:F,3,FALSE)</f>
        <v>Pet-G  pelicula  40 mic. CH 667 mm</v>
      </c>
      <c r="C320">
        <f>VLOOKUP(A320,'Entradas '!B:F,4,FALSE)</f>
        <v>2200</v>
      </c>
      <c r="D320">
        <f>VLOOKUP(A320,'Entradas '!B:F,5,FALSE)</f>
        <v>77</v>
      </c>
      <c r="E320">
        <f>SUMIF('Entradas '!B:B,Inventario!A320,'Entradas '!F:F)-SUMIF('Salidas '!B:B,Inventario!A320,'Salidas '!F:F)</f>
        <v>77</v>
      </c>
    </row>
    <row r="321" spans="1:5" x14ac:dyDescent="0.25">
      <c r="A321" s="30">
        <f>'Entradas '!B:B</f>
        <v>300670060</v>
      </c>
      <c r="B321" t="e">
        <f>VLOOKUP(A321,'Entradas '!B:F,3,FALSE)</f>
        <v>#N/A</v>
      </c>
      <c r="C321" t="e">
        <f>VLOOKUP(A321,'Entradas '!B:F,4,FALSE)</f>
        <v>#N/A</v>
      </c>
      <c r="D321" t="e">
        <f>VLOOKUP(A321,'Entradas '!B:F,5,FALSE)</f>
        <v>#N/A</v>
      </c>
      <c r="E321" t="e">
        <f>SUMIF('Entradas '!B:B,Inventario!A321,'Entradas '!F:F)-SUMIF('Salidas '!B:B,Inventario!A321,'Salidas '!F:F)</f>
        <v>#N/A</v>
      </c>
    </row>
    <row r="322" spans="1:5" x14ac:dyDescent="0.25">
      <c r="A322" s="30">
        <f>'Entradas '!B:B</f>
        <v>300670061</v>
      </c>
      <c r="B322" t="e">
        <f>VLOOKUP(A322,'Entradas '!B:F,3,FALSE)</f>
        <v>#N/A</v>
      </c>
      <c r="C322" t="e">
        <f>VLOOKUP(A322,'Entradas '!B:F,4,FALSE)</f>
        <v>#N/A</v>
      </c>
      <c r="D322" t="e">
        <f>VLOOKUP(A322,'Entradas '!B:F,5,FALSE)</f>
        <v>#N/A</v>
      </c>
      <c r="E322" t="e">
        <f>SUMIF('Entradas '!B:B,Inventario!A322,'Entradas '!F:F)-SUMIF('Salidas '!B:B,Inventario!A322,'Salidas '!F:F)</f>
        <v>#N/A</v>
      </c>
    </row>
    <row r="323" spans="1:5" x14ac:dyDescent="0.25">
      <c r="A323" s="30">
        <f>'Entradas '!B:B</f>
        <v>300670062</v>
      </c>
      <c r="B323" t="e">
        <f>VLOOKUP(A323,'Entradas '!B:F,3,FALSE)</f>
        <v>#N/A</v>
      </c>
      <c r="C323" t="e">
        <f>VLOOKUP(A323,'Entradas '!B:F,4,FALSE)</f>
        <v>#N/A</v>
      </c>
      <c r="D323" t="e">
        <f>VLOOKUP(A323,'Entradas '!B:F,5,FALSE)</f>
        <v>#N/A</v>
      </c>
      <c r="E323" t="e">
        <f>SUMIF('Entradas '!B:B,Inventario!A323,'Entradas '!F:F)-SUMIF('Salidas '!B:B,Inventario!A323,'Salidas '!F:F)</f>
        <v>#N/A</v>
      </c>
    </row>
    <row r="324" spans="1:5" x14ac:dyDescent="0.25">
      <c r="A324" s="30">
        <f>'Entradas '!B:B</f>
        <v>300670063</v>
      </c>
      <c r="B324" t="e">
        <f>VLOOKUP(A324,'Entradas '!B:F,3,FALSE)</f>
        <v>#N/A</v>
      </c>
      <c r="C324" t="e">
        <f>VLOOKUP(A324,'Entradas '!B:F,4,FALSE)</f>
        <v>#N/A</v>
      </c>
      <c r="D324" t="e">
        <f>VLOOKUP(A324,'Entradas '!B:F,5,FALSE)</f>
        <v>#N/A</v>
      </c>
      <c r="E324" t="e">
        <f>SUMIF('Entradas '!B:B,Inventario!A324,'Entradas '!F:F)-SUMIF('Salidas '!B:B,Inventario!A324,'Salidas '!F:F)</f>
        <v>#N/A</v>
      </c>
    </row>
    <row r="325" spans="1:5" x14ac:dyDescent="0.25">
      <c r="A325" s="30">
        <f>'Entradas '!B:B</f>
        <v>300670064</v>
      </c>
      <c r="B325" t="e">
        <f>VLOOKUP(A325,'Entradas '!B:F,3,FALSE)</f>
        <v>#N/A</v>
      </c>
      <c r="C325" t="e">
        <f>VLOOKUP(A325,'Entradas '!B:F,4,FALSE)</f>
        <v>#N/A</v>
      </c>
      <c r="D325" t="e">
        <f>VLOOKUP(A325,'Entradas '!B:F,5,FALSE)</f>
        <v>#N/A</v>
      </c>
      <c r="E325" t="e">
        <f>SUMIF('Entradas '!B:B,Inventario!A325,'Entradas '!F:F)-SUMIF('Salidas '!B:B,Inventario!A325,'Salidas '!F:F)</f>
        <v>#N/A</v>
      </c>
    </row>
    <row r="326" spans="1:5" x14ac:dyDescent="0.25">
      <c r="A326" s="30">
        <f>'Entradas '!B:B</f>
        <v>300670065</v>
      </c>
      <c r="B326" t="e">
        <f>VLOOKUP(A326,'Entradas '!B:F,3,FALSE)</f>
        <v>#N/A</v>
      </c>
      <c r="C326" t="e">
        <f>VLOOKUP(A326,'Entradas '!B:F,4,FALSE)</f>
        <v>#N/A</v>
      </c>
      <c r="D326" t="e">
        <f>VLOOKUP(A326,'Entradas '!B:F,5,FALSE)</f>
        <v>#N/A</v>
      </c>
      <c r="E326" t="e">
        <f>SUMIF('Entradas '!B:B,Inventario!A326,'Entradas '!F:F)-SUMIF('Salidas '!B:B,Inventario!A326,'Salidas '!F:F)</f>
        <v>#N/A</v>
      </c>
    </row>
    <row r="327" spans="1:5" x14ac:dyDescent="0.25">
      <c r="A327" s="30">
        <f>'Entradas '!B:B</f>
        <v>300670066</v>
      </c>
      <c r="B327" t="e">
        <f>VLOOKUP(A327,'Entradas '!B:F,3,FALSE)</f>
        <v>#N/A</v>
      </c>
      <c r="C327" t="e">
        <f>VLOOKUP(A327,'Entradas '!B:F,4,FALSE)</f>
        <v>#N/A</v>
      </c>
      <c r="D327" t="e">
        <f>VLOOKUP(A327,'Entradas '!B:F,5,FALSE)</f>
        <v>#N/A</v>
      </c>
      <c r="E327" t="e">
        <f>SUMIF('Entradas '!B:B,Inventario!A327,'Entradas '!F:F)-SUMIF('Salidas '!B:B,Inventario!A327,'Salidas '!F:F)</f>
        <v>#N/A</v>
      </c>
    </row>
    <row r="328" spans="1:5" x14ac:dyDescent="0.25">
      <c r="A328" s="30">
        <f>'Entradas '!B:B</f>
        <v>300670067</v>
      </c>
      <c r="B328" t="e">
        <f>VLOOKUP(A328,'Entradas '!B:F,3,FALSE)</f>
        <v>#N/A</v>
      </c>
      <c r="C328" t="e">
        <f>VLOOKUP(A328,'Entradas '!B:F,4,FALSE)</f>
        <v>#N/A</v>
      </c>
      <c r="D328" t="e">
        <f>VLOOKUP(A328,'Entradas '!B:F,5,FALSE)</f>
        <v>#N/A</v>
      </c>
      <c r="E328" t="e">
        <f>SUMIF('Entradas '!B:B,Inventario!A328,'Entradas '!F:F)-SUMIF('Salidas '!B:B,Inventario!A328,'Salidas '!F:F)</f>
        <v>#N/A</v>
      </c>
    </row>
    <row r="329" spans="1:5" x14ac:dyDescent="0.25">
      <c r="A329" s="30">
        <f>'Entradas '!B:B</f>
        <v>300670068</v>
      </c>
      <c r="B329" t="e">
        <f>VLOOKUP(A329,'Entradas '!B:F,3,FALSE)</f>
        <v>#N/A</v>
      </c>
      <c r="C329" t="e">
        <f>VLOOKUP(A329,'Entradas '!B:F,4,FALSE)</f>
        <v>#N/A</v>
      </c>
      <c r="D329" t="e">
        <f>VLOOKUP(A329,'Entradas '!B:F,5,FALSE)</f>
        <v>#N/A</v>
      </c>
      <c r="E329" t="e">
        <f>SUMIF('Entradas '!B:B,Inventario!A329,'Entradas '!F:F)-SUMIF('Salidas '!B:B,Inventario!A329,'Salidas '!F:F)</f>
        <v>#N/A</v>
      </c>
    </row>
    <row r="330" spans="1:5" x14ac:dyDescent="0.25">
      <c r="A330" s="30">
        <f>'Entradas '!B:B</f>
        <v>300670069</v>
      </c>
      <c r="B330" t="e">
        <f>VLOOKUP(A330,'Entradas '!B:F,3,FALSE)</f>
        <v>#N/A</v>
      </c>
      <c r="C330" t="e">
        <f>VLOOKUP(A330,'Entradas '!B:F,4,FALSE)</f>
        <v>#N/A</v>
      </c>
      <c r="D330" t="e">
        <f>VLOOKUP(A330,'Entradas '!B:F,5,FALSE)</f>
        <v>#N/A</v>
      </c>
      <c r="E330" t="e">
        <f>SUMIF('Entradas '!B:B,Inventario!A330,'Entradas '!F:F)-SUMIF('Salidas '!B:B,Inventario!A330,'Salidas '!F:F)</f>
        <v>#N/A</v>
      </c>
    </row>
    <row r="331" spans="1:5" x14ac:dyDescent="0.25">
      <c r="A331" s="30">
        <f>'Entradas '!B:B</f>
        <v>300670070</v>
      </c>
      <c r="B331" t="e">
        <f>VLOOKUP(A331,'Entradas '!B:F,3,FALSE)</f>
        <v>#N/A</v>
      </c>
      <c r="C331" t="e">
        <f>VLOOKUP(A331,'Entradas '!B:F,4,FALSE)</f>
        <v>#N/A</v>
      </c>
      <c r="D331" t="e">
        <f>VLOOKUP(A331,'Entradas '!B:F,5,FALSE)</f>
        <v>#N/A</v>
      </c>
      <c r="E331" t="e">
        <f>SUMIF('Entradas '!B:B,Inventario!A331,'Entradas '!F:F)-SUMIF('Salidas '!B:B,Inventario!A331,'Salidas '!F:F)</f>
        <v>#N/A</v>
      </c>
    </row>
    <row r="332" spans="1:5" x14ac:dyDescent="0.25">
      <c r="A332" s="30">
        <f>'Entradas '!B:B</f>
        <v>300670071</v>
      </c>
      <c r="B332" t="e">
        <f>VLOOKUP(A332,'Entradas '!B:F,3,FALSE)</f>
        <v>#N/A</v>
      </c>
      <c r="C332" t="e">
        <f>VLOOKUP(A332,'Entradas '!B:F,4,FALSE)</f>
        <v>#N/A</v>
      </c>
      <c r="D332" t="e">
        <f>VLOOKUP(A332,'Entradas '!B:F,5,FALSE)</f>
        <v>#N/A</v>
      </c>
      <c r="E332" t="e">
        <f>SUMIF('Entradas '!B:B,Inventario!A332,'Entradas '!F:F)-SUMIF('Salidas '!B:B,Inventario!A332,'Salidas '!F:F)</f>
        <v>#N/A</v>
      </c>
    </row>
    <row r="333" spans="1:5" x14ac:dyDescent="0.25">
      <c r="A333" s="30">
        <f>'Entradas '!B:B</f>
        <v>300670072</v>
      </c>
      <c r="B333" t="e">
        <f>VLOOKUP(A333,'Entradas '!B:F,3,FALSE)</f>
        <v>#N/A</v>
      </c>
      <c r="C333" t="e">
        <f>VLOOKUP(A333,'Entradas '!B:F,4,FALSE)</f>
        <v>#N/A</v>
      </c>
      <c r="D333" t="e">
        <f>VLOOKUP(A333,'Entradas '!B:F,5,FALSE)</f>
        <v>#N/A</v>
      </c>
      <c r="E333" t="e">
        <f>SUMIF('Entradas '!B:B,Inventario!A333,'Entradas '!F:F)-SUMIF('Salidas '!B:B,Inventario!A333,'Salidas '!F:F)</f>
        <v>#N/A</v>
      </c>
    </row>
    <row r="334" spans="1:5" x14ac:dyDescent="0.25">
      <c r="A334" s="30">
        <f>'Entradas '!B:B</f>
        <v>300670073</v>
      </c>
      <c r="B334" t="e">
        <f>VLOOKUP(A334,'Entradas '!B:F,3,FALSE)</f>
        <v>#N/A</v>
      </c>
      <c r="C334" t="e">
        <f>VLOOKUP(A334,'Entradas '!B:F,4,FALSE)</f>
        <v>#N/A</v>
      </c>
      <c r="D334" t="e">
        <f>VLOOKUP(A334,'Entradas '!B:F,5,FALSE)</f>
        <v>#N/A</v>
      </c>
      <c r="E334" t="e">
        <f>SUMIF('Entradas '!B:B,Inventario!A334,'Entradas '!F:F)-SUMIF('Salidas '!B:B,Inventario!A334,'Salidas '!F:F)</f>
        <v>#N/A</v>
      </c>
    </row>
    <row r="335" spans="1:5" x14ac:dyDescent="0.25">
      <c r="A335" s="30">
        <f>'Entradas '!B:B</f>
        <v>300670074</v>
      </c>
      <c r="B335" t="e">
        <f>VLOOKUP(A335,'Entradas '!B:F,3,FALSE)</f>
        <v>#N/A</v>
      </c>
      <c r="C335" t="e">
        <f>VLOOKUP(A335,'Entradas '!B:F,4,FALSE)</f>
        <v>#N/A</v>
      </c>
      <c r="D335" t="e">
        <f>VLOOKUP(A335,'Entradas '!B:F,5,FALSE)</f>
        <v>#N/A</v>
      </c>
      <c r="E335" t="e">
        <f>SUMIF('Entradas '!B:B,Inventario!A335,'Entradas '!F:F)-SUMIF('Salidas '!B:B,Inventario!A335,'Salidas '!F:F)</f>
        <v>#N/A</v>
      </c>
    </row>
    <row r="336" spans="1:5" x14ac:dyDescent="0.25">
      <c r="A336" s="30">
        <f>'Entradas '!B:B</f>
        <v>300670075</v>
      </c>
      <c r="B336" t="e">
        <f>VLOOKUP(A336,'Entradas '!B:F,3,FALSE)</f>
        <v>#N/A</v>
      </c>
      <c r="C336" t="e">
        <f>VLOOKUP(A336,'Entradas '!B:F,4,FALSE)</f>
        <v>#N/A</v>
      </c>
      <c r="D336" t="e">
        <f>VLOOKUP(A336,'Entradas '!B:F,5,FALSE)</f>
        <v>#N/A</v>
      </c>
      <c r="E336" t="e">
        <f>SUMIF('Entradas '!B:B,Inventario!A336,'Entradas '!F:F)-SUMIF('Salidas '!B:B,Inventario!A336,'Salidas '!F:F)</f>
        <v>#N/A</v>
      </c>
    </row>
    <row r="337" spans="1:5" x14ac:dyDescent="0.25">
      <c r="A337" s="30">
        <f>'Entradas '!B:B</f>
        <v>300670076</v>
      </c>
      <c r="B337" t="e">
        <f>VLOOKUP(A337,'Entradas '!B:F,3,FALSE)</f>
        <v>#N/A</v>
      </c>
      <c r="C337" t="e">
        <f>VLOOKUP(A337,'Entradas '!B:F,4,FALSE)</f>
        <v>#N/A</v>
      </c>
      <c r="D337" t="e">
        <f>VLOOKUP(A337,'Entradas '!B:F,5,FALSE)</f>
        <v>#N/A</v>
      </c>
      <c r="E337" t="e">
        <f>SUMIF('Entradas '!B:B,Inventario!A337,'Entradas '!F:F)-SUMIF('Salidas '!B:B,Inventario!A337,'Salidas '!F:F)</f>
        <v>#N/A</v>
      </c>
    </row>
    <row r="338" spans="1:5" x14ac:dyDescent="0.25">
      <c r="A338" s="30">
        <f>'Entradas '!B:B</f>
        <v>300670077</v>
      </c>
      <c r="B338" t="e">
        <f>VLOOKUP(A338,'Entradas '!B:F,3,FALSE)</f>
        <v>#N/A</v>
      </c>
      <c r="C338" t="e">
        <f>VLOOKUP(A338,'Entradas '!B:F,4,FALSE)</f>
        <v>#N/A</v>
      </c>
      <c r="D338" t="e">
        <f>VLOOKUP(A338,'Entradas '!B:F,5,FALSE)</f>
        <v>#N/A</v>
      </c>
      <c r="E338" t="e">
        <f>SUMIF('Entradas '!B:B,Inventario!A338,'Entradas '!F:F)-SUMIF('Salidas '!B:B,Inventario!A338,'Salidas '!F:F)</f>
        <v>#N/A</v>
      </c>
    </row>
    <row r="339" spans="1:5" x14ac:dyDescent="0.25">
      <c r="A339" s="30">
        <f>'Entradas '!B:B</f>
        <v>300670078</v>
      </c>
      <c r="B339" t="e">
        <f>VLOOKUP(A339,'Entradas '!B:F,3,FALSE)</f>
        <v>#N/A</v>
      </c>
      <c r="C339" t="e">
        <f>VLOOKUP(A339,'Entradas '!B:F,4,FALSE)</f>
        <v>#N/A</v>
      </c>
      <c r="D339" t="e">
        <f>VLOOKUP(A339,'Entradas '!B:F,5,FALSE)</f>
        <v>#N/A</v>
      </c>
      <c r="E339" t="e">
        <f>SUMIF('Entradas '!B:B,Inventario!A339,'Entradas '!F:F)-SUMIF('Salidas '!B:B,Inventario!A339,'Salidas '!F:F)</f>
        <v>#N/A</v>
      </c>
    </row>
    <row r="340" spans="1:5" x14ac:dyDescent="0.25">
      <c r="A340" s="30">
        <f>'Entradas '!B:B</f>
        <v>300670079</v>
      </c>
      <c r="B340" t="e">
        <f>VLOOKUP(A340,'Entradas '!B:F,3,FALSE)</f>
        <v>#N/A</v>
      </c>
      <c r="C340" t="e">
        <f>VLOOKUP(A340,'Entradas '!B:F,4,FALSE)</f>
        <v>#N/A</v>
      </c>
      <c r="D340" t="e">
        <f>VLOOKUP(A340,'Entradas '!B:F,5,FALSE)</f>
        <v>#N/A</v>
      </c>
      <c r="E340" t="e">
        <f>SUMIF('Entradas '!B:B,Inventario!A340,'Entradas '!F:F)-SUMIF('Salidas '!B:B,Inventario!A340,'Salidas '!F:F)</f>
        <v>#N/A</v>
      </c>
    </row>
    <row r="341" spans="1:5" x14ac:dyDescent="0.25">
      <c r="A341" s="30">
        <f>'Entradas '!B:B</f>
        <v>300670080</v>
      </c>
      <c r="B341" t="e">
        <f>VLOOKUP(A341,'Entradas '!B:F,3,FALSE)</f>
        <v>#N/A</v>
      </c>
      <c r="C341" t="e">
        <f>VLOOKUP(A341,'Entradas '!B:F,4,FALSE)</f>
        <v>#N/A</v>
      </c>
      <c r="D341" t="e">
        <f>VLOOKUP(A341,'Entradas '!B:F,5,FALSE)</f>
        <v>#N/A</v>
      </c>
      <c r="E341" t="e">
        <f>SUMIF('Entradas '!B:B,Inventario!A341,'Entradas '!F:F)-SUMIF('Salidas '!B:B,Inventario!A341,'Salidas '!F:F)</f>
        <v>#N/A</v>
      </c>
    </row>
    <row r="342" spans="1:5" x14ac:dyDescent="0.25">
      <c r="A342" s="30">
        <f>'Entradas '!B:B</f>
        <v>300670081</v>
      </c>
      <c r="B342" t="e">
        <f>VLOOKUP(A342,'Entradas '!B:F,3,FALSE)</f>
        <v>#N/A</v>
      </c>
      <c r="C342" t="e">
        <f>VLOOKUP(A342,'Entradas '!B:F,4,FALSE)</f>
        <v>#N/A</v>
      </c>
      <c r="D342" t="e">
        <f>VLOOKUP(A342,'Entradas '!B:F,5,FALSE)</f>
        <v>#N/A</v>
      </c>
      <c r="E342" t="e">
        <f>SUMIF('Entradas '!B:B,Inventario!A342,'Entradas '!F:F)-SUMIF('Salidas '!B:B,Inventario!A342,'Salidas '!F:F)</f>
        <v>#N/A</v>
      </c>
    </row>
    <row r="343" spans="1:5" x14ac:dyDescent="0.25">
      <c r="A343" s="30">
        <f>'Entradas '!B:B</f>
        <v>300670082</v>
      </c>
      <c r="B343" t="e">
        <f>VLOOKUP(A343,'Entradas '!B:F,3,FALSE)</f>
        <v>#N/A</v>
      </c>
      <c r="C343" t="e">
        <f>VLOOKUP(A343,'Entradas '!B:F,4,FALSE)</f>
        <v>#N/A</v>
      </c>
      <c r="D343" t="e">
        <f>VLOOKUP(A343,'Entradas '!B:F,5,FALSE)</f>
        <v>#N/A</v>
      </c>
      <c r="E343" t="e">
        <f>SUMIF('Entradas '!B:B,Inventario!A343,'Entradas '!F:F)-SUMIF('Salidas '!B:B,Inventario!A343,'Salidas '!F:F)</f>
        <v>#N/A</v>
      </c>
    </row>
    <row r="344" spans="1:5" x14ac:dyDescent="0.25">
      <c r="A344" s="30">
        <f>'Entradas '!B:B</f>
        <v>300670083</v>
      </c>
      <c r="B344" t="e">
        <f>VLOOKUP(A344,'Entradas '!B:F,3,FALSE)</f>
        <v>#N/A</v>
      </c>
      <c r="C344" t="e">
        <f>VLOOKUP(A344,'Entradas '!B:F,4,FALSE)</f>
        <v>#N/A</v>
      </c>
      <c r="D344" t="e">
        <f>VLOOKUP(A344,'Entradas '!B:F,5,FALSE)</f>
        <v>#N/A</v>
      </c>
      <c r="E344" t="e">
        <f>SUMIF('Entradas '!B:B,Inventario!A344,'Entradas '!F:F)-SUMIF('Salidas '!B:B,Inventario!A344,'Salidas '!F:F)</f>
        <v>#N/A</v>
      </c>
    </row>
    <row r="345" spans="1:5" x14ac:dyDescent="0.25">
      <c r="A345" s="30">
        <f>'Entradas '!B:B</f>
        <v>300670084</v>
      </c>
      <c r="B345" t="e">
        <f>VLOOKUP(A345,'Entradas '!B:F,3,FALSE)</f>
        <v>#N/A</v>
      </c>
      <c r="C345" t="e">
        <f>VLOOKUP(A345,'Entradas '!B:F,4,FALSE)</f>
        <v>#N/A</v>
      </c>
      <c r="D345" t="e">
        <f>VLOOKUP(A345,'Entradas '!B:F,5,FALSE)</f>
        <v>#N/A</v>
      </c>
      <c r="E345" t="e">
        <f>SUMIF('Entradas '!B:B,Inventario!A345,'Entradas '!F:F)-SUMIF('Salidas '!B:B,Inventario!A345,'Salidas '!F:F)</f>
        <v>#N/A</v>
      </c>
    </row>
    <row r="346" spans="1:5" x14ac:dyDescent="0.25">
      <c r="A346" s="30">
        <f>'Entradas '!B:B</f>
        <v>300670085</v>
      </c>
      <c r="B346" t="e">
        <f>VLOOKUP(A346,'Entradas '!B:F,3,FALSE)</f>
        <v>#N/A</v>
      </c>
      <c r="C346" t="e">
        <f>VLOOKUP(A346,'Entradas '!B:F,4,FALSE)</f>
        <v>#N/A</v>
      </c>
      <c r="D346" t="e">
        <f>VLOOKUP(A346,'Entradas '!B:F,5,FALSE)</f>
        <v>#N/A</v>
      </c>
      <c r="E346" t="e">
        <f>SUMIF('Entradas '!B:B,Inventario!A346,'Entradas '!F:F)-SUMIF('Salidas '!B:B,Inventario!A346,'Salidas '!F:F)</f>
        <v>#N/A</v>
      </c>
    </row>
    <row r="347" spans="1:5" x14ac:dyDescent="0.25">
      <c r="A347" s="30">
        <f>'Entradas '!B:B</f>
        <v>300670086</v>
      </c>
      <c r="B347" t="e">
        <f>VLOOKUP(A347,'Entradas '!B:F,3,FALSE)</f>
        <v>#N/A</v>
      </c>
      <c r="C347" t="e">
        <f>VLOOKUP(A347,'Entradas '!B:F,4,FALSE)</f>
        <v>#N/A</v>
      </c>
      <c r="D347" t="e">
        <f>VLOOKUP(A347,'Entradas '!B:F,5,FALSE)</f>
        <v>#N/A</v>
      </c>
      <c r="E347" t="e">
        <f>SUMIF('Entradas '!B:B,Inventario!A347,'Entradas '!F:F)-SUMIF('Salidas '!B:B,Inventario!A347,'Salidas '!F:F)</f>
        <v>#N/A</v>
      </c>
    </row>
    <row r="348" spans="1:5" x14ac:dyDescent="0.25">
      <c r="A348" s="30">
        <f>'Entradas '!B:B</f>
        <v>300670087</v>
      </c>
      <c r="B348" t="e">
        <f>VLOOKUP(A348,'Entradas '!B:F,3,FALSE)</f>
        <v>#N/A</v>
      </c>
      <c r="C348" t="e">
        <f>VLOOKUP(A348,'Entradas '!B:F,4,FALSE)</f>
        <v>#N/A</v>
      </c>
      <c r="D348" t="e">
        <f>VLOOKUP(A348,'Entradas '!B:F,5,FALSE)</f>
        <v>#N/A</v>
      </c>
      <c r="E348" t="e">
        <f>SUMIF('Entradas '!B:B,Inventario!A348,'Entradas '!F:F)-SUMIF('Salidas '!B:B,Inventario!A348,'Salidas '!F:F)</f>
        <v>#N/A</v>
      </c>
    </row>
    <row r="349" spans="1:5" x14ac:dyDescent="0.25">
      <c r="A349" s="30">
        <f>'Entradas '!B:B</f>
        <v>300670088</v>
      </c>
      <c r="B349" t="e">
        <f>VLOOKUP(A349,'Entradas '!B:F,3,FALSE)</f>
        <v>#N/A</v>
      </c>
      <c r="C349" t="e">
        <f>VLOOKUP(A349,'Entradas '!B:F,4,FALSE)</f>
        <v>#N/A</v>
      </c>
      <c r="D349" t="e">
        <f>VLOOKUP(A349,'Entradas '!B:F,5,FALSE)</f>
        <v>#N/A</v>
      </c>
      <c r="E349" t="e">
        <f>SUMIF('Entradas '!B:B,Inventario!A349,'Entradas '!F:F)-SUMIF('Salidas '!B:B,Inventario!A349,'Salidas '!F:F)</f>
        <v>#N/A</v>
      </c>
    </row>
    <row r="350" spans="1:5" x14ac:dyDescent="0.25">
      <c r="A350" s="30">
        <f>'Entradas '!B:B</f>
        <v>300670089</v>
      </c>
      <c r="B350" t="e">
        <f>VLOOKUP(A350,'Entradas '!B:F,3,FALSE)</f>
        <v>#N/A</v>
      </c>
      <c r="C350" t="e">
        <f>VLOOKUP(A350,'Entradas '!B:F,4,FALSE)</f>
        <v>#N/A</v>
      </c>
      <c r="D350" t="e">
        <f>VLOOKUP(A350,'Entradas '!B:F,5,FALSE)</f>
        <v>#N/A</v>
      </c>
      <c r="E350" t="e">
        <f>SUMIF('Entradas '!B:B,Inventario!A350,'Entradas '!F:F)-SUMIF('Salidas '!B:B,Inventario!A350,'Salidas '!F:F)</f>
        <v>#N/A</v>
      </c>
    </row>
    <row r="351" spans="1:5" x14ac:dyDescent="0.25">
      <c r="A351" s="30">
        <f>'Entradas '!B:B</f>
        <v>300670090</v>
      </c>
      <c r="B351" t="e">
        <f>VLOOKUP(A351,'Entradas '!B:F,3,FALSE)</f>
        <v>#N/A</v>
      </c>
      <c r="C351" t="e">
        <f>VLOOKUP(A351,'Entradas '!B:F,4,FALSE)</f>
        <v>#N/A</v>
      </c>
      <c r="D351" t="e">
        <f>VLOOKUP(A351,'Entradas '!B:F,5,FALSE)</f>
        <v>#N/A</v>
      </c>
      <c r="E351" t="e">
        <f>SUMIF('Entradas '!B:B,Inventario!A351,'Entradas '!F:F)-SUMIF('Salidas '!B:B,Inventario!A351,'Salidas '!F:F)</f>
        <v>#N/A</v>
      </c>
    </row>
    <row r="352" spans="1:5" x14ac:dyDescent="0.25">
      <c r="A352" s="30">
        <f>'Entradas '!B:B</f>
        <v>300670091</v>
      </c>
      <c r="B352" t="e">
        <f>VLOOKUP(A352,'Entradas '!B:F,3,FALSE)</f>
        <v>#N/A</v>
      </c>
      <c r="C352" t="e">
        <f>VLOOKUP(A352,'Entradas '!B:F,4,FALSE)</f>
        <v>#N/A</v>
      </c>
      <c r="D352" t="e">
        <f>VLOOKUP(A352,'Entradas '!B:F,5,FALSE)</f>
        <v>#N/A</v>
      </c>
      <c r="E352" t="e">
        <f>SUMIF('Entradas '!B:B,Inventario!A352,'Entradas '!F:F)-SUMIF('Salidas '!B:B,Inventario!A352,'Salidas '!F:F)</f>
        <v>#N/A</v>
      </c>
    </row>
    <row r="353" spans="1:5" x14ac:dyDescent="0.25">
      <c r="A353" s="30">
        <f>'Entradas '!B:B</f>
        <v>300670092</v>
      </c>
      <c r="B353" t="e">
        <f>VLOOKUP(A353,'Entradas '!B:F,3,FALSE)</f>
        <v>#N/A</v>
      </c>
      <c r="C353" t="e">
        <f>VLOOKUP(A353,'Entradas '!B:F,4,FALSE)</f>
        <v>#N/A</v>
      </c>
      <c r="D353" t="e">
        <f>VLOOKUP(A353,'Entradas '!B:F,5,FALSE)</f>
        <v>#N/A</v>
      </c>
      <c r="E353" t="e">
        <f>SUMIF('Entradas '!B:B,Inventario!A353,'Entradas '!F:F)-SUMIF('Salidas '!B:B,Inventario!A353,'Salidas '!F:F)</f>
        <v>#N/A</v>
      </c>
    </row>
    <row r="354" spans="1:5" x14ac:dyDescent="0.25">
      <c r="A354" s="30">
        <f>'Entradas '!B:B</f>
        <v>300670093</v>
      </c>
      <c r="B354" t="e">
        <f>VLOOKUP(A354,'Entradas '!B:F,3,FALSE)</f>
        <v>#N/A</v>
      </c>
      <c r="C354" t="e">
        <f>VLOOKUP(A354,'Entradas '!B:F,4,FALSE)</f>
        <v>#N/A</v>
      </c>
      <c r="D354" t="e">
        <f>VLOOKUP(A354,'Entradas '!B:F,5,FALSE)</f>
        <v>#N/A</v>
      </c>
      <c r="E354" t="e">
        <f>SUMIF('Entradas '!B:B,Inventario!A354,'Entradas '!F:F)-SUMIF('Salidas '!B:B,Inventario!A354,'Salidas '!F:F)</f>
        <v>#N/A</v>
      </c>
    </row>
    <row r="355" spans="1:5" x14ac:dyDescent="0.25">
      <c r="A355" s="30">
        <f>'Entradas '!B:B</f>
        <v>300670094</v>
      </c>
      <c r="B355" t="e">
        <f>VLOOKUP(A355,'Entradas '!B:F,3,FALSE)</f>
        <v>#N/A</v>
      </c>
      <c r="C355" t="e">
        <f>VLOOKUP(A355,'Entradas '!B:F,4,FALSE)</f>
        <v>#N/A</v>
      </c>
      <c r="D355" t="e">
        <f>VLOOKUP(A355,'Entradas '!B:F,5,FALSE)</f>
        <v>#N/A</v>
      </c>
      <c r="E355" t="e">
        <f>SUMIF('Entradas '!B:B,Inventario!A355,'Entradas '!F:F)-SUMIF('Salidas '!B:B,Inventario!A355,'Salidas '!F:F)</f>
        <v>#N/A</v>
      </c>
    </row>
    <row r="356" spans="1:5" x14ac:dyDescent="0.25">
      <c r="A356" s="30">
        <f>'Entradas '!B:B</f>
        <v>300670095</v>
      </c>
      <c r="B356" t="e">
        <f>VLOOKUP(A356,'Entradas '!B:F,3,FALSE)</f>
        <v>#N/A</v>
      </c>
      <c r="C356" t="e">
        <f>VLOOKUP(A356,'Entradas '!B:F,4,FALSE)</f>
        <v>#N/A</v>
      </c>
      <c r="D356" t="e">
        <f>VLOOKUP(A356,'Entradas '!B:F,5,FALSE)</f>
        <v>#N/A</v>
      </c>
      <c r="E356" t="e">
        <f>SUMIF('Entradas '!B:B,Inventario!A356,'Entradas '!F:F)-SUMIF('Salidas '!B:B,Inventario!A356,'Salidas '!F:F)</f>
        <v>#N/A</v>
      </c>
    </row>
    <row r="357" spans="1:5" x14ac:dyDescent="0.25">
      <c r="A357" s="30">
        <f>'Entradas '!B:B</f>
        <v>300670096</v>
      </c>
      <c r="B357" t="e">
        <f>VLOOKUP(A357,'Entradas '!B:F,3,FALSE)</f>
        <v>#N/A</v>
      </c>
      <c r="C357" t="e">
        <f>VLOOKUP(A357,'Entradas '!B:F,4,FALSE)</f>
        <v>#N/A</v>
      </c>
      <c r="D357" t="e">
        <f>VLOOKUP(A357,'Entradas '!B:F,5,FALSE)</f>
        <v>#N/A</v>
      </c>
      <c r="E357" t="e">
        <f>SUMIF('Entradas '!B:B,Inventario!A357,'Entradas '!F:F)-SUMIF('Salidas '!B:B,Inventario!A357,'Salidas '!F:F)</f>
        <v>#N/A</v>
      </c>
    </row>
    <row r="358" spans="1:5" x14ac:dyDescent="0.25">
      <c r="A358" s="30">
        <f>'Entradas '!B:B</f>
        <v>300670097</v>
      </c>
      <c r="B358" t="e">
        <f>VLOOKUP(A358,'Entradas '!B:F,3,FALSE)</f>
        <v>#N/A</v>
      </c>
      <c r="C358" t="e">
        <f>VLOOKUP(A358,'Entradas '!B:F,4,FALSE)</f>
        <v>#N/A</v>
      </c>
      <c r="D358" t="e">
        <f>VLOOKUP(A358,'Entradas '!B:F,5,FALSE)</f>
        <v>#N/A</v>
      </c>
      <c r="E358" t="e">
        <f>SUMIF('Entradas '!B:B,Inventario!A358,'Entradas '!F:F)-SUMIF('Salidas '!B:B,Inventario!A358,'Salidas '!F:F)</f>
        <v>#N/A</v>
      </c>
    </row>
    <row r="359" spans="1:5" x14ac:dyDescent="0.25">
      <c r="A359" s="30">
        <f>'Entradas '!B:B</f>
        <v>300670098</v>
      </c>
      <c r="B359" t="e">
        <f>VLOOKUP(A359,'Entradas '!B:F,3,FALSE)</f>
        <v>#N/A</v>
      </c>
      <c r="C359" t="e">
        <f>VLOOKUP(A359,'Entradas '!B:F,4,FALSE)</f>
        <v>#N/A</v>
      </c>
      <c r="D359" t="e">
        <f>VLOOKUP(A359,'Entradas '!B:F,5,FALSE)</f>
        <v>#N/A</v>
      </c>
      <c r="E359" t="e">
        <f>SUMIF('Entradas '!B:B,Inventario!A359,'Entradas '!F:F)-SUMIF('Salidas '!B:B,Inventario!A359,'Salidas '!F:F)</f>
        <v>#N/A</v>
      </c>
    </row>
    <row r="360" spans="1:5" x14ac:dyDescent="0.25">
      <c r="A360" s="30">
        <f>'Entradas '!B:B</f>
        <v>300670099</v>
      </c>
      <c r="B360" t="e">
        <f>VLOOKUP(A360,'Entradas '!B:F,3,FALSE)</f>
        <v>#N/A</v>
      </c>
      <c r="C360" t="e">
        <f>VLOOKUP(A360,'Entradas '!B:F,4,FALSE)</f>
        <v>#N/A</v>
      </c>
      <c r="D360" t="e">
        <f>VLOOKUP(A360,'Entradas '!B:F,5,FALSE)</f>
        <v>#N/A</v>
      </c>
      <c r="E360" t="e">
        <f>SUMIF('Entradas '!B:B,Inventario!A360,'Entradas '!F:F)-SUMIF('Salidas '!B:B,Inventario!A360,'Salidas '!F:F)</f>
        <v>#N/A</v>
      </c>
    </row>
    <row r="361" spans="1:5" x14ac:dyDescent="0.25">
      <c r="A361" s="30">
        <f>'Entradas '!B:B</f>
        <v>300670100</v>
      </c>
      <c r="B361" t="e">
        <f>VLOOKUP(A361,'Entradas '!B:F,3,FALSE)</f>
        <v>#N/A</v>
      </c>
      <c r="C361" t="e">
        <f>VLOOKUP(A361,'Entradas '!B:F,4,FALSE)</f>
        <v>#N/A</v>
      </c>
      <c r="D361" t="e">
        <f>VLOOKUP(A361,'Entradas '!B:F,5,FALSE)</f>
        <v>#N/A</v>
      </c>
      <c r="E361" t="e">
        <f>SUMIF('Entradas '!B:B,Inventario!A361,'Entradas '!F:F)-SUMIF('Salidas '!B:B,Inventario!A361,'Salidas '!F:F)</f>
        <v>#N/A</v>
      </c>
    </row>
    <row r="362" spans="1:5" x14ac:dyDescent="0.25">
      <c r="A362" s="30">
        <f>'Entradas '!B:B</f>
        <v>300670101</v>
      </c>
      <c r="B362" t="e">
        <f>VLOOKUP(A362,'Entradas '!B:F,3,FALSE)</f>
        <v>#N/A</v>
      </c>
      <c r="C362" t="e">
        <f>VLOOKUP(A362,'Entradas '!B:F,4,FALSE)</f>
        <v>#N/A</v>
      </c>
      <c r="D362" t="e">
        <f>VLOOKUP(A362,'Entradas '!B:F,5,FALSE)</f>
        <v>#N/A</v>
      </c>
      <c r="E362" t="e">
        <f>SUMIF('Entradas '!B:B,Inventario!A362,'Entradas '!F:F)-SUMIF('Salidas '!B:B,Inventario!A362,'Salidas '!F:F)</f>
        <v>#N/A</v>
      </c>
    </row>
    <row r="363" spans="1:5" x14ac:dyDescent="0.25">
      <c r="A363" s="30">
        <f>'Entradas '!B:B</f>
        <v>300670102</v>
      </c>
      <c r="B363" t="e">
        <f>VLOOKUP(A363,'Entradas '!B:F,3,FALSE)</f>
        <v>#N/A</v>
      </c>
      <c r="C363" t="e">
        <f>VLOOKUP(A363,'Entradas '!B:F,4,FALSE)</f>
        <v>#N/A</v>
      </c>
      <c r="D363" t="e">
        <f>VLOOKUP(A363,'Entradas '!B:F,5,FALSE)</f>
        <v>#N/A</v>
      </c>
      <c r="E363" t="e">
        <f>SUMIF('Entradas '!B:B,Inventario!A363,'Entradas '!F:F)-SUMIF('Salidas '!B:B,Inventario!A363,'Salidas '!F:F)</f>
        <v>#N/A</v>
      </c>
    </row>
    <row r="364" spans="1:5" x14ac:dyDescent="0.25">
      <c r="A364" s="30">
        <f>'Entradas '!B:B</f>
        <v>300670103</v>
      </c>
      <c r="B364" t="e">
        <f>VLOOKUP(A364,'Entradas '!B:F,3,FALSE)</f>
        <v>#N/A</v>
      </c>
      <c r="C364" t="e">
        <f>VLOOKUP(A364,'Entradas '!B:F,4,FALSE)</f>
        <v>#N/A</v>
      </c>
      <c r="D364" t="e">
        <f>VLOOKUP(A364,'Entradas '!B:F,5,FALSE)</f>
        <v>#N/A</v>
      </c>
      <c r="E364" t="e">
        <f>SUMIF('Entradas '!B:B,Inventario!A364,'Entradas '!F:F)-SUMIF('Salidas '!B:B,Inventario!A364,'Salidas '!F:F)</f>
        <v>#N/A</v>
      </c>
    </row>
    <row r="365" spans="1:5" x14ac:dyDescent="0.25">
      <c r="A365" s="30">
        <f>'Entradas '!B:B</f>
        <v>300670104</v>
      </c>
      <c r="B365" t="e">
        <f>VLOOKUP(A365,'Entradas '!B:F,3,FALSE)</f>
        <v>#N/A</v>
      </c>
      <c r="C365" t="e">
        <f>VLOOKUP(A365,'Entradas '!B:F,4,FALSE)</f>
        <v>#N/A</v>
      </c>
      <c r="D365" t="e">
        <f>VLOOKUP(A365,'Entradas '!B:F,5,FALSE)</f>
        <v>#N/A</v>
      </c>
      <c r="E365" t="e">
        <f>SUMIF('Entradas '!B:B,Inventario!A365,'Entradas '!F:F)-SUMIF('Salidas '!B:B,Inventario!A365,'Salidas '!F:F)</f>
        <v>#N/A</v>
      </c>
    </row>
    <row r="366" spans="1:5" x14ac:dyDescent="0.25">
      <c r="A366" s="30">
        <f>'Entradas '!B:B</f>
        <v>300670105</v>
      </c>
      <c r="B366" t="e">
        <f>VLOOKUP(A366,'Entradas '!B:F,3,FALSE)</f>
        <v>#N/A</v>
      </c>
      <c r="C366" t="e">
        <f>VLOOKUP(A366,'Entradas '!B:F,4,FALSE)</f>
        <v>#N/A</v>
      </c>
      <c r="D366" t="e">
        <f>VLOOKUP(A366,'Entradas '!B:F,5,FALSE)</f>
        <v>#N/A</v>
      </c>
      <c r="E366" t="e">
        <f>SUMIF('Entradas '!B:B,Inventario!A366,'Entradas '!F:F)-SUMIF('Salidas '!B:B,Inventario!A366,'Salidas '!F:F)</f>
        <v>#N/A</v>
      </c>
    </row>
    <row r="367" spans="1:5" x14ac:dyDescent="0.25">
      <c r="A367" s="30">
        <f>'Entradas '!B:B</f>
        <v>300670106</v>
      </c>
      <c r="B367" t="e">
        <f>VLOOKUP(A367,'Entradas '!B:F,3,FALSE)</f>
        <v>#N/A</v>
      </c>
      <c r="C367" t="e">
        <f>VLOOKUP(A367,'Entradas '!B:F,4,FALSE)</f>
        <v>#N/A</v>
      </c>
      <c r="D367" t="e">
        <f>VLOOKUP(A367,'Entradas '!B:F,5,FALSE)</f>
        <v>#N/A</v>
      </c>
      <c r="E367" t="e">
        <f>SUMIF('Entradas '!B:B,Inventario!A367,'Entradas '!F:F)-SUMIF('Salidas '!B:B,Inventario!A367,'Salidas '!F:F)</f>
        <v>#N/A</v>
      </c>
    </row>
    <row r="368" spans="1:5" x14ac:dyDescent="0.25">
      <c r="A368" s="30">
        <f>'Entradas '!B:B</f>
        <v>300670107</v>
      </c>
      <c r="B368" t="e">
        <f>VLOOKUP(A368,'Entradas '!B:F,3,FALSE)</f>
        <v>#N/A</v>
      </c>
      <c r="C368" t="e">
        <f>VLOOKUP(A368,'Entradas '!B:F,4,FALSE)</f>
        <v>#N/A</v>
      </c>
      <c r="D368" t="e">
        <f>VLOOKUP(A368,'Entradas '!B:F,5,FALSE)</f>
        <v>#N/A</v>
      </c>
      <c r="E368" t="e">
        <f>SUMIF('Entradas '!B:B,Inventario!A368,'Entradas '!F:F)-SUMIF('Salidas '!B:B,Inventario!A368,'Salidas '!F:F)</f>
        <v>#N/A</v>
      </c>
    </row>
    <row r="369" spans="1:5" x14ac:dyDescent="0.25">
      <c r="A369" s="30">
        <f>'Entradas '!B:B</f>
        <v>300670108</v>
      </c>
      <c r="B369" t="e">
        <f>VLOOKUP(A369,'Entradas '!B:F,3,FALSE)</f>
        <v>#N/A</v>
      </c>
      <c r="C369" t="e">
        <f>VLOOKUP(A369,'Entradas '!B:F,4,FALSE)</f>
        <v>#N/A</v>
      </c>
      <c r="D369" t="e">
        <f>VLOOKUP(A369,'Entradas '!B:F,5,FALSE)</f>
        <v>#N/A</v>
      </c>
      <c r="E369" t="e">
        <f>SUMIF('Entradas '!B:B,Inventario!A369,'Entradas '!F:F)-SUMIF('Salidas '!B:B,Inventario!A369,'Salidas '!F:F)</f>
        <v>#N/A</v>
      </c>
    </row>
    <row r="370" spans="1:5" x14ac:dyDescent="0.25">
      <c r="A370" s="30">
        <f>'Entradas '!B:B</f>
        <v>300670109</v>
      </c>
      <c r="B370" t="e">
        <f>VLOOKUP(A370,'Entradas '!B:F,3,FALSE)</f>
        <v>#N/A</v>
      </c>
      <c r="C370" t="e">
        <f>VLOOKUP(A370,'Entradas '!B:F,4,FALSE)</f>
        <v>#N/A</v>
      </c>
      <c r="D370" t="e">
        <f>VLOOKUP(A370,'Entradas '!B:F,5,FALSE)</f>
        <v>#N/A</v>
      </c>
      <c r="E370" t="e">
        <f>SUMIF('Entradas '!B:B,Inventario!A370,'Entradas '!F:F)-SUMIF('Salidas '!B:B,Inventario!A370,'Salidas '!F:F)</f>
        <v>#N/A</v>
      </c>
    </row>
    <row r="371" spans="1:5" x14ac:dyDescent="0.25">
      <c r="A371" s="30">
        <f>'Entradas '!B:B</f>
        <v>300670110</v>
      </c>
      <c r="B371" t="e">
        <f>VLOOKUP(A371,'Entradas '!B:F,3,FALSE)</f>
        <v>#N/A</v>
      </c>
      <c r="C371" t="e">
        <f>VLOOKUP(A371,'Entradas '!B:F,4,FALSE)</f>
        <v>#N/A</v>
      </c>
      <c r="D371" t="e">
        <f>VLOOKUP(A371,'Entradas '!B:F,5,FALSE)</f>
        <v>#N/A</v>
      </c>
      <c r="E371" t="e">
        <f>SUMIF('Entradas '!B:B,Inventario!A371,'Entradas '!F:F)-SUMIF('Salidas '!B:B,Inventario!A371,'Salidas '!F:F)</f>
        <v>#N/A</v>
      </c>
    </row>
    <row r="372" spans="1:5" x14ac:dyDescent="0.25">
      <c r="A372" s="30">
        <f>'Entradas '!B:B</f>
        <v>300670111</v>
      </c>
      <c r="B372" t="e">
        <f>VLOOKUP(A372,'Entradas '!B:F,3,FALSE)</f>
        <v>#N/A</v>
      </c>
      <c r="C372" t="e">
        <f>VLOOKUP(A372,'Entradas '!B:F,4,FALSE)</f>
        <v>#N/A</v>
      </c>
      <c r="D372" t="e">
        <f>VLOOKUP(A372,'Entradas '!B:F,5,FALSE)</f>
        <v>#N/A</v>
      </c>
      <c r="E372" t="e">
        <f>SUMIF('Entradas '!B:B,Inventario!A372,'Entradas '!F:F)-SUMIF('Salidas '!B:B,Inventario!A372,'Salidas '!F:F)</f>
        <v>#N/A</v>
      </c>
    </row>
    <row r="373" spans="1:5" x14ac:dyDescent="0.25">
      <c r="A373" s="30">
        <f>'Entradas '!B:B</f>
        <v>300670112</v>
      </c>
      <c r="B373" t="e">
        <f>VLOOKUP(A373,'Entradas '!B:F,3,FALSE)</f>
        <v>#N/A</v>
      </c>
      <c r="C373" t="e">
        <f>VLOOKUP(A373,'Entradas '!B:F,4,FALSE)</f>
        <v>#N/A</v>
      </c>
      <c r="D373" t="e">
        <f>VLOOKUP(A373,'Entradas '!B:F,5,FALSE)</f>
        <v>#N/A</v>
      </c>
      <c r="E373" t="e">
        <f>SUMIF('Entradas '!B:B,Inventario!A373,'Entradas '!F:F)-SUMIF('Salidas '!B:B,Inventario!A373,'Salidas '!F:F)</f>
        <v>#N/A</v>
      </c>
    </row>
    <row r="374" spans="1:5" x14ac:dyDescent="0.25">
      <c r="A374" s="30">
        <f>'Entradas '!B:B</f>
        <v>300670113</v>
      </c>
      <c r="B374" t="e">
        <f>VLOOKUP(A374,'Entradas '!B:F,3,FALSE)</f>
        <v>#N/A</v>
      </c>
      <c r="C374" t="e">
        <f>VLOOKUP(A374,'Entradas '!B:F,4,FALSE)</f>
        <v>#N/A</v>
      </c>
      <c r="D374" t="e">
        <f>VLOOKUP(A374,'Entradas '!B:F,5,FALSE)</f>
        <v>#N/A</v>
      </c>
      <c r="E374" t="e">
        <f>SUMIF('Entradas '!B:B,Inventario!A374,'Entradas '!F:F)-SUMIF('Salidas '!B:B,Inventario!A374,'Salidas '!F:F)</f>
        <v>#N/A</v>
      </c>
    </row>
    <row r="375" spans="1:5" x14ac:dyDescent="0.25">
      <c r="A375" s="30">
        <f>'Entradas '!B:B</f>
        <v>300670114</v>
      </c>
      <c r="B375" t="e">
        <f>VLOOKUP(A375,'Entradas '!B:F,3,FALSE)</f>
        <v>#N/A</v>
      </c>
      <c r="C375" t="e">
        <f>VLOOKUP(A375,'Entradas '!B:F,4,FALSE)</f>
        <v>#N/A</v>
      </c>
      <c r="D375" t="e">
        <f>VLOOKUP(A375,'Entradas '!B:F,5,FALSE)</f>
        <v>#N/A</v>
      </c>
      <c r="E375" t="e">
        <f>SUMIF('Entradas '!B:B,Inventario!A375,'Entradas '!F:F)-SUMIF('Salidas '!B:B,Inventario!A375,'Salidas '!F:F)</f>
        <v>#N/A</v>
      </c>
    </row>
    <row r="376" spans="1:5" x14ac:dyDescent="0.25">
      <c r="A376" s="30">
        <f>'Entradas '!B:B</f>
        <v>300670115</v>
      </c>
      <c r="B376" t="e">
        <f>VLOOKUP(A376,'Entradas '!B:F,3,FALSE)</f>
        <v>#N/A</v>
      </c>
      <c r="C376" t="e">
        <f>VLOOKUP(A376,'Entradas '!B:F,4,FALSE)</f>
        <v>#N/A</v>
      </c>
      <c r="D376" t="e">
        <f>VLOOKUP(A376,'Entradas '!B:F,5,FALSE)</f>
        <v>#N/A</v>
      </c>
      <c r="E376" t="e">
        <f>SUMIF('Entradas '!B:B,Inventario!A376,'Entradas '!F:F)-SUMIF('Salidas '!B:B,Inventario!A376,'Salidas '!F:F)</f>
        <v>#N/A</v>
      </c>
    </row>
    <row r="377" spans="1:5" x14ac:dyDescent="0.25">
      <c r="A377" s="30">
        <f>'Entradas '!B:B</f>
        <v>300670116</v>
      </c>
      <c r="B377" t="e">
        <f>VLOOKUP(A377,'Entradas '!B:F,3,FALSE)</f>
        <v>#N/A</v>
      </c>
      <c r="C377" t="e">
        <f>VLOOKUP(A377,'Entradas '!B:F,4,FALSE)</f>
        <v>#N/A</v>
      </c>
      <c r="D377" t="e">
        <f>VLOOKUP(A377,'Entradas '!B:F,5,FALSE)</f>
        <v>#N/A</v>
      </c>
      <c r="E377" t="e">
        <f>SUMIF('Entradas '!B:B,Inventario!A377,'Entradas '!F:F)-SUMIF('Salidas '!B:B,Inventario!A377,'Salidas '!F:F)</f>
        <v>#N/A</v>
      </c>
    </row>
    <row r="378" spans="1:5" x14ac:dyDescent="0.25">
      <c r="A378" s="30">
        <f>'Entradas '!B:B</f>
        <v>300670117</v>
      </c>
      <c r="B378" t="e">
        <f>VLOOKUP(A378,'Entradas '!B:F,3,FALSE)</f>
        <v>#N/A</v>
      </c>
      <c r="C378" t="e">
        <f>VLOOKUP(A378,'Entradas '!B:F,4,FALSE)</f>
        <v>#N/A</v>
      </c>
      <c r="D378" t="e">
        <f>VLOOKUP(A378,'Entradas '!B:F,5,FALSE)</f>
        <v>#N/A</v>
      </c>
      <c r="E378" t="e">
        <f>SUMIF('Entradas '!B:B,Inventario!A378,'Entradas '!F:F)-SUMIF('Salidas '!B:B,Inventario!A378,'Salidas '!F:F)</f>
        <v>#N/A</v>
      </c>
    </row>
    <row r="379" spans="1:5" x14ac:dyDescent="0.25">
      <c r="A379" s="30">
        <f>'Entradas '!B:B</f>
        <v>3012905201901</v>
      </c>
      <c r="B379" t="e">
        <f>VLOOKUP(A379,'Entradas '!B:F,3,FALSE)</f>
        <v>#N/A</v>
      </c>
      <c r="C379" t="e">
        <f>VLOOKUP(A379,'Entradas '!B:F,4,FALSE)</f>
        <v>#N/A</v>
      </c>
      <c r="D379" t="e">
        <f>VLOOKUP(A379,'Entradas '!B:F,5,FALSE)</f>
        <v>#N/A</v>
      </c>
      <c r="E379" t="e">
        <f>SUMIF('Entradas '!B:B,Inventario!A379,'Entradas '!F:F)-SUMIF('Salidas '!B:B,Inventario!A379,'Salidas '!F:F)</f>
        <v>#N/A</v>
      </c>
    </row>
    <row r="380" spans="1:5" x14ac:dyDescent="0.25">
      <c r="A380" s="30">
        <f>'Entradas '!B:B</f>
        <v>3012905201902</v>
      </c>
      <c r="B380" t="e">
        <f>VLOOKUP(A380,'Entradas '!B:F,3,FALSE)</f>
        <v>#N/A</v>
      </c>
      <c r="C380" t="e">
        <f>VLOOKUP(A380,'Entradas '!B:F,4,FALSE)</f>
        <v>#N/A</v>
      </c>
      <c r="D380" t="e">
        <f>VLOOKUP(A380,'Entradas '!B:F,5,FALSE)</f>
        <v>#N/A</v>
      </c>
      <c r="E380" t="e">
        <f>SUMIF('Entradas '!B:B,Inventario!A380,'Entradas '!F:F)-SUMIF('Salidas '!B:B,Inventario!A380,'Salidas '!F:F)</f>
        <v>#N/A</v>
      </c>
    </row>
    <row r="381" spans="1:5" x14ac:dyDescent="0.25">
      <c r="A381" s="30">
        <f>'Entradas '!B:B</f>
        <v>3012905201903</v>
      </c>
      <c r="B381" t="e">
        <f>VLOOKUP(A381,'Entradas '!B:F,3,FALSE)</f>
        <v>#N/A</v>
      </c>
      <c r="C381" t="e">
        <f>VLOOKUP(A381,'Entradas '!B:F,4,FALSE)</f>
        <v>#N/A</v>
      </c>
      <c r="D381" t="e">
        <f>VLOOKUP(A381,'Entradas '!B:F,5,FALSE)</f>
        <v>#N/A</v>
      </c>
      <c r="E381" t="e">
        <f>SUMIF('Entradas '!B:B,Inventario!A381,'Entradas '!F:F)-SUMIF('Salidas '!B:B,Inventario!A381,'Salidas '!F:F)</f>
        <v>#N/A</v>
      </c>
    </row>
    <row r="382" spans="1:5" x14ac:dyDescent="0.25">
      <c r="A382" s="30">
        <f>'Entradas '!B:B</f>
        <v>3012905201904</v>
      </c>
      <c r="B382" t="e">
        <f>VLOOKUP(A382,'Entradas '!B:F,3,FALSE)</f>
        <v>#N/A</v>
      </c>
      <c r="C382" t="e">
        <f>VLOOKUP(A382,'Entradas '!B:F,4,FALSE)</f>
        <v>#N/A</v>
      </c>
      <c r="D382" t="e">
        <f>VLOOKUP(A382,'Entradas '!B:F,5,FALSE)</f>
        <v>#N/A</v>
      </c>
      <c r="E382" t="e">
        <f>SUMIF('Entradas '!B:B,Inventario!A382,'Entradas '!F:F)-SUMIF('Salidas '!B:B,Inventario!A382,'Salidas '!F:F)</f>
        <v>#N/A</v>
      </c>
    </row>
    <row r="383" spans="1:5" x14ac:dyDescent="0.25">
      <c r="A383" s="30">
        <f>'Entradas '!B:B</f>
        <v>3012905201905</v>
      </c>
      <c r="B383" t="e">
        <f>VLOOKUP(A383,'Entradas '!B:F,3,FALSE)</f>
        <v>#N/A</v>
      </c>
      <c r="C383" t="e">
        <f>VLOOKUP(A383,'Entradas '!B:F,4,FALSE)</f>
        <v>#N/A</v>
      </c>
      <c r="D383" t="e">
        <f>VLOOKUP(A383,'Entradas '!B:F,5,FALSE)</f>
        <v>#N/A</v>
      </c>
      <c r="E383" t="e">
        <f>SUMIF('Entradas '!B:B,Inventario!A383,'Entradas '!F:F)-SUMIF('Salidas '!B:B,Inventario!A383,'Salidas '!F:F)</f>
        <v>#N/A</v>
      </c>
    </row>
    <row r="384" spans="1:5" x14ac:dyDescent="0.25">
      <c r="A384" s="30">
        <f>'Entradas '!B:B</f>
        <v>3012905201906</v>
      </c>
      <c r="B384" t="e">
        <f>VLOOKUP(A384,'Entradas '!B:F,3,FALSE)</f>
        <v>#N/A</v>
      </c>
      <c r="C384" t="e">
        <f>VLOOKUP(A384,'Entradas '!B:F,4,FALSE)</f>
        <v>#N/A</v>
      </c>
      <c r="D384" t="e">
        <f>VLOOKUP(A384,'Entradas '!B:F,5,FALSE)</f>
        <v>#N/A</v>
      </c>
      <c r="E384" t="e">
        <f>SUMIF('Entradas '!B:B,Inventario!A384,'Entradas '!F:F)-SUMIF('Salidas '!B:B,Inventario!A384,'Salidas '!F:F)</f>
        <v>#N/A</v>
      </c>
    </row>
    <row r="385" spans="1:5" x14ac:dyDescent="0.25">
      <c r="A385" s="30">
        <f>'Entradas '!B:B</f>
        <v>3012905201907</v>
      </c>
      <c r="B385" t="e">
        <f>VLOOKUP(A385,'Entradas '!B:F,3,FALSE)</f>
        <v>#N/A</v>
      </c>
      <c r="C385" t="e">
        <f>VLOOKUP(A385,'Entradas '!B:F,4,FALSE)</f>
        <v>#N/A</v>
      </c>
      <c r="D385" t="e">
        <f>VLOOKUP(A385,'Entradas '!B:F,5,FALSE)</f>
        <v>#N/A</v>
      </c>
      <c r="E385" t="e">
        <f>SUMIF('Entradas '!B:B,Inventario!A385,'Entradas '!F:F)-SUMIF('Salidas '!B:B,Inventario!A385,'Salidas '!F:F)</f>
        <v>#N/A</v>
      </c>
    </row>
    <row r="386" spans="1:5" x14ac:dyDescent="0.25">
      <c r="A386" s="30">
        <f>'Entradas '!B:B</f>
        <v>3012905201908</v>
      </c>
      <c r="B386" t="e">
        <f>VLOOKUP(A386,'Entradas '!B:F,3,FALSE)</f>
        <v>#N/A</v>
      </c>
      <c r="C386" t="e">
        <f>VLOOKUP(A386,'Entradas '!B:F,4,FALSE)</f>
        <v>#N/A</v>
      </c>
      <c r="D386" t="e">
        <f>VLOOKUP(A386,'Entradas '!B:F,5,FALSE)</f>
        <v>#N/A</v>
      </c>
      <c r="E386" t="e">
        <f>SUMIF('Entradas '!B:B,Inventario!A386,'Entradas '!F:F)-SUMIF('Salidas '!B:B,Inventario!A386,'Salidas '!F:F)</f>
        <v>#N/A</v>
      </c>
    </row>
    <row r="387" spans="1:5" x14ac:dyDescent="0.25">
      <c r="A387" s="30">
        <f>'Entradas '!B:B</f>
        <v>3012905201909</v>
      </c>
      <c r="B387" t="e">
        <f>VLOOKUP(A387,'Entradas '!B:F,3,FALSE)</f>
        <v>#N/A</v>
      </c>
      <c r="C387" t="e">
        <f>VLOOKUP(A387,'Entradas '!B:F,4,FALSE)</f>
        <v>#N/A</v>
      </c>
      <c r="D387" t="e">
        <f>VLOOKUP(A387,'Entradas '!B:F,5,FALSE)</f>
        <v>#N/A</v>
      </c>
      <c r="E387" t="e">
        <f>SUMIF('Entradas '!B:B,Inventario!A387,'Entradas '!F:F)-SUMIF('Salidas '!B:B,Inventario!A387,'Salidas '!F:F)</f>
        <v>#N/A</v>
      </c>
    </row>
    <row r="388" spans="1:5" x14ac:dyDescent="0.25">
      <c r="A388" s="30">
        <f>'Entradas '!B:B</f>
        <v>3012905201910</v>
      </c>
      <c r="B388" t="e">
        <f>VLOOKUP(A388,'Entradas '!B:F,3,FALSE)</f>
        <v>#N/A</v>
      </c>
      <c r="C388" t="e">
        <f>VLOOKUP(A388,'Entradas '!B:F,4,FALSE)</f>
        <v>#N/A</v>
      </c>
      <c r="D388" t="e">
        <f>VLOOKUP(A388,'Entradas '!B:F,5,FALSE)</f>
        <v>#N/A</v>
      </c>
      <c r="E388" t="e">
        <f>SUMIF('Entradas '!B:B,Inventario!A388,'Entradas '!F:F)-SUMIF('Salidas '!B:B,Inventario!A388,'Salidas '!F:F)</f>
        <v>#N/A</v>
      </c>
    </row>
    <row r="389" spans="1:5" x14ac:dyDescent="0.25">
      <c r="A389" s="30">
        <f>'Entradas '!B:B</f>
        <v>3012905201911</v>
      </c>
      <c r="B389" t="e">
        <f>VLOOKUP(A389,'Entradas '!B:F,3,FALSE)</f>
        <v>#N/A</v>
      </c>
      <c r="C389" t="e">
        <f>VLOOKUP(A389,'Entradas '!B:F,4,FALSE)</f>
        <v>#N/A</v>
      </c>
      <c r="D389" t="e">
        <f>VLOOKUP(A389,'Entradas '!B:F,5,FALSE)</f>
        <v>#N/A</v>
      </c>
      <c r="E389" t="e">
        <f>SUMIF('Entradas '!B:B,Inventario!A389,'Entradas '!F:F)-SUMIF('Salidas '!B:B,Inventario!A389,'Salidas '!F:F)</f>
        <v>#N/A</v>
      </c>
    </row>
    <row r="390" spans="1:5" x14ac:dyDescent="0.25">
      <c r="A390" s="30">
        <f>'Entradas '!B:B</f>
        <v>3012905201912</v>
      </c>
      <c r="B390" t="e">
        <f>VLOOKUP(A390,'Entradas '!B:F,3,FALSE)</f>
        <v>#N/A</v>
      </c>
      <c r="C390" t="e">
        <f>VLOOKUP(A390,'Entradas '!B:F,4,FALSE)</f>
        <v>#N/A</v>
      </c>
      <c r="D390" t="e">
        <f>VLOOKUP(A390,'Entradas '!B:F,5,FALSE)</f>
        <v>#N/A</v>
      </c>
      <c r="E390" t="e">
        <f>SUMIF('Entradas '!B:B,Inventario!A390,'Entradas '!F:F)-SUMIF('Salidas '!B:B,Inventario!A390,'Salidas '!F:F)</f>
        <v>#N/A</v>
      </c>
    </row>
    <row r="391" spans="1:5" x14ac:dyDescent="0.25">
      <c r="A391" s="30">
        <f>'Entradas '!B:B</f>
        <v>3012905201913</v>
      </c>
      <c r="B391" t="e">
        <f>VLOOKUP(A391,'Entradas '!B:F,3,FALSE)</f>
        <v>#N/A</v>
      </c>
      <c r="C391" t="e">
        <f>VLOOKUP(A391,'Entradas '!B:F,4,FALSE)</f>
        <v>#N/A</v>
      </c>
      <c r="D391" t="e">
        <f>VLOOKUP(A391,'Entradas '!B:F,5,FALSE)</f>
        <v>#N/A</v>
      </c>
      <c r="E391" t="e">
        <f>SUMIF('Entradas '!B:B,Inventario!A391,'Entradas '!F:F)-SUMIF('Salidas '!B:B,Inventario!A391,'Salidas '!F:F)</f>
        <v>#N/A</v>
      </c>
    </row>
    <row r="392" spans="1:5" x14ac:dyDescent="0.25">
      <c r="A392" s="30">
        <f>'Entradas '!B:B</f>
        <v>3012905201914</v>
      </c>
      <c r="B392" t="e">
        <f>VLOOKUP(A392,'Entradas '!B:F,3,FALSE)</f>
        <v>#N/A</v>
      </c>
      <c r="C392" t="e">
        <f>VLOOKUP(A392,'Entradas '!B:F,4,FALSE)</f>
        <v>#N/A</v>
      </c>
      <c r="D392" t="e">
        <f>VLOOKUP(A392,'Entradas '!B:F,5,FALSE)</f>
        <v>#N/A</v>
      </c>
      <c r="E392" t="e">
        <f>SUMIF('Entradas '!B:B,Inventario!A392,'Entradas '!F:F)-SUMIF('Salidas '!B:B,Inventario!A392,'Salidas '!F:F)</f>
        <v>#N/A</v>
      </c>
    </row>
    <row r="393" spans="1:5" x14ac:dyDescent="0.25">
      <c r="A393" s="30">
        <f>'Entradas '!B:B</f>
        <v>3012905201915</v>
      </c>
      <c r="B393" t="e">
        <f>VLOOKUP(A393,'Entradas '!B:F,3,FALSE)</f>
        <v>#N/A</v>
      </c>
      <c r="C393" t="e">
        <f>VLOOKUP(A393,'Entradas '!B:F,4,FALSE)</f>
        <v>#N/A</v>
      </c>
      <c r="D393" t="e">
        <f>VLOOKUP(A393,'Entradas '!B:F,5,FALSE)</f>
        <v>#N/A</v>
      </c>
      <c r="E393" t="e">
        <f>SUMIF('Entradas '!B:B,Inventario!A393,'Entradas '!F:F)-SUMIF('Salidas '!B:B,Inventario!A393,'Salidas '!F:F)</f>
        <v>#N/A</v>
      </c>
    </row>
    <row r="394" spans="1:5" x14ac:dyDescent="0.25">
      <c r="A394" s="30">
        <f>'Entradas '!B:B</f>
        <v>3012905201916</v>
      </c>
      <c r="B394" t="e">
        <f>VLOOKUP(A394,'Entradas '!B:F,3,FALSE)</f>
        <v>#N/A</v>
      </c>
      <c r="C394" t="e">
        <f>VLOOKUP(A394,'Entradas '!B:F,4,FALSE)</f>
        <v>#N/A</v>
      </c>
      <c r="D394" t="e">
        <f>VLOOKUP(A394,'Entradas '!B:F,5,FALSE)</f>
        <v>#N/A</v>
      </c>
      <c r="E394" t="e">
        <f>SUMIF('Entradas '!B:B,Inventario!A394,'Entradas '!F:F)-SUMIF('Salidas '!B:B,Inventario!A394,'Salidas '!F:F)</f>
        <v>#N/A</v>
      </c>
    </row>
    <row r="395" spans="1:5" x14ac:dyDescent="0.25">
      <c r="A395" s="30">
        <f>'Entradas '!B:B</f>
        <v>3012905201917</v>
      </c>
      <c r="B395" t="e">
        <f>VLOOKUP(A395,'Entradas '!B:F,3,FALSE)</f>
        <v>#N/A</v>
      </c>
      <c r="C395" t="e">
        <f>VLOOKUP(A395,'Entradas '!B:F,4,FALSE)</f>
        <v>#N/A</v>
      </c>
      <c r="D395" t="e">
        <f>VLOOKUP(A395,'Entradas '!B:F,5,FALSE)</f>
        <v>#N/A</v>
      </c>
      <c r="E395" t="e">
        <f>SUMIF('Entradas '!B:B,Inventario!A395,'Entradas '!F:F)-SUMIF('Salidas '!B:B,Inventario!A395,'Salidas '!F:F)</f>
        <v>#N/A</v>
      </c>
    </row>
    <row r="396" spans="1:5" x14ac:dyDescent="0.25">
      <c r="A396" s="30">
        <f>'Entradas '!B:B</f>
        <v>3012905201918</v>
      </c>
      <c r="B396" t="e">
        <f>VLOOKUP(A396,'Entradas '!B:F,3,FALSE)</f>
        <v>#N/A</v>
      </c>
      <c r="C396" t="e">
        <f>VLOOKUP(A396,'Entradas '!B:F,4,FALSE)</f>
        <v>#N/A</v>
      </c>
      <c r="D396" t="e">
        <f>VLOOKUP(A396,'Entradas '!B:F,5,FALSE)</f>
        <v>#N/A</v>
      </c>
      <c r="E396" t="e">
        <f>SUMIF('Entradas '!B:B,Inventario!A396,'Entradas '!F:F)-SUMIF('Salidas '!B:B,Inventario!A396,'Salidas '!F:F)</f>
        <v>#N/A</v>
      </c>
    </row>
    <row r="397" spans="1:5" x14ac:dyDescent="0.25">
      <c r="A397" s="30">
        <f>'Entradas '!B:B</f>
        <v>3012905201919</v>
      </c>
      <c r="B397" t="e">
        <f>VLOOKUP(A397,'Entradas '!B:F,3,FALSE)</f>
        <v>#N/A</v>
      </c>
      <c r="C397" t="e">
        <f>VLOOKUP(A397,'Entradas '!B:F,4,FALSE)</f>
        <v>#N/A</v>
      </c>
      <c r="D397" t="e">
        <f>VLOOKUP(A397,'Entradas '!B:F,5,FALSE)</f>
        <v>#N/A</v>
      </c>
      <c r="E397" t="e">
        <f>SUMIF('Entradas '!B:B,Inventario!A397,'Entradas '!F:F)-SUMIF('Salidas '!B:B,Inventario!A397,'Salidas '!F:F)</f>
        <v>#N/A</v>
      </c>
    </row>
    <row r="398" spans="1:5" x14ac:dyDescent="0.25">
      <c r="A398" s="30">
        <f>'Entradas '!B:B</f>
        <v>3012905201920</v>
      </c>
      <c r="B398" t="e">
        <f>VLOOKUP(A398,'Entradas '!B:F,3,FALSE)</f>
        <v>#N/A</v>
      </c>
      <c r="C398" t="e">
        <f>VLOOKUP(A398,'Entradas '!B:F,4,FALSE)</f>
        <v>#N/A</v>
      </c>
      <c r="D398" t="e">
        <f>VLOOKUP(A398,'Entradas '!B:F,5,FALSE)</f>
        <v>#N/A</v>
      </c>
      <c r="E398" t="e">
        <f>SUMIF('Entradas '!B:B,Inventario!A398,'Entradas '!F:F)-SUMIF('Salidas '!B:B,Inventario!A398,'Salidas '!F:F)</f>
        <v>#N/A</v>
      </c>
    </row>
    <row r="399" spans="1:5" x14ac:dyDescent="0.25">
      <c r="A399" s="30">
        <f>'Entradas '!B:B</f>
        <v>3012905201921</v>
      </c>
      <c r="B399" t="e">
        <f>VLOOKUP(A399,'Entradas '!B:F,3,FALSE)</f>
        <v>#N/A</v>
      </c>
      <c r="C399" t="e">
        <f>VLOOKUP(A399,'Entradas '!B:F,4,FALSE)</f>
        <v>#N/A</v>
      </c>
      <c r="D399" t="e">
        <f>VLOOKUP(A399,'Entradas '!B:F,5,FALSE)</f>
        <v>#N/A</v>
      </c>
      <c r="E399" t="e">
        <f>SUMIF('Entradas '!B:B,Inventario!A399,'Entradas '!F:F)-SUMIF('Salidas '!B:B,Inventario!A399,'Salidas '!F:F)</f>
        <v>#N/A</v>
      </c>
    </row>
    <row r="400" spans="1:5" x14ac:dyDescent="0.25">
      <c r="A400" s="30">
        <f>'Entradas '!B:B</f>
        <v>3012905201922</v>
      </c>
      <c r="B400" t="e">
        <f>VLOOKUP(A400,'Entradas '!B:F,3,FALSE)</f>
        <v>#N/A</v>
      </c>
      <c r="C400" t="e">
        <f>VLOOKUP(A400,'Entradas '!B:F,4,FALSE)</f>
        <v>#N/A</v>
      </c>
      <c r="D400" t="e">
        <f>VLOOKUP(A400,'Entradas '!B:F,5,FALSE)</f>
        <v>#N/A</v>
      </c>
      <c r="E400" t="e">
        <f>SUMIF('Entradas '!B:B,Inventario!A400,'Entradas '!F:F)-SUMIF('Salidas '!B:B,Inventario!A400,'Salidas '!F:F)</f>
        <v>#N/A</v>
      </c>
    </row>
    <row r="401" spans="1:5" x14ac:dyDescent="0.25">
      <c r="A401" s="30">
        <f>'Entradas '!B:B</f>
        <v>3012905201923</v>
      </c>
      <c r="B401" t="e">
        <f>VLOOKUP(A401,'Entradas '!B:F,3,FALSE)</f>
        <v>#N/A</v>
      </c>
      <c r="C401" t="e">
        <f>VLOOKUP(A401,'Entradas '!B:F,4,FALSE)</f>
        <v>#N/A</v>
      </c>
      <c r="D401" t="e">
        <f>VLOOKUP(A401,'Entradas '!B:F,5,FALSE)</f>
        <v>#N/A</v>
      </c>
      <c r="E401" t="e">
        <f>SUMIF('Entradas '!B:B,Inventario!A401,'Entradas '!F:F)-SUMIF('Salidas '!B:B,Inventario!A401,'Salidas '!F:F)</f>
        <v>#N/A</v>
      </c>
    </row>
    <row r="402" spans="1:5" x14ac:dyDescent="0.25">
      <c r="A402" s="30">
        <f>'Entradas '!B:B</f>
        <v>3012905201924</v>
      </c>
      <c r="B402" t="e">
        <f>VLOOKUP(A402,'Entradas '!B:F,3,FALSE)</f>
        <v>#N/A</v>
      </c>
      <c r="C402" t="e">
        <f>VLOOKUP(A402,'Entradas '!B:F,4,FALSE)</f>
        <v>#N/A</v>
      </c>
      <c r="D402" t="e">
        <f>VLOOKUP(A402,'Entradas '!B:F,5,FALSE)</f>
        <v>#N/A</v>
      </c>
      <c r="E402" t="e">
        <f>SUMIF('Entradas '!B:B,Inventario!A402,'Entradas '!F:F)-SUMIF('Salidas '!B:B,Inventario!A402,'Salidas '!F:F)</f>
        <v>#N/A</v>
      </c>
    </row>
    <row r="403" spans="1:5" x14ac:dyDescent="0.25">
      <c r="A403" s="30">
        <f>'Entradas '!B:B</f>
        <v>3012905201925</v>
      </c>
      <c r="B403" t="e">
        <f>VLOOKUP(A403,'Entradas '!B:F,3,FALSE)</f>
        <v>#N/A</v>
      </c>
      <c r="C403" t="e">
        <f>VLOOKUP(A403,'Entradas '!B:F,4,FALSE)</f>
        <v>#N/A</v>
      </c>
      <c r="D403" t="e">
        <f>VLOOKUP(A403,'Entradas '!B:F,5,FALSE)</f>
        <v>#N/A</v>
      </c>
      <c r="E403" t="e">
        <f>SUMIF('Entradas '!B:B,Inventario!A403,'Entradas '!F:F)-SUMIF('Salidas '!B:B,Inventario!A403,'Salidas '!F:F)</f>
        <v>#N/A</v>
      </c>
    </row>
    <row r="404" spans="1:5" x14ac:dyDescent="0.25">
      <c r="A404" s="30">
        <f>'Entradas '!B:B</f>
        <v>3012905201926</v>
      </c>
      <c r="B404" t="e">
        <f>VLOOKUP(A404,'Entradas '!B:F,3,FALSE)</f>
        <v>#N/A</v>
      </c>
      <c r="C404" t="e">
        <f>VLOOKUP(A404,'Entradas '!B:F,4,FALSE)</f>
        <v>#N/A</v>
      </c>
      <c r="D404" t="e">
        <f>VLOOKUP(A404,'Entradas '!B:F,5,FALSE)</f>
        <v>#N/A</v>
      </c>
      <c r="E404" t="e">
        <f>SUMIF('Entradas '!B:B,Inventario!A404,'Entradas '!F:F)-SUMIF('Salidas '!B:B,Inventario!A404,'Salidas '!F:F)</f>
        <v>#N/A</v>
      </c>
    </row>
    <row r="405" spans="1:5" x14ac:dyDescent="0.25">
      <c r="A405" s="30">
        <f>'Entradas '!B:B</f>
        <v>3012905201927</v>
      </c>
      <c r="B405" t="e">
        <f>VLOOKUP(A405,'Entradas '!B:F,3,FALSE)</f>
        <v>#N/A</v>
      </c>
      <c r="C405" t="e">
        <f>VLOOKUP(A405,'Entradas '!B:F,4,FALSE)</f>
        <v>#N/A</v>
      </c>
      <c r="D405" t="e">
        <f>VLOOKUP(A405,'Entradas '!B:F,5,FALSE)</f>
        <v>#N/A</v>
      </c>
      <c r="E405" t="e">
        <f>SUMIF('Entradas '!B:B,Inventario!A405,'Entradas '!F:F)-SUMIF('Salidas '!B:B,Inventario!A405,'Salidas '!F:F)</f>
        <v>#N/A</v>
      </c>
    </row>
    <row r="406" spans="1:5" x14ac:dyDescent="0.25">
      <c r="A406" s="30">
        <f>'Entradas '!B:B</f>
        <v>3012905201928</v>
      </c>
      <c r="B406" t="e">
        <f>VLOOKUP(A406,'Entradas '!B:F,3,FALSE)</f>
        <v>#N/A</v>
      </c>
      <c r="C406" t="e">
        <f>VLOOKUP(A406,'Entradas '!B:F,4,FALSE)</f>
        <v>#N/A</v>
      </c>
      <c r="D406" t="e">
        <f>VLOOKUP(A406,'Entradas '!B:F,5,FALSE)</f>
        <v>#N/A</v>
      </c>
      <c r="E406" t="e">
        <f>SUMIF('Entradas '!B:B,Inventario!A406,'Entradas '!F:F)-SUMIF('Salidas '!B:B,Inventario!A406,'Salidas '!F:F)</f>
        <v>#N/A</v>
      </c>
    </row>
    <row r="407" spans="1:5" x14ac:dyDescent="0.25">
      <c r="A407" s="30">
        <f>'Entradas '!B:B</f>
        <v>3012905201929</v>
      </c>
      <c r="B407" t="e">
        <f>VLOOKUP(A407,'Entradas '!B:F,3,FALSE)</f>
        <v>#N/A</v>
      </c>
      <c r="C407" t="e">
        <f>VLOOKUP(A407,'Entradas '!B:F,4,FALSE)</f>
        <v>#N/A</v>
      </c>
      <c r="D407" t="e">
        <f>VLOOKUP(A407,'Entradas '!B:F,5,FALSE)</f>
        <v>#N/A</v>
      </c>
      <c r="E407" t="e">
        <f>SUMIF('Entradas '!B:B,Inventario!A407,'Entradas '!F:F)-SUMIF('Salidas '!B:B,Inventario!A407,'Salidas '!F:F)</f>
        <v>#N/A</v>
      </c>
    </row>
    <row r="408" spans="1:5" x14ac:dyDescent="0.25">
      <c r="A408" s="30">
        <f>'Entradas '!B:B</f>
        <v>3012905201930</v>
      </c>
      <c r="B408" t="e">
        <f>VLOOKUP(A408,'Entradas '!B:F,3,FALSE)</f>
        <v>#N/A</v>
      </c>
      <c r="C408" t="e">
        <f>VLOOKUP(A408,'Entradas '!B:F,4,FALSE)</f>
        <v>#N/A</v>
      </c>
      <c r="D408" t="e">
        <f>VLOOKUP(A408,'Entradas '!B:F,5,FALSE)</f>
        <v>#N/A</v>
      </c>
      <c r="E408" t="e">
        <f>SUMIF('Entradas '!B:B,Inventario!A408,'Entradas '!F:F)-SUMIF('Salidas '!B:B,Inventario!A408,'Salidas '!F:F)</f>
        <v>#N/A</v>
      </c>
    </row>
    <row r="409" spans="1:5" x14ac:dyDescent="0.25">
      <c r="A409" s="30">
        <f>'Entradas '!B:B</f>
        <v>0</v>
      </c>
      <c r="B409" t="e">
        <f>VLOOKUP(A409,'Entradas '!B:F,3,FALSE)</f>
        <v>#N/A</v>
      </c>
      <c r="C409" t="e">
        <f>VLOOKUP(A409,'Entradas '!B:F,4,FALSE)</f>
        <v>#N/A</v>
      </c>
      <c r="D409" t="e">
        <f>VLOOKUP(A409,'Entradas '!B:F,5,FALSE)</f>
        <v>#N/A</v>
      </c>
      <c r="E409">
        <f>SUMIF('Entradas '!B:B,Inventario!A409,'Entradas '!F:F)-SUMIF('Salidas '!B:B,Inventario!A409,'Salidas '!F:F)</f>
        <v>0</v>
      </c>
    </row>
    <row r="410" spans="1:5" x14ac:dyDescent="0.25">
      <c r="A410" s="30">
        <f>'Entradas '!B:B</f>
        <v>0</v>
      </c>
      <c r="B410" t="e">
        <f>VLOOKUP(A410,'Entradas '!B:F,3,FALSE)</f>
        <v>#N/A</v>
      </c>
      <c r="C410" t="e">
        <f>VLOOKUP(A410,'Entradas '!B:F,4,FALSE)</f>
        <v>#N/A</v>
      </c>
      <c r="D410" t="e">
        <f>VLOOKUP(A410,'Entradas '!B:F,5,FALSE)</f>
        <v>#N/A</v>
      </c>
      <c r="E410">
        <f>SUMIF('Entradas '!B:B,Inventario!A410,'Entradas '!F:F)-SUMIF('Salidas '!B:B,Inventario!A410,'Salidas '!F:F)</f>
        <v>0</v>
      </c>
    </row>
    <row r="411" spans="1:5" x14ac:dyDescent="0.25">
      <c r="A411" s="30">
        <f>'Entradas '!B:B</f>
        <v>0</v>
      </c>
      <c r="B411" t="e">
        <f>VLOOKUP(A411,'Entradas '!B:F,3,FALSE)</f>
        <v>#N/A</v>
      </c>
      <c r="C411" t="e">
        <f>VLOOKUP(A411,'Entradas '!B:F,4,FALSE)</f>
        <v>#N/A</v>
      </c>
      <c r="D411" t="e">
        <f>VLOOKUP(A411,'Entradas '!B:F,5,FALSE)</f>
        <v>#N/A</v>
      </c>
      <c r="E411">
        <f>SUMIF('Entradas '!B:B,Inventario!A411,'Entradas '!F:F)-SUMIF('Salidas '!B:B,Inventario!A411,'Salidas '!F:F)</f>
        <v>0</v>
      </c>
    </row>
    <row r="412" spans="1:5" x14ac:dyDescent="0.25">
      <c r="A412" s="30">
        <f>'Entradas '!B:B</f>
        <v>0</v>
      </c>
      <c r="B412" t="e">
        <f>VLOOKUP(A412,'Entradas '!B:F,3,FALSE)</f>
        <v>#N/A</v>
      </c>
      <c r="C412" t="e">
        <f>VLOOKUP(A412,'Entradas '!B:F,4,FALSE)</f>
        <v>#N/A</v>
      </c>
      <c r="D412" t="e">
        <f>VLOOKUP(A412,'Entradas '!B:F,5,FALSE)</f>
        <v>#N/A</v>
      </c>
      <c r="E412">
        <f>SUMIF('Entradas '!B:B,Inventario!A412,'Entradas '!F:F)-SUMIF('Salidas '!B:B,Inventario!A412,'Salidas '!F:F)</f>
        <v>0</v>
      </c>
    </row>
    <row r="413" spans="1:5" x14ac:dyDescent="0.25">
      <c r="A413" s="30">
        <f>'Entradas '!B:B</f>
        <v>0</v>
      </c>
      <c r="B413" t="e">
        <f>VLOOKUP(A413,'Entradas '!B:F,3,FALSE)</f>
        <v>#N/A</v>
      </c>
      <c r="C413" t="e">
        <f>VLOOKUP(A413,'Entradas '!B:F,4,FALSE)</f>
        <v>#N/A</v>
      </c>
      <c r="D413" t="e">
        <f>VLOOKUP(A413,'Entradas '!B:F,5,FALSE)</f>
        <v>#N/A</v>
      </c>
      <c r="E413">
        <f>SUMIF('Entradas '!B:B,Inventario!A413,'Entradas '!F:F)-SUMIF('Salidas '!B:B,Inventario!A413,'Salidas '!F:F)</f>
        <v>0</v>
      </c>
    </row>
    <row r="414" spans="1:5" x14ac:dyDescent="0.25">
      <c r="A414" s="30">
        <f>'Entradas '!B:B</f>
        <v>0</v>
      </c>
      <c r="B414" t="e">
        <f>VLOOKUP(A414,'Entradas '!B:F,3,FALSE)</f>
        <v>#N/A</v>
      </c>
      <c r="C414" t="e">
        <f>VLOOKUP(A414,'Entradas '!B:F,4,FALSE)</f>
        <v>#N/A</v>
      </c>
      <c r="D414" t="e">
        <f>VLOOKUP(A414,'Entradas '!B:F,5,FALSE)</f>
        <v>#N/A</v>
      </c>
      <c r="E414">
        <f>SUMIF('Entradas '!B:B,Inventario!A414,'Entradas '!F:F)-SUMIF('Salidas '!B:B,Inventario!A414,'Salidas '!F:F)</f>
        <v>0</v>
      </c>
    </row>
    <row r="415" spans="1:5" x14ac:dyDescent="0.25">
      <c r="A415" s="30">
        <f>'Entradas '!B:B</f>
        <v>0</v>
      </c>
      <c r="B415" t="e">
        <f>VLOOKUP(A415,'Entradas '!B:F,3,FALSE)</f>
        <v>#N/A</v>
      </c>
      <c r="C415" t="e">
        <f>VLOOKUP(A415,'Entradas '!B:F,4,FALSE)</f>
        <v>#N/A</v>
      </c>
      <c r="D415" t="e">
        <f>VLOOKUP(A415,'Entradas '!B:F,5,FALSE)</f>
        <v>#N/A</v>
      </c>
      <c r="E415">
        <f>SUMIF('Entradas '!B:B,Inventario!A415,'Entradas '!F:F)-SUMIF('Salidas '!B:B,Inventario!A415,'Salidas '!F:F)</f>
        <v>0</v>
      </c>
    </row>
    <row r="416" spans="1:5" x14ac:dyDescent="0.25">
      <c r="A416" s="30">
        <f>'Entradas '!B:B</f>
        <v>0</v>
      </c>
      <c r="B416" t="e">
        <f>VLOOKUP(A416,'Entradas '!B:F,3,FALSE)</f>
        <v>#N/A</v>
      </c>
      <c r="C416" t="e">
        <f>VLOOKUP(A416,'Entradas '!B:F,4,FALSE)</f>
        <v>#N/A</v>
      </c>
      <c r="D416" t="e">
        <f>VLOOKUP(A416,'Entradas '!B:F,5,FALSE)</f>
        <v>#N/A</v>
      </c>
      <c r="E416">
        <f>SUMIF('Entradas '!B:B,Inventario!A416,'Entradas '!F:F)-SUMIF('Salidas '!B:B,Inventario!A416,'Salidas '!F:F)</f>
        <v>0</v>
      </c>
    </row>
    <row r="417" spans="1:5" x14ac:dyDescent="0.25">
      <c r="A417" s="30">
        <f>'Entradas '!B:B</f>
        <v>0</v>
      </c>
      <c r="B417" t="e">
        <f>VLOOKUP(A417,'Entradas '!B:F,3,FALSE)</f>
        <v>#N/A</v>
      </c>
      <c r="C417" t="e">
        <f>VLOOKUP(A417,'Entradas '!B:F,4,FALSE)</f>
        <v>#N/A</v>
      </c>
      <c r="D417" t="e">
        <f>VLOOKUP(A417,'Entradas '!B:F,5,FALSE)</f>
        <v>#N/A</v>
      </c>
      <c r="E417">
        <f>SUMIF('Entradas '!B:B,Inventario!A417,'Entradas '!F:F)-SUMIF('Salidas '!B:B,Inventario!A417,'Salidas '!F:F)</f>
        <v>0</v>
      </c>
    </row>
    <row r="418" spans="1:5" x14ac:dyDescent="0.25">
      <c r="A418" s="30">
        <f>'Entradas '!B:B</f>
        <v>0</v>
      </c>
      <c r="B418" t="e">
        <f>VLOOKUP(A418,'Entradas '!B:F,3,FALSE)</f>
        <v>#N/A</v>
      </c>
      <c r="C418" t="e">
        <f>VLOOKUP(A418,'Entradas '!B:F,4,FALSE)</f>
        <v>#N/A</v>
      </c>
      <c r="D418" t="e">
        <f>VLOOKUP(A418,'Entradas '!B:F,5,FALSE)</f>
        <v>#N/A</v>
      </c>
      <c r="E418">
        <f>SUMIF('Entradas '!B:B,Inventario!A418,'Entradas '!F:F)-SUMIF('Salidas '!B:B,Inventario!A418,'Salidas '!F:F)</f>
        <v>0</v>
      </c>
    </row>
    <row r="419" spans="1:5" x14ac:dyDescent="0.25">
      <c r="A419" s="30">
        <f>'Entradas '!B:B</f>
        <v>0</v>
      </c>
      <c r="B419" t="e">
        <f>VLOOKUP(A419,'Entradas '!B:F,3,FALSE)</f>
        <v>#N/A</v>
      </c>
      <c r="C419" t="e">
        <f>VLOOKUP(A419,'Entradas '!B:F,4,FALSE)</f>
        <v>#N/A</v>
      </c>
      <c r="D419" t="e">
        <f>VLOOKUP(A419,'Entradas '!B:F,5,FALSE)</f>
        <v>#N/A</v>
      </c>
      <c r="E419">
        <f>SUMIF('Entradas '!B:B,Inventario!A419,'Entradas '!F:F)-SUMIF('Salidas '!B:B,Inventario!A419,'Salidas '!F:F)</f>
        <v>0</v>
      </c>
    </row>
    <row r="420" spans="1:5" x14ac:dyDescent="0.25">
      <c r="A420" s="30">
        <f>'Entradas '!B:B</f>
        <v>0</v>
      </c>
      <c r="B420" t="e">
        <f>VLOOKUP(A420,'Entradas '!B:F,3,FALSE)</f>
        <v>#N/A</v>
      </c>
      <c r="C420" t="e">
        <f>VLOOKUP(A420,'Entradas '!B:F,4,FALSE)</f>
        <v>#N/A</v>
      </c>
      <c r="D420" t="e">
        <f>VLOOKUP(A420,'Entradas '!B:F,5,FALSE)</f>
        <v>#N/A</v>
      </c>
      <c r="E420">
        <f>SUMIF('Entradas '!B:B,Inventario!A420,'Entradas '!F:F)-SUMIF('Salidas '!B:B,Inventario!A420,'Salidas '!F:F)</f>
        <v>0</v>
      </c>
    </row>
    <row r="421" spans="1:5" x14ac:dyDescent="0.25">
      <c r="A421" s="30">
        <f>'Entradas '!B:B</f>
        <v>0</v>
      </c>
      <c r="B421" t="e">
        <f>VLOOKUP(A421,'Entradas '!B:F,3,FALSE)</f>
        <v>#N/A</v>
      </c>
      <c r="C421" t="e">
        <f>VLOOKUP(A421,'Entradas '!B:F,4,FALSE)</f>
        <v>#N/A</v>
      </c>
      <c r="D421" t="e">
        <f>VLOOKUP(A421,'Entradas '!B:F,5,FALSE)</f>
        <v>#N/A</v>
      </c>
      <c r="E421">
        <f>SUMIF('Entradas '!B:B,Inventario!A421,'Entradas '!F:F)-SUMIF('Salidas '!B:B,Inventario!A421,'Salidas '!F:F)</f>
        <v>0</v>
      </c>
    </row>
    <row r="422" spans="1:5" x14ac:dyDescent="0.25">
      <c r="A422" s="30">
        <f>'Entradas '!B:B</f>
        <v>0</v>
      </c>
      <c r="B422" t="e">
        <f>VLOOKUP(A422,'Entradas '!B:F,3,FALSE)</f>
        <v>#N/A</v>
      </c>
      <c r="C422" t="e">
        <f>VLOOKUP(A422,'Entradas '!B:F,4,FALSE)</f>
        <v>#N/A</v>
      </c>
      <c r="D422" t="e">
        <f>VLOOKUP(A422,'Entradas '!B:F,5,FALSE)</f>
        <v>#N/A</v>
      </c>
      <c r="E422">
        <f>SUMIF('Entradas '!B:B,Inventario!A422,'Entradas '!F:F)-SUMIF('Salidas '!B:B,Inventario!A422,'Salidas '!F:F)</f>
        <v>0</v>
      </c>
    </row>
    <row r="423" spans="1:5" x14ac:dyDescent="0.25">
      <c r="A423" s="30">
        <f>'Entradas '!B:B</f>
        <v>0</v>
      </c>
      <c r="B423" t="e">
        <f>VLOOKUP(A423,'Entradas '!B:F,3,FALSE)</f>
        <v>#N/A</v>
      </c>
      <c r="C423" t="e">
        <f>VLOOKUP(A423,'Entradas '!B:F,4,FALSE)</f>
        <v>#N/A</v>
      </c>
      <c r="D423" t="e">
        <f>VLOOKUP(A423,'Entradas '!B:F,5,FALSE)</f>
        <v>#N/A</v>
      </c>
      <c r="E423">
        <f>SUMIF('Entradas '!B:B,Inventario!A423,'Entradas '!F:F)-SUMIF('Salidas '!B:B,Inventario!A423,'Salidas '!F:F)</f>
        <v>0</v>
      </c>
    </row>
    <row r="424" spans="1:5" x14ac:dyDescent="0.25">
      <c r="A424" s="30">
        <f>'Entradas '!B:B</f>
        <v>0</v>
      </c>
      <c r="B424" t="e">
        <f>VLOOKUP(A424,'Entradas '!B:F,3,FALSE)</f>
        <v>#N/A</v>
      </c>
      <c r="C424" t="e">
        <f>VLOOKUP(A424,'Entradas '!B:F,4,FALSE)</f>
        <v>#N/A</v>
      </c>
      <c r="D424" t="e">
        <f>VLOOKUP(A424,'Entradas '!B:F,5,FALSE)</f>
        <v>#N/A</v>
      </c>
      <c r="E424">
        <f>SUMIF('Entradas '!B:B,Inventario!A424,'Entradas '!F:F)-SUMIF('Salidas '!B:B,Inventario!A424,'Salidas '!F:F)</f>
        <v>0</v>
      </c>
    </row>
    <row r="425" spans="1:5" x14ac:dyDescent="0.25">
      <c r="A425" s="30">
        <f>'Entradas '!B:B</f>
        <v>0</v>
      </c>
      <c r="B425" t="e">
        <f>VLOOKUP(A425,'Entradas '!B:F,3,FALSE)</f>
        <v>#N/A</v>
      </c>
      <c r="C425" t="e">
        <f>VLOOKUP(A425,'Entradas '!B:F,4,FALSE)</f>
        <v>#N/A</v>
      </c>
      <c r="D425" t="e">
        <f>VLOOKUP(A425,'Entradas '!B:F,5,FALSE)</f>
        <v>#N/A</v>
      </c>
      <c r="E425">
        <f>SUMIF('Entradas '!B:B,Inventario!A425,'Entradas '!F:F)-SUMIF('Salidas '!B:B,Inventario!A425,'Salidas '!F:F)</f>
        <v>0</v>
      </c>
    </row>
    <row r="426" spans="1:5" x14ac:dyDescent="0.25">
      <c r="A426" s="30">
        <f>'Entradas '!B:B</f>
        <v>0</v>
      </c>
      <c r="B426" t="e">
        <f>VLOOKUP(A426,'Entradas '!B:F,3,FALSE)</f>
        <v>#N/A</v>
      </c>
      <c r="C426" t="e">
        <f>VLOOKUP(A426,'Entradas '!B:F,4,FALSE)</f>
        <v>#N/A</v>
      </c>
      <c r="D426" t="e">
        <f>VLOOKUP(A426,'Entradas '!B:F,5,FALSE)</f>
        <v>#N/A</v>
      </c>
      <c r="E426">
        <f>SUMIF('Entradas '!B:B,Inventario!A426,'Entradas '!F:F)-SUMIF('Salidas '!B:B,Inventario!A426,'Salidas '!F:F)</f>
        <v>0</v>
      </c>
    </row>
    <row r="427" spans="1:5" x14ac:dyDescent="0.25">
      <c r="A427" s="30">
        <f>'Entradas '!B:B</f>
        <v>0</v>
      </c>
      <c r="B427" t="e">
        <f>VLOOKUP(A427,'Entradas '!B:F,3,FALSE)</f>
        <v>#N/A</v>
      </c>
      <c r="C427" t="e">
        <f>VLOOKUP(A427,'Entradas '!B:F,4,FALSE)</f>
        <v>#N/A</v>
      </c>
      <c r="D427" t="e">
        <f>VLOOKUP(A427,'Entradas '!B:F,5,FALSE)</f>
        <v>#N/A</v>
      </c>
      <c r="E427">
        <f>SUMIF('Entradas '!B:B,Inventario!A427,'Entradas '!F:F)-SUMIF('Salidas '!B:B,Inventario!A427,'Salidas '!F:F)</f>
        <v>0</v>
      </c>
    </row>
    <row r="428" spans="1:5" x14ac:dyDescent="0.25">
      <c r="A428" s="30">
        <f>'Entradas '!B:B</f>
        <v>0</v>
      </c>
      <c r="B428" t="e">
        <f>VLOOKUP(A428,'Entradas '!B:F,3,FALSE)</f>
        <v>#N/A</v>
      </c>
      <c r="C428" t="e">
        <f>VLOOKUP(A428,'Entradas '!B:F,4,FALSE)</f>
        <v>#N/A</v>
      </c>
      <c r="D428" t="e">
        <f>VLOOKUP(A428,'Entradas '!B:F,5,FALSE)</f>
        <v>#N/A</v>
      </c>
      <c r="E428">
        <f>SUMIF('Entradas '!B:B,Inventario!A428,'Entradas '!F:F)-SUMIF('Salidas '!B:B,Inventario!A428,'Salidas '!F:F)</f>
        <v>0</v>
      </c>
    </row>
    <row r="429" spans="1:5" x14ac:dyDescent="0.25">
      <c r="A429" s="30">
        <f>'Entradas '!B:B</f>
        <v>0</v>
      </c>
      <c r="B429" t="e">
        <f>VLOOKUP(A429,'Entradas '!B:F,3,FALSE)</f>
        <v>#N/A</v>
      </c>
      <c r="C429" t="e">
        <f>VLOOKUP(A429,'Entradas '!B:F,4,FALSE)</f>
        <v>#N/A</v>
      </c>
      <c r="D429" t="e">
        <f>VLOOKUP(A429,'Entradas '!B:F,5,FALSE)</f>
        <v>#N/A</v>
      </c>
      <c r="E429">
        <f>SUMIF('Entradas '!B:B,Inventario!A429,'Entradas '!F:F)-SUMIF('Salidas '!B:B,Inventario!A429,'Salidas '!F:F)</f>
        <v>0</v>
      </c>
    </row>
    <row r="430" spans="1:5" x14ac:dyDescent="0.25">
      <c r="A430" s="30">
        <f>'Entradas '!B:B</f>
        <v>0</v>
      </c>
      <c r="B430" t="e">
        <f>VLOOKUP(A430,'Entradas '!B:F,3,FALSE)</f>
        <v>#N/A</v>
      </c>
      <c r="C430" t="e">
        <f>VLOOKUP(A430,'Entradas '!B:F,4,FALSE)</f>
        <v>#N/A</v>
      </c>
      <c r="D430" t="e">
        <f>VLOOKUP(A430,'Entradas '!B:F,5,FALSE)</f>
        <v>#N/A</v>
      </c>
      <c r="E430">
        <f>SUMIF('Entradas '!B:B,Inventario!A430,'Entradas '!F:F)-SUMIF('Salidas '!B:B,Inventario!A430,'Salidas '!F:F)</f>
        <v>0</v>
      </c>
    </row>
    <row r="431" spans="1:5" x14ac:dyDescent="0.25">
      <c r="A431" s="30">
        <f>'Entradas '!B:B</f>
        <v>0</v>
      </c>
      <c r="B431" t="e">
        <f>VLOOKUP(A431,'Entradas '!B:F,3,FALSE)</f>
        <v>#N/A</v>
      </c>
      <c r="C431" t="e">
        <f>VLOOKUP(A431,'Entradas '!B:F,4,FALSE)</f>
        <v>#N/A</v>
      </c>
      <c r="D431" t="e">
        <f>VLOOKUP(A431,'Entradas '!B:F,5,FALSE)</f>
        <v>#N/A</v>
      </c>
      <c r="E431">
        <f>SUMIF('Entradas '!B:B,Inventario!A431,'Entradas '!F:F)-SUMIF('Salidas '!B:B,Inventario!A431,'Salidas '!F:F)</f>
        <v>0</v>
      </c>
    </row>
    <row r="432" spans="1:5" x14ac:dyDescent="0.25">
      <c r="A432" s="30">
        <f>'Entradas '!B:B</f>
        <v>0</v>
      </c>
      <c r="B432" t="e">
        <f>VLOOKUP(A432,'Entradas '!B:F,3,FALSE)</f>
        <v>#N/A</v>
      </c>
      <c r="C432" t="e">
        <f>VLOOKUP(A432,'Entradas '!B:F,4,FALSE)</f>
        <v>#N/A</v>
      </c>
      <c r="D432" t="e">
        <f>VLOOKUP(A432,'Entradas '!B:F,5,FALSE)</f>
        <v>#N/A</v>
      </c>
      <c r="E432">
        <f>SUMIF('Entradas '!B:B,Inventario!A432,'Entradas '!F:F)-SUMIF('Salidas '!B:B,Inventario!A432,'Salidas '!F:F)</f>
        <v>0</v>
      </c>
    </row>
    <row r="433" spans="1:5" x14ac:dyDescent="0.25">
      <c r="A433" s="30">
        <f>'Entradas '!B:B</f>
        <v>0</v>
      </c>
      <c r="B433" t="e">
        <f>VLOOKUP(A433,'Entradas '!B:F,3,FALSE)</f>
        <v>#N/A</v>
      </c>
      <c r="C433" t="e">
        <f>VLOOKUP(A433,'Entradas '!B:F,4,FALSE)</f>
        <v>#N/A</v>
      </c>
      <c r="D433" t="e">
        <f>VLOOKUP(A433,'Entradas '!B:F,5,FALSE)</f>
        <v>#N/A</v>
      </c>
      <c r="E433">
        <f>SUMIF('Entradas '!B:B,Inventario!A433,'Entradas '!F:F)-SUMIF('Salidas '!B:B,Inventario!A433,'Salidas '!F:F)</f>
        <v>0</v>
      </c>
    </row>
    <row r="434" spans="1:5" x14ac:dyDescent="0.25">
      <c r="A434" s="30">
        <f>'Entradas '!B:B</f>
        <v>0</v>
      </c>
      <c r="B434" t="e">
        <f>VLOOKUP(A434,'Entradas '!B:F,3,FALSE)</f>
        <v>#N/A</v>
      </c>
      <c r="C434" t="e">
        <f>VLOOKUP(A434,'Entradas '!B:F,4,FALSE)</f>
        <v>#N/A</v>
      </c>
      <c r="D434" t="e">
        <f>VLOOKUP(A434,'Entradas '!B:F,5,FALSE)</f>
        <v>#N/A</v>
      </c>
      <c r="E434">
        <f>SUMIF('Entradas '!B:B,Inventario!A434,'Entradas '!F:F)-SUMIF('Salidas '!B:B,Inventario!A434,'Salidas '!F:F)</f>
        <v>0</v>
      </c>
    </row>
    <row r="435" spans="1:5" x14ac:dyDescent="0.25">
      <c r="A435" s="30">
        <f>'Entradas '!B:B</f>
        <v>0</v>
      </c>
      <c r="B435" t="e">
        <f>VLOOKUP(A435,'Entradas '!B:F,3,FALSE)</f>
        <v>#N/A</v>
      </c>
      <c r="C435" t="e">
        <f>VLOOKUP(A435,'Entradas '!B:F,4,FALSE)</f>
        <v>#N/A</v>
      </c>
      <c r="D435" t="e">
        <f>VLOOKUP(A435,'Entradas '!B:F,5,FALSE)</f>
        <v>#N/A</v>
      </c>
      <c r="E435">
        <f>SUMIF('Entradas '!B:B,Inventario!A435,'Entradas '!F:F)-SUMIF('Salidas '!B:B,Inventario!A435,'Salidas '!F:F)</f>
        <v>0</v>
      </c>
    </row>
    <row r="436" spans="1:5" x14ac:dyDescent="0.25">
      <c r="A436" s="30">
        <f>'Entradas '!B:B</f>
        <v>0</v>
      </c>
      <c r="B436" t="e">
        <f>VLOOKUP(A436,'Entradas '!B:F,3,FALSE)</f>
        <v>#N/A</v>
      </c>
      <c r="C436" t="e">
        <f>VLOOKUP(A436,'Entradas '!B:F,4,FALSE)</f>
        <v>#N/A</v>
      </c>
      <c r="D436" t="e">
        <f>VLOOKUP(A436,'Entradas '!B:F,5,FALSE)</f>
        <v>#N/A</v>
      </c>
      <c r="E436">
        <f>SUMIF('Entradas '!B:B,Inventario!A436,'Entradas '!F:F)-SUMIF('Salidas '!B:B,Inventario!A436,'Salidas '!F:F)</f>
        <v>0</v>
      </c>
    </row>
    <row r="437" spans="1:5" x14ac:dyDescent="0.25">
      <c r="A437" s="30">
        <f>'Entradas '!B:B</f>
        <v>0</v>
      </c>
      <c r="B437" t="e">
        <f>VLOOKUP(A437,'Entradas '!B:F,3,FALSE)</f>
        <v>#N/A</v>
      </c>
      <c r="C437" t="e">
        <f>VLOOKUP(A437,'Entradas '!B:F,4,FALSE)</f>
        <v>#N/A</v>
      </c>
      <c r="D437" t="e">
        <f>VLOOKUP(A437,'Entradas '!B:F,5,FALSE)</f>
        <v>#N/A</v>
      </c>
      <c r="E437">
        <f>SUMIF('Entradas '!B:B,Inventario!A437,'Entradas '!F:F)-SUMIF('Salidas '!B:B,Inventario!A437,'Salidas '!F:F)</f>
        <v>0</v>
      </c>
    </row>
    <row r="438" spans="1:5" x14ac:dyDescent="0.25">
      <c r="A438" s="30">
        <f>'Entradas '!B:B</f>
        <v>0</v>
      </c>
      <c r="B438" t="e">
        <f>VLOOKUP(A438,'Entradas '!B:F,3,FALSE)</f>
        <v>#N/A</v>
      </c>
      <c r="C438" t="e">
        <f>VLOOKUP(A438,'Entradas '!B:F,4,FALSE)</f>
        <v>#N/A</v>
      </c>
      <c r="D438" t="e">
        <f>VLOOKUP(A438,'Entradas '!B:F,5,FALSE)</f>
        <v>#N/A</v>
      </c>
      <c r="E438">
        <f>SUMIF('Entradas '!B:B,Inventario!A438,'Entradas '!F:F)-SUMIF('Salidas '!B:B,Inventario!A438,'Salidas '!F:F)</f>
        <v>0</v>
      </c>
    </row>
    <row r="439" spans="1:5" x14ac:dyDescent="0.25">
      <c r="A439" s="30">
        <f>'Entradas '!B:B</f>
        <v>0</v>
      </c>
      <c r="B439" t="e">
        <f>VLOOKUP(A439,'Entradas '!B:F,3,FALSE)</f>
        <v>#N/A</v>
      </c>
      <c r="C439" t="e">
        <f>VLOOKUP(A439,'Entradas '!B:F,4,FALSE)</f>
        <v>#N/A</v>
      </c>
      <c r="D439" t="e">
        <f>VLOOKUP(A439,'Entradas '!B:F,5,FALSE)</f>
        <v>#N/A</v>
      </c>
      <c r="E439">
        <f>SUMIF('Entradas '!B:B,Inventario!A439,'Entradas '!F:F)-SUMIF('Salidas '!B:B,Inventario!A439,'Salidas '!F:F)</f>
        <v>0</v>
      </c>
    </row>
    <row r="440" spans="1:5" x14ac:dyDescent="0.25">
      <c r="A440" s="30">
        <f>'Entradas '!B:B</f>
        <v>0</v>
      </c>
      <c r="B440" t="e">
        <f>VLOOKUP(A440,'Entradas '!B:F,3,FALSE)</f>
        <v>#N/A</v>
      </c>
      <c r="C440" t="e">
        <f>VLOOKUP(A440,'Entradas '!B:F,4,FALSE)</f>
        <v>#N/A</v>
      </c>
      <c r="D440" t="e">
        <f>VLOOKUP(A440,'Entradas '!B:F,5,FALSE)</f>
        <v>#N/A</v>
      </c>
      <c r="E440">
        <f>SUMIF('Entradas '!B:B,Inventario!A440,'Entradas '!F:F)-SUMIF('Salidas '!B:B,Inventario!A440,'Salidas '!F:F)</f>
        <v>0</v>
      </c>
    </row>
    <row r="441" spans="1:5" x14ac:dyDescent="0.25">
      <c r="A441" s="30">
        <f>'Entradas '!B:B</f>
        <v>0</v>
      </c>
      <c r="B441" t="e">
        <f>VLOOKUP(A441,'Entradas '!B:F,3,FALSE)</f>
        <v>#N/A</v>
      </c>
      <c r="C441" t="e">
        <f>VLOOKUP(A441,'Entradas '!B:F,4,FALSE)</f>
        <v>#N/A</v>
      </c>
      <c r="D441" t="e">
        <f>VLOOKUP(A441,'Entradas '!B:F,5,FALSE)</f>
        <v>#N/A</v>
      </c>
      <c r="E441">
        <f>SUMIF('Entradas '!B:B,Inventario!A441,'Entradas '!F:F)-SUMIF('Salidas '!B:B,Inventario!A441,'Salidas '!F:F)</f>
        <v>0</v>
      </c>
    </row>
    <row r="442" spans="1:5" x14ac:dyDescent="0.25">
      <c r="A442" s="30">
        <f>'Entradas '!B:B</f>
        <v>0</v>
      </c>
      <c r="B442" t="e">
        <f>VLOOKUP(A442,'Entradas '!B:F,3,FALSE)</f>
        <v>#N/A</v>
      </c>
      <c r="C442" t="e">
        <f>VLOOKUP(A442,'Entradas '!B:F,4,FALSE)</f>
        <v>#N/A</v>
      </c>
      <c r="D442" t="e">
        <f>VLOOKUP(A442,'Entradas '!B:F,5,FALSE)</f>
        <v>#N/A</v>
      </c>
      <c r="E442">
        <f>SUMIF('Entradas '!B:B,Inventario!A442,'Entradas '!F:F)-SUMIF('Salidas '!B:B,Inventario!A442,'Salidas '!F:F)</f>
        <v>0</v>
      </c>
    </row>
    <row r="443" spans="1:5" x14ac:dyDescent="0.25">
      <c r="A443" s="30">
        <f>'Entradas '!B:B</f>
        <v>0</v>
      </c>
      <c r="B443" t="e">
        <f>VLOOKUP(A443,'Entradas '!B:F,3,FALSE)</f>
        <v>#N/A</v>
      </c>
      <c r="C443" t="e">
        <f>VLOOKUP(A443,'Entradas '!B:F,4,FALSE)</f>
        <v>#N/A</v>
      </c>
      <c r="D443" t="e">
        <f>VLOOKUP(A443,'Entradas '!B:F,5,FALSE)</f>
        <v>#N/A</v>
      </c>
      <c r="E443">
        <f>SUMIF('Entradas '!B:B,Inventario!A443,'Entradas '!F:F)-SUMIF('Salidas '!B:B,Inventario!A443,'Salidas '!F:F)</f>
        <v>0</v>
      </c>
    </row>
    <row r="444" spans="1:5" x14ac:dyDescent="0.25">
      <c r="A444" s="30">
        <f>'Entradas '!B:B</f>
        <v>0</v>
      </c>
      <c r="B444" t="e">
        <f>VLOOKUP(A444,'Entradas '!B:F,3,FALSE)</f>
        <v>#N/A</v>
      </c>
      <c r="C444" t="e">
        <f>VLOOKUP(A444,'Entradas '!B:F,4,FALSE)</f>
        <v>#N/A</v>
      </c>
      <c r="D444" t="e">
        <f>VLOOKUP(A444,'Entradas '!B:F,5,FALSE)</f>
        <v>#N/A</v>
      </c>
      <c r="E444">
        <f>SUMIF('Entradas '!B:B,Inventario!A444,'Entradas '!F:F)-SUMIF('Salidas '!B:B,Inventario!A444,'Salidas '!F:F)</f>
        <v>0</v>
      </c>
    </row>
    <row r="445" spans="1:5" x14ac:dyDescent="0.25">
      <c r="A445" s="30">
        <f>'Entradas '!B:B</f>
        <v>0</v>
      </c>
      <c r="B445" t="e">
        <f>VLOOKUP(A445,'Entradas '!B:F,3,FALSE)</f>
        <v>#N/A</v>
      </c>
      <c r="C445" t="e">
        <f>VLOOKUP(A445,'Entradas '!B:F,4,FALSE)</f>
        <v>#N/A</v>
      </c>
      <c r="D445" t="e">
        <f>VLOOKUP(A445,'Entradas '!B:F,5,FALSE)</f>
        <v>#N/A</v>
      </c>
      <c r="E445">
        <f>SUMIF('Entradas '!B:B,Inventario!A445,'Entradas '!F:F)-SUMIF('Salidas '!B:B,Inventario!A445,'Salidas '!F:F)</f>
        <v>0</v>
      </c>
    </row>
    <row r="446" spans="1:5" x14ac:dyDescent="0.25">
      <c r="A446" s="30">
        <f>'Entradas '!B:B</f>
        <v>0</v>
      </c>
      <c r="B446" t="e">
        <f>VLOOKUP(A446,'Entradas '!B:F,3,FALSE)</f>
        <v>#N/A</v>
      </c>
      <c r="C446" t="e">
        <f>VLOOKUP(A446,'Entradas '!B:F,4,FALSE)</f>
        <v>#N/A</v>
      </c>
      <c r="D446" t="e">
        <f>VLOOKUP(A446,'Entradas '!B:F,5,FALSE)</f>
        <v>#N/A</v>
      </c>
      <c r="E446">
        <f>SUMIF('Entradas '!B:B,Inventario!A446,'Entradas '!F:F)-SUMIF('Salidas '!B:B,Inventario!A446,'Salidas '!F:F)</f>
        <v>0</v>
      </c>
    </row>
    <row r="447" spans="1:5" x14ac:dyDescent="0.25">
      <c r="A447" s="30">
        <f>'Entradas '!B:B</f>
        <v>0</v>
      </c>
      <c r="B447" t="e">
        <f>VLOOKUP(A447,'Entradas '!B:F,3,FALSE)</f>
        <v>#N/A</v>
      </c>
      <c r="C447" t="e">
        <f>VLOOKUP(A447,'Entradas '!B:F,4,FALSE)</f>
        <v>#N/A</v>
      </c>
      <c r="D447" t="e">
        <f>VLOOKUP(A447,'Entradas '!B:F,5,FALSE)</f>
        <v>#N/A</v>
      </c>
      <c r="E447">
        <f>SUMIF('Entradas '!B:B,Inventario!A447,'Entradas '!F:F)-SUMIF('Salidas '!B:B,Inventario!A447,'Salidas '!F:F)</f>
        <v>0</v>
      </c>
    </row>
    <row r="448" spans="1:5" x14ac:dyDescent="0.25">
      <c r="A448" s="30">
        <f>'Entradas '!B:B</f>
        <v>0</v>
      </c>
      <c r="B448" t="e">
        <f>VLOOKUP(A448,'Entradas '!B:F,3,FALSE)</f>
        <v>#N/A</v>
      </c>
      <c r="C448" t="e">
        <f>VLOOKUP(A448,'Entradas '!B:F,4,FALSE)</f>
        <v>#N/A</v>
      </c>
      <c r="D448" t="e">
        <f>VLOOKUP(A448,'Entradas '!B:F,5,FALSE)</f>
        <v>#N/A</v>
      </c>
      <c r="E448">
        <f>SUMIF('Entradas '!B:B,Inventario!A448,'Entradas '!F:F)-SUMIF('Salidas '!B:B,Inventario!A448,'Salidas '!F:F)</f>
        <v>0</v>
      </c>
    </row>
    <row r="449" spans="1:5" x14ac:dyDescent="0.25">
      <c r="A449" s="30">
        <f>'Entradas '!B:B</f>
        <v>0</v>
      </c>
      <c r="B449" t="e">
        <f>VLOOKUP(A449,'Entradas '!B:F,3,FALSE)</f>
        <v>#N/A</v>
      </c>
      <c r="C449" t="e">
        <f>VLOOKUP(A449,'Entradas '!B:F,4,FALSE)</f>
        <v>#N/A</v>
      </c>
      <c r="D449" t="e">
        <f>VLOOKUP(A449,'Entradas '!B:F,5,FALSE)</f>
        <v>#N/A</v>
      </c>
      <c r="E449">
        <f>SUMIF('Entradas '!B:B,Inventario!A449,'Entradas '!F:F)-SUMIF('Salidas '!B:B,Inventario!A449,'Salidas '!F:F)</f>
        <v>0</v>
      </c>
    </row>
    <row r="450" spans="1:5" x14ac:dyDescent="0.25">
      <c r="A450" s="30">
        <f>'Entradas '!B:B</f>
        <v>0</v>
      </c>
      <c r="B450" t="e">
        <f>VLOOKUP(A450,'Entradas '!B:F,3,FALSE)</f>
        <v>#N/A</v>
      </c>
      <c r="C450" t="e">
        <f>VLOOKUP(A450,'Entradas '!B:F,4,FALSE)</f>
        <v>#N/A</v>
      </c>
      <c r="D450" t="e">
        <f>VLOOKUP(A450,'Entradas '!B:F,5,FALSE)</f>
        <v>#N/A</v>
      </c>
      <c r="E450">
        <f>SUMIF('Entradas '!B:B,Inventario!A450,'Entradas '!F:F)-SUMIF('Salidas '!B:B,Inventario!A450,'Salidas '!F:F)</f>
        <v>0</v>
      </c>
    </row>
    <row r="451" spans="1:5" x14ac:dyDescent="0.25">
      <c r="A451" s="30">
        <f>'Entradas '!B:B</f>
        <v>0</v>
      </c>
      <c r="B451" t="e">
        <f>VLOOKUP(A451,'Entradas '!B:F,3,FALSE)</f>
        <v>#N/A</v>
      </c>
      <c r="C451" t="e">
        <f>VLOOKUP(A451,'Entradas '!B:F,4,FALSE)</f>
        <v>#N/A</v>
      </c>
      <c r="D451" t="e">
        <f>VLOOKUP(A451,'Entradas '!B:F,5,FALSE)</f>
        <v>#N/A</v>
      </c>
      <c r="E451">
        <f>SUMIF('Entradas '!B:B,Inventario!A451,'Entradas '!F:F)-SUMIF('Salidas '!B:B,Inventario!A451,'Salidas '!F:F)</f>
        <v>0</v>
      </c>
    </row>
    <row r="452" spans="1:5" x14ac:dyDescent="0.25">
      <c r="A452" s="30">
        <f>'Entradas '!B:B</f>
        <v>0</v>
      </c>
      <c r="B452" t="e">
        <f>VLOOKUP(A452,'Entradas '!B:F,3,FALSE)</f>
        <v>#N/A</v>
      </c>
      <c r="C452" t="e">
        <f>VLOOKUP(A452,'Entradas '!B:F,4,FALSE)</f>
        <v>#N/A</v>
      </c>
      <c r="D452" t="e">
        <f>VLOOKUP(A452,'Entradas '!B:F,5,FALSE)</f>
        <v>#N/A</v>
      </c>
      <c r="E452">
        <f>SUMIF('Entradas '!B:B,Inventario!A452,'Entradas '!F:F)-SUMIF('Salidas '!B:B,Inventario!A452,'Salidas '!F:F)</f>
        <v>0</v>
      </c>
    </row>
    <row r="453" spans="1:5" x14ac:dyDescent="0.25">
      <c r="A453" s="30">
        <f>'Entradas '!B:B</f>
        <v>0</v>
      </c>
      <c r="B453" t="e">
        <f>VLOOKUP(A453,'Entradas '!B:F,3,FALSE)</f>
        <v>#N/A</v>
      </c>
      <c r="C453" t="e">
        <f>VLOOKUP(A453,'Entradas '!B:F,4,FALSE)</f>
        <v>#N/A</v>
      </c>
      <c r="D453" t="e">
        <f>VLOOKUP(A453,'Entradas '!B:F,5,FALSE)</f>
        <v>#N/A</v>
      </c>
      <c r="E453">
        <f>SUMIF('Entradas '!B:B,Inventario!A453,'Entradas '!F:F)-SUMIF('Salidas '!B:B,Inventario!A453,'Salidas '!F:F)</f>
        <v>0</v>
      </c>
    </row>
    <row r="454" spans="1:5" x14ac:dyDescent="0.25">
      <c r="A454" s="30">
        <f>'Entradas '!B:B</f>
        <v>0</v>
      </c>
      <c r="B454" t="e">
        <f>VLOOKUP(A454,'Entradas '!B:F,3,FALSE)</f>
        <v>#N/A</v>
      </c>
      <c r="C454" t="e">
        <f>VLOOKUP(A454,'Entradas '!B:F,4,FALSE)</f>
        <v>#N/A</v>
      </c>
      <c r="D454" t="e">
        <f>VLOOKUP(A454,'Entradas '!B:F,5,FALSE)</f>
        <v>#N/A</v>
      </c>
      <c r="E454">
        <f>SUMIF('Entradas '!B:B,Inventario!A454,'Entradas '!F:F)-SUMIF('Salidas '!B:B,Inventario!A454,'Salidas '!F:F)</f>
        <v>0</v>
      </c>
    </row>
    <row r="455" spans="1:5" x14ac:dyDescent="0.25">
      <c r="A455" s="30">
        <f>'Entradas '!B:B</f>
        <v>0</v>
      </c>
      <c r="B455" t="e">
        <f>VLOOKUP(A455,'Entradas '!B:F,3,FALSE)</f>
        <v>#N/A</v>
      </c>
      <c r="C455" t="e">
        <f>VLOOKUP(A455,'Entradas '!B:F,4,FALSE)</f>
        <v>#N/A</v>
      </c>
      <c r="D455" t="e">
        <f>VLOOKUP(A455,'Entradas '!B:F,5,FALSE)</f>
        <v>#N/A</v>
      </c>
      <c r="E455">
        <f>SUMIF('Entradas '!B:B,Inventario!A455,'Entradas '!F:F)-SUMIF('Salidas '!B:B,Inventario!A455,'Salidas '!F:F)</f>
        <v>0</v>
      </c>
    </row>
    <row r="456" spans="1:5" x14ac:dyDescent="0.25">
      <c r="A456" s="30">
        <f>'Entradas '!B:B</f>
        <v>0</v>
      </c>
      <c r="B456" t="e">
        <f>VLOOKUP(A456,'Entradas '!B:F,3,FALSE)</f>
        <v>#N/A</v>
      </c>
      <c r="C456" t="e">
        <f>VLOOKUP(A456,'Entradas '!B:F,4,FALSE)</f>
        <v>#N/A</v>
      </c>
      <c r="D456" t="e">
        <f>VLOOKUP(A456,'Entradas '!B:F,5,FALSE)</f>
        <v>#N/A</v>
      </c>
      <c r="E456">
        <f>SUMIF('Entradas '!B:B,Inventario!A456,'Entradas '!F:F)-SUMIF('Salidas '!B:B,Inventario!A456,'Salidas '!F:F)</f>
        <v>0</v>
      </c>
    </row>
    <row r="457" spans="1:5" x14ac:dyDescent="0.25">
      <c r="A457" s="30">
        <f>'Entradas '!B:B</f>
        <v>0</v>
      </c>
      <c r="B457" t="e">
        <f>VLOOKUP(A457,'Entradas '!B:F,3,FALSE)</f>
        <v>#N/A</v>
      </c>
      <c r="C457" t="e">
        <f>VLOOKUP(A457,'Entradas '!B:F,4,FALSE)</f>
        <v>#N/A</v>
      </c>
      <c r="D457" t="e">
        <f>VLOOKUP(A457,'Entradas '!B:F,5,FALSE)</f>
        <v>#N/A</v>
      </c>
      <c r="E457">
        <f>SUMIF('Entradas '!B:B,Inventario!A457,'Entradas '!F:F)-SUMIF('Salidas '!B:B,Inventario!A457,'Salidas '!F:F)</f>
        <v>0</v>
      </c>
    </row>
    <row r="458" spans="1:5" x14ac:dyDescent="0.25">
      <c r="A458" s="30">
        <f>'Entradas '!B:B</f>
        <v>0</v>
      </c>
      <c r="B458" t="e">
        <f>VLOOKUP(A458,'Entradas '!B:F,3,FALSE)</f>
        <v>#N/A</v>
      </c>
      <c r="C458" t="e">
        <f>VLOOKUP(A458,'Entradas '!B:F,4,FALSE)</f>
        <v>#N/A</v>
      </c>
      <c r="D458" t="e">
        <f>VLOOKUP(A458,'Entradas '!B:F,5,FALSE)</f>
        <v>#N/A</v>
      </c>
      <c r="E458">
        <f>SUMIF('Entradas '!B:B,Inventario!A458,'Entradas '!F:F)-SUMIF('Salidas '!B:B,Inventario!A458,'Salidas '!F:F)</f>
        <v>0</v>
      </c>
    </row>
    <row r="459" spans="1:5" x14ac:dyDescent="0.25">
      <c r="A459" s="30">
        <f>'Entradas '!B:B</f>
        <v>0</v>
      </c>
      <c r="B459" t="e">
        <f>VLOOKUP(A459,'Entradas '!B:F,3,FALSE)</f>
        <v>#N/A</v>
      </c>
      <c r="C459" t="e">
        <f>VLOOKUP(A459,'Entradas '!B:F,4,FALSE)</f>
        <v>#N/A</v>
      </c>
      <c r="D459" t="e">
        <f>VLOOKUP(A459,'Entradas '!B:F,5,FALSE)</f>
        <v>#N/A</v>
      </c>
      <c r="E459">
        <f>SUMIF('Entradas '!B:B,Inventario!A459,'Entradas '!F:F)-SUMIF('Salidas '!B:B,Inventario!A459,'Salidas '!F:F)</f>
        <v>0</v>
      </c>
    </row>
    <row r="460" spans="1:5" x14ac:dyDescent="0.25">
      <c r="A460" s="30">
        <f>'Entradas '!B:B</f>
        <v>0</v>
      </c>
      <c r="B460" t="e">
        <f>VLOOKUP(A460,'Entradas '!B:F,3,FALSE)</f>
        <v>#N/A</v>
      </c>
      <c r="C460" t="e">
        <f>VLOOKUP(A460,'Entradas '!B:F,4,FALSE)</f>
        <v>#N/A</v>
      </c>
      <c r="D460" t="e">
        <f>VLOOKUP(A460,'Entradas '!B:F,5,FALSE)</f>
        <v>#N/A</v>
      </c>
      <c r="E460">
        <f>SUMIF('Entradas '!B:B,Inventario!A460,'Entradas '!F:F)-SUMIF('Salidas '!B:B,Inventario!A460,'Salidas '!F:F)</f>
        <v>0</v>
      </c>
    </row>
    <row r="461" spans="1:5" x14ac:dyDescent="0.25">
      <c r="A461" s="30">
        <f>'Entradas '!B:B</f>
        <v>0</v>
      </c>
      <c r="B461" t="e">
        <f>VLOOKUP(A461,'Entradas '!B:F,3,FALSE)</f>
        <v>#N/A</v>
      </c>
      <c r="C461" t="e">
        <f>VLOOKUP(A461,'Entradas '!B:F,4,FALSE)</f>
        <v>#N/A</v>
      </c>
      <c r="D461" t="e">
        <f>VLOOKUP(A461,'Entradas '!B:F,5,FALSE)</f>
        <v>#N/A</v>
      </c>
      <c r="E461">
        <f>SUMIF('Entradas '!B:B,Inventario!A461,'Entradas '!F:F)-SUMIF('Salidas '!B:B,Inventario!A461,'Salidas '!F:F)</f>
        <v>0</v>
      </c>
    </row>
    <row r="462" spans="1:5" x14ac:dyDescent="0.25">
      <c r="A462" s="30">
        <f>'Entradas '!B:B</f>
        <v>0</v>
      </c>
      <c r="B462" t="e">
        <f>VLOOKUP(A462,'Entradas '!B:F,3,FALSE)</f>
        <v>#N/A</v>
      </c>
      <c r="C462" t="e">
        <f>VLOOKUP(A462,'Entradas '!B:F,4,FALSE)</f>
        <v>#N/A</v>
      </c>
      <c r="D462" t="e">
        <f>VLOOKUP(A462,'Entradas '!B:F,5,FALSE)</f>
        <v>#N/A</v>
      </c>
      <c r="E462">
        <f>SUMIF('Entradas '!B:B,Inventario!A462,'Entradas '!F:F)-SUMIF('Salidas '!B:B,Inventario!A462,'Salidas '!F:F)</f>
        <v>0</v>
      </c>
    </row>
    <row r="463" spans="1:5" x14ac:dyDescent="0.25">
      <c r="A463" s="30">
        <f>'Entradas '!B:B</f>
        <v>0</v>
      </c>
      <c r="B463" t="e">
        <f>VLOOKUP(A463,'Entradas '!B:F,3,FALSE)</f>
        <v>#N/A</v>
      </c>
      <c r="C463" t="e">
        <f>VLOOKUP(A463,'Entradas '!B:F,4,FALSE)</f>
        <v>#N/A</v>
      </c>
      <c r="D463" t="e">
        <f>VLOOKUP(A463,'Entradas '!B:F,5,FALSE)</f>
        <v>#N/A</v>
      </c>
      <c r="E463">
        <f>SUMIF('Entradas '!B:B,Inventario!A463,'Entradas '!F:F)-SUMIF('Salidas '!B:B,Inventario!A463,'Salidas '!F:F)</f>
        <v>0</v>
      </c>
    </row>
    <row r="464" spans="1:5" x14ac:dyDescent="0.25">
      <c r="A464" s="30">
        <f>'Entradas '!B:B</f>
        <v>0</v>
      </c>
      <c r="B464" t="e">
        <f>VLOOKUP(A464,'Entradas '!B:F,3,FALSE)</f>
        <v>#N/A</v>
      </c>
      <c r="C464" t="e">
        <f>VLOOKUP(A464,'Entradas '!B:F,4,FALSE)</f>
        <v>#N/A</v>
      </c>
      <c r="D464" t="e">
        <f>VLOOKUP(A464,'Entradas '!B:F,5,FALSE)</f>
        <v>#N/A</v>
      </c>
      <c r="E464">
        <f>SUMIF('Entradas '!B:B,Inventario!A464,'Entradas '!F:F)-SUMIF('Salidas '!B:B,Inventario!A464,'Salidas '!F:F)</f>
        <v>0</v>
      </c>
    </row>
    <row r="465" spans="1:5" x14ac:dyDescent="0.25">
      <c r="A465" s="30">
        <f>'Entradas '!B:B</f>
        <v>0</v>
      </c>
      <c r="B465" t="e">
        <f>VLOOKUP(A465,'Entradas '!B:F,3,FALSE)</f>
        <v>#N/A</v>
      </c>
      <c r="C465" t="e">
        <f>VLOOKUP(A465,'Entradas '!B:F,4,FALSE)</f>
        <v>#N/A</v>
      </c>
      <c r="D465" t="e">
        <f>VLOOKUP(A465,'Entradas '!B:F,5,FALSE)</f>
        <v>#N/A</v>
      </c>
      <c r="E465">
        <f>SUMIF('Entradas '!B:B,Inventario!A465,'Entradas '!F:F)-SUMIF('Salidas '!B:B,Inventario!A465,'Salidas '!F:F)</f>
        <v>0</v>
      </c>
    </row>
    <row r="466" spans="1:5" x14ac:dyDescent="0.25">
      <c r="A466" s="30">
        <f>'Entradas '!B:B</f>
        <v>0</v>
      </c>
      <c r="B466" t="e">
        <f>VLOOKUP(A466,'Entradas '!B:F,3,FALSE)</f>
        <v>#N/A</v>
      </c>
      <c r="C466" t="e">
        <f>VLOOKUP(A466,'Entradas '!B:F,4,FALSE)</f>
        <v>#N/A</v>
      </c>
      <c r="D466" t="e">
        <f>VLOOKUP(A466,'Entradas '!B:F,5,FALSE)</f>
        <v>#N/A</v>
      </c>
      <c r="E466">
        <f>SUMIF('Entradas '!B:B,Inventario!A466,'Entradas '!F:F)-SUMIF('Salidas '!B:B,Inventario!A466,'Salidas '!F:F)</f>
        <v>0</v>
      </c>
    </row>
    <row r="467" spans="1:5" x14ac:dyDescent="0.25">
      <c r="A467" s="30">
        <f>'Entradas '!B:B</f>
        <v>0</v>
      </c>
      <c r="B467" t="e">
        <f>VLOOKUP(A467,'Entradas '!B:F,3,FALSE)</f>
        <v>#N/A</v>
      </c>
      <c r="C467" t="e">
        <f>VLOOKUP(A467,'Entradas '!B:F,4,FALSE)</f>
        <v>#N/A</v>
      </c>
      <c r="D467" t="e">
        <f>VLOOKUP(A467,'Entradas '!B:F,5,FALSE)</f>
        <v>#N/A</v>
      </c>
      <c r="E467">
        <f>SUMIF('Entradas '!B:B,Inventario!A467,'Entradas '!F:F)-SUMIF('Salidas '!B:B,Inventario!A467,'Salidas '!F:F)</f>
        <v>0</v>
      </c>
    </row>
    <row r="468" spans="1:5" x14ac:dyDescent="0.25">
      <c r="A468" s="30">
        <f>'Entradas '!B:B</f>
        <v>0</v>
      </c>
      <c r="B468" t="e">
        <f>VLOOKUP(A468,'Entradas '!B:F,3,FALSE)</f>
        <v>#N/A</v>
      </c>
      <c r="C468" t="e">
        <f>VLOOKUP(A468,'Entradas '!B:F,4,FALSE)</f>
        <v>#N/A</v>
      </c>
      <c r="D468" t="e">
        <f>VLOOKUP(A468,'Entradas '!B:F,5,FALSE)</f>
        <v>#N/A</v>
      </c>
      <c r="E468">
        <f>SUMIF('Entradas '!B:B,Inventario!A468,'Entradas '!F:F)-SUMIF('Salidas '!B:B,Inventario!A468,'Salidas '!F:F)</f>
        <v>0</v>
      </c>
    </row>
    <row r="469" spans="1:5" x14ac:dyDescent="0.25">
      <c r="A469" s="30">
        <f>'Entradas '!B:B</f>
        <v>0</v>
      </c>
      <c r="B469" t="e">
        <f>VLOOKUP(A469,'Entradas '!B:F,3,FALSE)</f>
        <v>#N/A</v>
      </c>
      <c r="C469" t="e">
        <f>VLOOKUP(A469,'Entradas '!B:F,4,FALSE)</f>
        <v>#N/A</v>
      </c>
      <c r="D469" t="e">
        <f>VLOOKUP(A469,'Entradas '!B:F,5,FALSE)</f>
        <v>#N/A</v>
      </c>
      <c r="E469">
        <f>SUMIF('Entradas '!B:B,Inventario!A469,'Entradas '!F:F)-SUMIF('Salidas '!B:B,Inventario!A469,'Salidas '!F:F)</f>
        <v>0</v>
      </c>
    </row>
    <row r="470" spans="1:5" x14ac:dyDescent="0.25">
      <c r="A470" s="30">
        <f>'Entradas '!B:B</f>
        <v>0</v>
      </c>
      <c r="B470" t="e">
        <f>VLOOKUP(A470,'Entradas '!B:F,3,FALSE)</f>
        <v>#N/A</v>
      </c>
      <c r="C470" t="e">
        <f>VLOOKUP(A470,'Entradas '!B:F,4,FALSE)</f>
        <v>#N/A</v>
      </c>
      <c r="D470" t="e">
        <f>VLOOKUP(A470,'Entradas '!B:F,5,FALSE)</f>
        <v>#N/A</v>
      </c>
      <c r="E470">
        <f>SUMIF('Entradas '!B:B,Inventario!A470,'Entradas '!F:F)-SUMIF('Salidas '!B:B,Inventario!A470,'Salidas '!F:F)</f>
        <v>0</v>
      </c>
    </row>
    <row r="471" spans="1:5" x14ac:dyDescent="0.25">
      <c r="A471" s="30">
        <f>'Entradas '!B:B</f>
        <v>0</v>
      </c>
      <c r="B471" t="e">
        <f>VLOOKUP(A471,'Entradas '!B:F,3,FALSE)</f>
        <v>#N/A</v>
      </c>
      <c r="C471" t="e">
        <f>VLOOKUP(A471,'Entradas '!B:F,4,FALSE)</f>
        <v>#N/A</v>
      </c>
      <c r="D471" t="e">
        <f>VLOOKUP(A471,'Entradas '!B:F,5,FALSE)</f>
        <v>#N/A</v>
      </c>
      <c r="E471">
        <f>SUMIF('Entradas '!B:B,Inventario!A471,'Entradas '!F:F)-SUMIF('Salidas '!B:B,Inventario!A471,'Salidas '!F:F)</f>
        <v>0</v>
      </c>
    </row>
    <row r="472" spans="1:5" x14ac:dyDescent="0.25">
      <c r="A472" s="30">
        <f>'Entradas '!B:B</f>
        <v>0</v>
      </c>
      <c r="B472" t="e">
        <f>VLOOKUP(A472,'Entradas '!B:F,3,FALSE)</f>
        <v>#N/A</v>
      </c>
      <c r="C472" t="e">
        <f>VLOOKUP(A472,'Entradas '!B:F,4,FALSE)</f>
        <v>#N/A</v>
      </c>
      <c r="D472" t="e">
        <f>VLOOKUP(A472,'Entradas '!B:F,5,FALSE)</f>
        <v>#N/A</v>
      </c>
      <c r="E472">
        <f>SUMIF('Entradas '!B:B,Inventario!A472,'Entradas '!F:F)-SUMIF('Salidas '!B:B,Inventario!A472,'Salidas '!F:F)</f>
        <v>0</v>
      </c>
    </row>
    <row r="473" spans="1:5" x14ac:dyDescent="0.25">
      <c r="A473" s="30">
        <f>'Entradas '!B:B</f>
        <v>0</v>
      </c>
      <c r="B473" t="e">
        <f>VLOOKUP(A473,'Entradas '!B:F,3,FALSE)</f>
        <v>#N/A</v>
      </c>
      <c r="C473" t="e">
        <f>VLOOKUP(A473,'Entradas '!B:F,4,FALSE)</f>
        <v>#N/A</v>
      </c>
      <c r="D473" t="e">
        <f>VLOOKUP(A473,'Entradas '!B:F,5,FALSE)</f>
        <v>#N/A</v>
      </c>
      <c r="E473">
        <f>SUMIF('Entradas '!B:B,Inventario!A473,'Entradas '!F:F)-SUMIF('Salidas '!B:B,Inventario!A473,'Salidas '!F:F)</f>
        <v>0</v>
      </c>
    </row>
    <row r="474" spans="1:5" x14ac:dyDescent="0.25">
      <c r="A474" s="30">
        <f>'Entradas '!B:B</f>
        <v>0</v>
      </c>
      <c r="B474" t="e">
        <f>VLOOKUP(A474,'Entradas '!B:F,3,FALSE)</f>
        <v>#N/A</v>
      </c>
      <c r="C474" t="e">
        <f>VLOOKUP(A474,'Entradas '!B:F,4,FALSE)</f>
        <v>#N/A</v>
      </c>
      <c r="D474" t="e">
        <f>VLOOKUP(A474,'Entradas '!B:F,5,FALSE)</f>
        <v>#N/A</v>
      </c>
      <c r="E474">
        <f>SUMIF('Entradas '!B:B,Inventario!A474,'Entradas '!F:F)-SUMIF('Salidas '!B:B,Inventario!A474,'Salidas '!F:F)</f>
        <v>0</v>
      </c>
    </row>
    <row r="475" spans="1:5" x14ac:dyDescent="0.25">
      <c r="A475" s="30">
        <f>'Entradas '!B:B</f>
        <v>0</v>
      </c>
      <c r="B475" t="e">
        <f>VLOOKUP(A475,'Entradas '!B:F,3,FALSE)</f>
        <v>#N/A</v>
      </c>
      <c r="C475" t="e">
        <f>VLOOKUP(A475,'Entradas '!B:F,4,FALSE)</f>
        <v>#N/A</v>
      </c>
      <c r="D475" t="e">
        <f>VLOOKUP(A475,'Entradas '!B:F,5,FALSE)</f>
        <v>#N/A</v>
      </c>
      <c r="E475">
        <f>SUMIF('Entradas '!B:B,Inventario!A475,'Entradas '!F:F)-SUMIF('Salidas '!B:B,Inventario!A475,'Salidas '!F:F)</f>
        <v>0</v>
      </c>
    </row>
    <row r="476" spans="1:5" x14ac:dyDescent="0.25">
      <c r="A476" s="30">
        <f>'Entradas '!B:B</f>
        <v>0</v>
      </c>
      <c r="B476" t="e">
        <f>VLOOKUP(A476,'Entradas '!B:F,3,FALSE)</f>
        <v>#N/A</v>
      </c>
      <c r="C476" t="e">
        <f>VLOOKUP(A476,'Entradas '!B:F,4,FALSE)</f>
        <v>#N/A</v>
      </c>
      <c r="D476" t="e">
        <f>VLOOKUP(A476,'Entradas '!B:F,5,FALSE)</f>
        <v>#N/A</v>
      </c>
      <c r="E476">
        <f>SUMIF('Entradas '!B:B,Inventario!A476,'Entradas '!F:F)-SUMIF('Salidas '!B:B,Inventario!A476,'Salidas '!F:F)</f>
        <v>0</v>
      </c>
    </row>
    <row r="477" spans="1:5" x14ac:dyDescent="0.25">
      <c r="A477" s="30">
        <f>'Entradas '!B:B</f>
        <v>0</v>
      </c>
      <c r="B477" t="e">
        <f>VLOOKUP(A477,'Entradas '!B:F,3,FALSE)</f>
        <v>#N/A</v>
      </c>
      <c r="C477" t="e">
        <f>VLOOKUP(A477,'Entradas '!B:F,4,FALSE)</f>
        <v>#N/A</v>
      </c>
      <c r="D477" t="e">
        <f>VLOOKUP(A477,'Entradas '!B:F,5,FALSE)</f>
        <v>#N/A</v>
      </c>
      <c r="E477">
        <f>SUMIF('Entradas '!B:B,Inventario!A477,'Entradas '!F:F)-SUMIF('Salidas '!B:B,Inventario!A477,'Salidas '!F:F)</f>
        <v>0</v>
      </c>
    </row>
    <row r="478" spans="1:5" x14ac:dyDescent="0.25">
      <c r="A478" s="30">
        <f>'Entradas '!B:B</f>
        <v>0</v>
      </c>
      <c r="B478" t="e">
        <f>VLOOKUP(A478,'Entradas '!B:F,3,FALSE)</f>
        <v>#N/A</v>
      </c>
      <c r="C478" t="e">
        <f>VLOOKUP(A478,'Entradas '!B:F,4,FALSE)</f>
        <v>#N/A</v>
      </c>
      <c r="D478" t="e">
        <f>VLOOKUP(A478,'Entradas '!B:F,5,FALSE)</f>
        <v>#N/A</v>
      </c>
      <c r="E478">
        <f>SUMIF('Entradas '!B:B,Inventario!A478,'Entradas '!F:F)-SUMIF('Salidas '!B:B,Inventario!A478,'Salidas '!F:F)</f>
        <v>0</v>
      </c>
    </row>
    <row r="479" spans="1:5" x14ac:dyDescent="0.25">
      <c r="A479" s="30">
        <f>'Entradas '!B:B</f>
        <v>0</v>
      </c>
      <c r="B479" t="e">
        <f>VLOOKUP(A479,'Entradas '!B:F,3,FALSE)</f>
        <v>#N/A</v>
      </c>
      <c r="C479" t="e">
        <f>VLOOKUP(A479,'Entradas '!B:F,4,FALSE)</f>
        <v>#N/A</v>
      </c>
      <c r="D479" t="e">
        <f>VLOOKUP(A479,'Entradas '!B:F,5,FALSE)</f>
        <v>#N/A</v>
      </c>
      <c r="E479">
        <f>SUMIF('Entradas '!B:B,Inventario!A479,'Entradas '!F:F)-SUMIF('Salidas '!B:B,Inventario!A479,'Salidas '!F:F)</f>
        <v>0</v>
      </c>
    </row>
    <row r="480" spans="1:5" x14ac:dyDescent="0.25">
      <c r="A480" s="30">
        <f>'Entradas '!B:B</f>
        <v>0</v>
      </c>
      <c r="B480" t="e">
        <f>VLOOKUP(A480,'Entradas '!B:F,3,FALSE)</f>
        <v>#N/A</v>
      </c>
      <c r="C480" t="e">
        <f>VLOOKUP(A480,'Entradas '!B:F,4,FALSE)</f>
        <v>#N/A</v>
      </c>
      <c r="D480" t="e">
        <f>VLOOKUP(A480,'Entradas '!B:F,5,FALSE)</f>
        <v>#N/A</v>
      </c>
      <c r="E480">
        <f>SUMIF('Entradas '!B:B,Inventario!A480,'Entradas '!F:F)-SUMIF('Salidas '!B:B,Inventario!A480,'Salidas '!F:F)</f>
        <v>0</v>
      </c>
    </row>
    <row r="481" spans="1:5" x14ac:dyDescent="0.25">
      <c r="A481" s="30">
        <f>'Entradas '!B:B</f>
        <v>0</v>
      </c>
      <c r="B481" t="e">
        <f>VLOOKUP(A481,'Entradas '!B:F,3,FALSE)</f>
        <v>#N/A</v>
      </c>
      <c r="C481" t="e">
        <f>VLOOKUP(A481,'Entradas '!B:F,4,FALSE)</f>
        <v>#N/A</v>
      </c>
      <c r="D481" t="e">
        <f>VLOOKUP(A481,'Entradas '!B:F,5,FALSE)</f>
        <v>#N/A</v>
      </c>
      <c r="E481">
        <f>SUMIF('Entradas '!B:B,Inventario!A481,'Entradas '!F:F)-SUMIF('Salidas '!B:B,Inventario!A481,'Salidas '!F:F)</f>
        <v>0</v>
      </c>
    </row>
    <row r="482" spans="1:5" x14ac:dyDescent="0.25">
      <c r="A482" s="30">
        <f>'Entradas '!B:B</f>
        <v>0</v>
      </c>
      <c r="B482" t="e">
        <f>VLOOKUP(A482,'Entradas '!B:F,3,FALSE)</f>
        <v>#N/A</v>
      </c>
      <c r="C482" t="e">
        <f>VLOOKUP(A482,'Entradas '!B:F,4,FALSE)</f>
        <v>#N/A</v>
      </c>
      <c r="D482" t="e">
        <f>VLOOKUP(A482,'Entradas '!B:F,5,FALSE)</f>
        <v>#N/A</v>
      </c>
      <c r="E482">
        <f>SUMIF('Entradas '!B:B,Inventario!A482,'Entradas '!F:F)-SUMIF('Salidas '!B:B,Inventario!A482,'Salidas '!F:F)</f>
        <v>0</v>
      </c>
    </row>
    <row r="483" spans="1:5" x14ac:dyDescent="0.25">
      <c r="A483" s="30">
        <f>'Entradas '!B:B</f>
        <v>0</v>
      </c>
      <c r="B483" t="e">
        <f>VLOOKUP(A483,'Entradas '!B:F,3,FALSE)</f>
        <v>#N/A</v>
      </c>
      <c r="C483" t="e">
        <f>VLOOKUP(A483,'Entradas '!B:F,4,FALSE)</f>
        <v>#N/A</v>
      </c>
      <c r="D483" t="e">
        <f>VLOOKUP(A483,'Entradas '!B:F,5,FALSE)</f>
        <v>#N/A</v>
      </c>
      <c r="E483">
        <f>SUMIF('Entradas '!B:B,Inventario!A483,'Entradas '!F:F)-SUMIF('Salidas '!B:B,Inventario!A483,'Salidas '!F:F)</f>
        <v>0</v>
      </c>
    </row>
    <row r="484" spans="1:5" x14ac:dyDescent="0.25">
      <c r="A484" s="30">
        <f>'Entradas '!B:B</f>
        <v>0</v>
      </c>
      <c r="B484" t="e">
        <f>VLOOKUP(A484,'Entradas '!B:F,3,FALSE)</f>
        <v>#N/A</v>
      </c>
      <c r="C484" t="e">
        <f>VLOOKUP(A484,'Entradas '!B:F,4,FALSE)</f>
        <v>#N/A</v>
      </c>
      <c r="D484" t="e">
        <f>VLOOKUP(A484,'Entradas '!B:F,5,FALSE)</f>
        <v>#N/A</v>
      </c>
      <c r="E484">
        <f>SUMIF('Entradas '!B:B,Inventario!A484,'Entradas '!F:F)-SUMIF('Salidas '!B:B,Inventario!A484,'Salidas '!F:F)</f>
        <v>0</v>
      </c>
    </row>
    <row r="485" spans="1:5" x14ac:dyDescent="0.25">
      <c r="A485" s="30">
        <f>'Entradas '!B:B</f>
        <v>0</v>
      </c>
      <c r="B485" t="e">
        <f>VLOOKUP(A485,'Entradas '!B:F,3,FALSE)</f>
        <v>#N/A</v>
      </c>
      <c r="C485" t="e">
        <f>VLOOKUP(A485,'Entradas '!B:F,4,FALSE)</f>
        <v>#N/A</v>
      </c>
      <c r="D485" t="e">
        <f>VLOOKUP(A485,'Entradas '!B:F,5,FALSE)</f>
        <v>#N/A</v>
      </c>
      <c r="E485">
        <f>SUMIF('Entradas '!B:B,Inventario!A485,'Entradas '!F:F)-SUMIF('Salidas '!B:B,Inventario!A485,'Salidas '!F:F)</f>
        <v>0</v>
      </c>
    </row>
    <row r="486" spans="1:5" x14ac:dyDescent="0.25">
      <c r="A486" s="30">
        <f>'Entradas '!B:B</f>
        <v>0</v>
      </c>
      <c r="B486" t="e">
        <f>VLOOKUP(A486,'Entradas '!B:F,3,FALSE)</f>
        <v>#N/A</v>
      </c>
      <c r="C486" t="e">
        <f>VLOOKUP(A486,'Entradas '!B:F,4,FALSE)</f>
        <v>#N/A</v>
      </c>
      <c r="D486" t="e">
        <f>VLOOKUP(A486,'Entradas '!B:F,5,FALSE)</f>
        <v>#N/A</v>
      </c>
      <c r="E486">
        <f>SUMIF('Entradas '!B:B,Inventario!A486,'Entradas '!F:F)-SUMIF('Salidas '!B:B,Inventario!A486,'Salidas '!F:F)</f>
        <v>0</v>
      </c>
    </row>
    <row r="487" spans="1:5" x14ac:dyDescent="0.25">
      <c r="A487" s="30">
        <f>'Entradas '!B:B</f>
        <v>0</v>
      </c>
      <c r="B487" t="e">
        <f>VLOOKUP(A487,'Entradas '!B:F,3,FALSE)</f>
        <v>#N/A</v>
      </c>
      <c r="C487" t="e">
        <f>VLOOKUP(A487,'Entradas '!B:F,4,FALSE)</f>
        <v>#N/A</v>
      </c>
      <c r="D487" t="e">
        <f>VLOOKUP(A487,'Entradas '!B:F,5,FALSE)</f>
        <v>#N/A</v>
      </c>
      <c r="E487">
        <f>SUMIF('Entradas '!B:B,Inventario!A487,'Entradas '!F:F)-SUMIF('Salidas '!B:B,Inventario!A487,'Salidas '!F:F)</f>
        <v>0</v>
      </c>
    </row>
    <row r="488" spans="1:5" x14ac:dyDescent="0.25">
      <c r="A488" s="30">
        <f>'Entradas '!B:B</f>
        <v>0</v>
      </c>
      <c r="B488" t="e">
        <f>VLOOKUP(A488,'Entradas '!B:F,3,FALSE)</f>
        <v>#N/A</v>
      </c>
      <c r="C488" t="e">
        <f>VLOOKUP(A488,'Entradas '!B:F,4,FALSE)</f>
        <v>#N/A</v>
      </c>
      <c r="D488" t="e">
        <f>VLOOKUP(A488,'Entradas '!B:F,5,FALSE)</f>
        <v>#N/A</v>
      </c>
      <c r="E488">
        <f>SUMIF('Entradas '!B:B,Inventario!A488,'Entradas '!F:F)-SUMIF('Salidas '!B:B,Inventario!A488,'Salidas '!F:F)</f>
        <v>0</v>
      </c>
    </row>
    <row r="489" spans="1:5" x14ac:dyDescent="0.25">
      <c r="A489" s="30">
        <f>'Entradas '!B:B</f>
        <v>0</v>
      </c>
      <c r="B489" t="e">
        <f>VLOOKUP(A489,'Entradas '!B:F,3,FALSE)</f>
        <v>#N/A</v>
      </c>
      <c r="C489" t="e">
        <f>VLOOKUP(A489,'Entradas '!B:F,4,FALSE)</f>
        <v>#N/A</v>
      </c>
      <c r="D489" t="e">
        <f>VLOOKUP(A489,'Entradas '!B:F,5,FALSE)</f>
        <v>#N/A</v>
      </c>
      <c r="E489">
        <f>SUMIF('Entradas '!B:B,Inventario!A489,'Entradas '!F:F)-SUMIF('Salidas '!B:B,Inventario!A489,'Salidas '!F:F)</f>
        <v>0</v>
      </c>
    </row>
    <row r="490" spans="1:5" x14ac:dyDescent="0.25">
      <c r="A490" s="30">
        <f>'Entradas '!B:B</f>
        <v>0</v>
      </c>
      <c r="B490" t="e">
        <f>VLOOKUP(A490,'Entradas '!B:F,3,FALSE)</f>
        <v>#N/A</v>
      </c>
      <c r="C490" t="e">
        <f>VLOOKUP(A490,'Entradas '!B:F,4,FALSE)</f>
        <v>#N/A</v>
      </c>
      <c r="D490" t="e">
        <f>VLOOKUP(A490,'Entradas '!B:F,5,FALSE)</f>
        <v>#N/A</v>
      </c>
      <c r="E490">
        <f>SUMIF('Entradas '!B:B,Inventario!A490,'Entradas '!F:F)-SUMIF('Salidas '!B:B,Inventario!A490,'Salidas '!F:F)</f>
        <v>0</v>
      </c>
    </row>
    <row r="491" spans="1:5" x14ac:dyDescent="0.25">
      <c r="A491" s="30">
        <f>'Entradas '!B:B</f>
        <v>0</v>
      </c>
      <c r="B491" t="e">
        <f>VLOOKUP(A491,'Entradas '!B:F,3,FALSE)</f>
        <v>#N/A</v>
      </c>
      <c r="C491" t="e">
        <f>VLOOKUP(A491,'Entradas '!B:F,4,FALSE)</f>
        <v>#N/A</v>
      </c>
      <c r="D491" t="e">
        <f>VLOOKUP(A491,'Entradas '!B:F,5,FALSE)</f>
        <v>#N/A</v>
      </c>
      <c r="E491">
        <f>SUMIF('Entradas '!B:B,Inventario!A491,'Entradas '!F:F)-SUMIF('Salidas '!B:B,Inventario!A491,'Salidas '!F:F)</f>
        <v>0</v>
      </c>
    </row>
    <row r="492" spans="1:5" x14ac:dyDescent="0.25">
      <c r="A492" s="30">
        <f>'Entradas '!B:B</f>
        <v>0</v>
      </c>
      <c r="B492" t="e">
        <f>VLOOKUP(A492,'Entradas '!B:F,3,FALSE)</f>
        <v>#N/A</v>
      </c>
      <c r="C492" t="e">
        <f>VLOOKUP(A492,'Entradas '!B:F,4,FALSE)</f>
        <v>#N/A</v>
      </c>
      <c r="D492" t="e">
        <f>VLOOKUP(A492,'Entradas '!B:F,5,FALSE)</f>
        <v>#N/A</v>
      </c>
      <c r="E492">
        <f>SUMIF('Entradas '!B:B,Inventario!A492,'Entradas '!F:F)-SUMIF('Salidas '!B:B,Inventario!A492,'Salidas '!F:F)</f>
        <v>0</v>
      </c>
    </row>
    <row r="493" spans="1:5" x14ac:dyDescent="0.25">
      <c r="A493" s="30">
        <f>'Entradas '!B:B</f>
        <v>0</v>
      </c>
      <c r="B493" t="e">
        <f>VLOOKUP(A493,'Entradas '!B:F,3,FALSE)</f>
        <v>#N/A</v>
      </c>
      <c r="C493" t="e">
        <f>VLOOKUP(A493,'Entradas '!B:F,4,FALSE)</f>
        <v>#N/A</v>
      </c>
      <c r="D493" t="e">
        <f>VLOOKUP(A493,'Entradas '!B:F,5,FALSE)</f>
        <v>#N/A</v>
      </c>
      <c r="E493">
        <f>SUMIF('Entradas '!B:B,Inventario!A493,'Entradas '!F:F)-SUMIF('Salidas '!B:B,Inventario!A493,'Salidas '!F:F)</f>
        <v>0</v>
      </c>
    </row>
    <row r="494" spans="1:5" x14ac:dyDescent="0.25">
      <c r="A494" s="30">
        <f>'Entradas '!B:B</f>
        <v>0</v>
      </c>
      <c r="B494" t="e">
        <f>VLOOKUP(A494,'Entradas '!B:F,3,FALSE)</f>
        <v>#N/A</v>
      </c>
      <c r="C494" t="e">
        <f>VLOOKUP(A494,'Entradas '!B:F,4,FALSE)</f>
        <v>#N/A</v>
      </c>
      <c r="D494" t="e">
        <f>VLOOKUP(A494,'Entradas '!B:F,5,FALSE)</f>
        <v>#N/A</v>
      </c>
      <c r="E494">
        <f>SUMIF('Entradas '!B:B,Inventario!A494,'Entradas '!F:F)-SUMIF('Salidas '!B:B,Inventario!A494,'Salidas '!F:F)</f>
        <v>0</v>
      </c>
    </row>
    <row r="495" spans="1:5" x14ac:dyDescent="0.25">
      <c r="A495" s="30">
        <f>'Entradas '!B:B</f>
        <v>0</v>
      </c>
      <c r="B495" t="e">
        <f>VLOOKUP(A495,'Entradas '!B:F,3,FALSE)</f>
        <v>#N/A</v>
      </c>
      <c r="C495" t="e">
        <f>VLOOKUP(A495,'Entradas '!B:F,4,FALSE)</f>
        <v>#N/A</v>
      </c>
      <c r="D495" t="e">
        <f>VLOOKUP(A495,'Entradas '!B:F,5,FALSE)</f>
        <v>#N/A</v>
      </c>
      <c r="E495">
        <f>SUMIF('Entradas '!B:B,Inventario!A495,'Entradas '!F:F)-SUMIF('Salidas '!B:B,Inventario!A495,'Salidas '!F:F)</f>
        <v>0</v>
      </c>
    </row>
    <row r="496" spans="1:5" x14ac:dyDescent="0.25">
      <c r="A496" s="30">
        <f>'Entradas '!B:B</f>
        <v>0</v>
      </c>
      <c r="B496" t="e">
        <f>VLOOKUP(A496,'Entradas '!B:F,3,FALSE)</f>
        <v>#N/A</v>
      </c>
      <c r="C496" t="e">
        <f>VLOOKUP(A496,'Entradas '!B:F,4,FALSE)</f>
        <v>#N/A</v>
      </c>
      <c r="D496" t="e">
        <f>VLOOKUP(A496,'Entradas '!B:F,5,FALSE)</f>
        <v>#N/A</v>
      </c>
      <c r="E496">
        <f>SUMIF('Entradas '!B:B,Inventario!A496,'Entradas '!F:F)-SUMIF('Salidas '!B:B,Inventario!A496,'Salidas '!F:F)</f>
        <v>0</v>
      </c>
    </row>
    <row r="497" spans="1:5" x14ac:dyDescent="0.25">
      <c r="A497" s="30">
        <f>'Entradas '!B:B</f>
        <v>0</v>
      </c>
      <c r="B497" t="e">
        <f>VLOOKUP(A497,'Entradas '!B:F,3,FALSE)</f>
        <v>#N/A</v>
      </c>
      <c r="C497" t="e">
        <f>VLOOKUP(A497,'Entradas '!B:F,4,FALSE)</f>
        <v>#N/A</v>
      </c>
      <c r="D497" t="e">
        <f>VLOOKUP(A497,'Entradas '!B:F,5,FALSE)</f>
        <v>#N/A</v>
      </c>
      <c r="E497">
        <f>SUMIF('Entradas '!B:B,Inventario!A497,'Entradas '!F:F)-SUMIF('Salidas '!B:B,Inventario!A497,'Salidas '!F:F)</f>
        <v>0</v>
      </c>
    </row>
    <row r="498" spans="1:5" x14ac:dyDescent="0.25">
      <c r="A498" s="30">
        <f>'Entradas '!B:B</f>
        <v>0</v>
      </c>
      <c r="B498" t="e">
        <f>VLOOKUP(A498,'Entradas '!B:F,3,FALSE)</f>
        <v>#N/A</v>
      </c>
      <c r="C498" t="e">
        <f>VLOOKUP(A498,'Entradas '!B:F,4,FALSE)</f>
        <v>#N/A</v>
      </c>
      <c r="D498" t="e">
        <f>VLOOKUP(A498,'Entradas '!B:F,5,FALSE)</f>
        <v>#N/A</v>
      </c>
      <c r="E498">
        <f>SUMIF('Entradas '!B:B,Inventario!A498,'Entradas '!F:F)-SUMIF('Salidas '!B:B,Inventario!A498,'Salidas '!F:F)</f>
        <v>0</v>
      </c>
    </row>
    <row r="499" spans="1:5" x14ac:dyDescent="0.25">
      <c r="A499" s="30">
        <f>'Entradas '!B:B</f>
        <v>0</v>
      </c>
      <c r="B499" t="e">
        <f>VLOOKUP(A499,'Entradas '!B:F,3,FALSE)</f>
        <v>#N/A</v>
      </c>
      <c r="C499" t="e">
        <f>VLOOKUP(A499,'Entradas '!B:F,4,FALSE)</f>
        <v>#N/A</v>
      </c>
      <c r="D499" t="e">
        <f>VLOOKUP(A499,'Entradas '!B:F,5,FALSE)</f>
        <v>#N/A</v>
      </c>
      <c r="E499">
        <f>SUMIF('Entradas '!B:B,Inventario!A499,'Entradas '!F:F)-SUMIF('Salidas '!B:B,Inventario!A499,'Salidas '!F:F)</f>
        <v>0</v>
      </c>
    </row>
    <row r="500" spans="1:5" x14ac:dyDescent="0.25">
      <c r="A500" s="30">
        <f>'Entradas '!B:B</f>
        <v>0</v>
      </c>
      <c r="B500" t="e">
        <f>VLOOKUP(A500,'Entradas '!B:F,3,FALSE)</f>
        <v>#N/A</v>
      </c>
      <c r="C500" t="e">
        <f>VLOOKUP(A500,'Entradas '!B:F,4,FALSE)</f>
        <v>#N/A</v>
      </c>
      <c r="D500" t="e">
        <f>VLOOKUP(A500,'Entradas '!B:F,5,FALSE)</f>
        <v>#N/A</v>
      </c>
      <c r="E500">
        <f>SUMIF('Entradas '!B:B,Inventario!A500,'Entradas '!F:F)-SUMIF('Salidas '!B:B,Inventario!A500,'Salidas '!F:F)</f>
        <v>0</v>
      </c>
    </row>
    <row r="501" spans="1:5" x14ac:dyDescent="0.25">
      <c r="A501" s="30">
        <f>'Entradas '!B:B</f>
        <v>0</v>
      </c>
      <c r="B501" t="e">
        <f>VLOOKUP(A501,'Entradas '!B:F,3,FALSE)</f>
        <v>#N/A</v>
      </c>
      <c r="C501" t="e">
        <f>VLOOKUP(A501,'Entradas '!B:F,4,FALSE)</f>
        <v>#N/A</v>
      </c>
      <c r="D501" t="e">
        <f>VLOOKUP(A501,'Entradas '!B:F,5,FALSE)</f>
        <v>#N/A</v>
      </c>
      <c r="E501">
        <f>SUMIF('Entradas '!B:B,Inventario!A501,'Entradas '!F:F)-SUMIF('Salidas '!B:B,Inventario!A501,'Salidas '!F:F)</f>
        <v>0</v>
      </c>
    </row>
    <row r="502" spans="1:5" x14ac:dyDescent="0.25">
      <c r="A502" s="30">
        <f>'Entradas '!B:B</f>
        <v>0</v>
      </c>
      <c r="B502" t="e">
        <f>VLOOKUP(A502,'Entradas '!B:F,3,FALSE)</f>
        <v>#N/A</v>
      </c>
      <c r="C502" t="e">
        <f>VLOOKUP(A502,'Entradas '!B:F,4,FALSE)</f>
        <v>#N/A</v>
      </c>
      <c r="D502" t="e">
        <f>VLOOKUP(A502,'Entradas '!B:F,5,FALSE)</f>
        <v>#N/A</v>
      </c>
      <c r="E502">
        <f>SUMIF('Entradas '!B:B,Inventario!A502,'Entradas '!F:F)-SUMIF('Salidas '!B:B,Inventario!A502,'Salidas '!F:F)</f>
        <v>0</v>
      </c>
    </row>
    <row r="503" spans="1:5" x14ac:dyDescent="0.25">
      <c r="A503" s="30">
        <f>'Entradas '!B:B</f>
        <v>0</v>
      </c>
      <c r="B503" t="e">
        <f>VLOOKUP(A503,'Entradas '!B:F,3,FALSE)</f>
        <v>#N/A</v>
      </c>
      <c r="C503" t="e">
        <f>VLOOKUP(A503,'Entradas '!B:F,4,FALSE)</f>
        <v>#N/A</v>
      </c>
      <c r="D503" t="e">
        <f>VLOOKUP(A503,'Entradas '!B:F,5,FALSE)</f>
        <v>#N/A</v>
      </c>
      <c r="E503">
        <f>SUMIF('Entradas '!B:B,Inventario!A503,'Entradas '!F:F)-SUMIF('Salidas '!B:B,Inventario!A503,'Salidas '!F:F)</f>
        <v>0</v>
      </c>
    </row>
    <row r="504" spans="1:5" x14ac:dyDescent="0.25">
      <c r="A504" s="30">
        <f>'Entradas '!B:B</f>
        <v>0</v>
      </c>
      <c r="B504" t="e">
        <f>VLOOKUP(A504,'Entradas '!B:F,3,FALSE)</f>
        <v>#N/A</v>
      </c>
      <c r="C504" t="e">
        <f>VLOOKUP(A504,'Entradas '!B:F,4,FALSE)</f>
        <v>#N/A</v>
      </c>
      <c r="D504" t="e">
        <f>VLOOKUP(A504,'Entradas '!B:F,5,FALSE)</f>
        <v>#N/A</v>
      </c>
      <c r="E504">
        <f>SUMIF('Entradas '!B:B,Inventario!A504,'Entradas '!F:F)-SUMIF('Salidas '!B:B,Inventario!A504,'Salidas '!F:F)</f>
        <v>0</v>
      </c>
    </row>
    <row r="505" spans="1:5" x14ac:dyDescent="0.25">
      <c r="A505" s="30">
        <f>'Entradas '!B:B</f>
        <v>0</v>
      </c>
      <c r="B505" t="e">
        <f>VLOOKUP(A505,'Entradas '!B:F,3,FALSE)</f>
        <v>#N/A</v>
      </c>
      <c r="C505" t="e">
        <f>VLOOKUP(A505,'Entradas '!B:F,4,FALSE)</f>
        <v>#N/A</v>
      </c>
      <c r="D505" t="e">
        <f>VLOOKUP(A505,'Entradas '!B:F,5,FALSE)</f>
        <v>#N/A</v>
      </c>
      <c r="E505">
        <f>SUMIF('Entradas '!B:B,Inventario!A505,'Entradas '!F:F)-SUMIF('Salidas '!B:B,Inventario!A505,'Salidas '!F:F)</f>
        <v>0</v>
      </c>
    </row>
    <row r="506" spans="1:5" x14ac:dyDescent="0.25">
      <c r="A506" s="30">
        <f>'Entradas '!B:B</f>
        <v>0</v>
      </c>
      <c r="B506" t="e">
        <f>VLOOKUP(A506,'Entradas '!B:F,3,FALSE)</f>
        <v>#N/A</v>
      </c>
      <c r="C506" t="e">
        <f>VLOOKUP(A506,'Entradas '!B:F,4,FALSE)</f>
        <v>#N/A</v>
      </c>
      <c r="D506" t="e">
        <f>VLOOKUP(A506,'Entradas '!B:F,5,FALSE)</f>
        <v>#N/A</v>
      </c>
      <c r="E506">
        <f>SUMIF('Entradas '!B:B,Inventario!A506,'Entradas '!F:F)-SUMIF('Salidas '!B:B,Inventario!A506,'Salidas '!F:F)</f>
        <v>0</v>
      </c>
    </row>
    <row r="507" spans="1:5" x14ac:dyDescent="0.25">
      <c r="A507" s="30">
        <f>'Entradas '!B:B</f>
        <v>0</v>
      </c>
      <c r="B507" t="e">
        <f>VLOOKUP(A507,'Entradas '!B:F,3,FALSE)</f>
        <v>#N/A</v>
      </c>
      <c r="C507" t="e">
        <f>VLOOKUP(A507,'Entradas '!B:F,4,FALSE)</f>
        <v>#N/A</v>
      </c>
      <c r="D507" t="e">
        <f>VLOOKUP(A507,'Entradas '!B:F,5,FALSE)</f>
        <v>#N/A</v>
      </c>
      <c r="E507">
        <f>SUMIF('Entradas '!B:B,Inventario!A507,'Entradas '!F:F)-SUMIF('Salidas '!B:B,Inventario!A507,'Salidas '!F:F)</f>
        <v>0</v>
      </c>
    </row>
    <row r="508" spans="1:5" x14ac:dyDescent="0.25">
      <c r="A508" s="30">
        <f>'Entradas '!B:B</f>
        <v>0</v>
      </c>
      <c r="B508" t="e">
        <f>VLOOKUP(A508,'Entradas '!B:F,3,FALSE)</f>
        <v>#N/A</v>
      </c>
      <c r="C508" t="e">
        <f>VLOOKUP(A508,'Entradas '!B:F,4,FALSE)</f>
        <v>#N/A</v>
      </c>
      <c r="D508" t="e">
        <f>VLOOKUP(A508,'Entradas '!B:F,5,FALSE)</f>
        <v>#N/A</v>
      </c>
      <c r="E508">
        <f>SUMIF('Entradas '!B:B,Inventario!A508,'Entradas '!F:F)-SUMIF('Salidas '!B:B,Inventario!A508,'Salidas '!F:F)</f>
        <v>0</v>
      </c>
    </row>
    <row r="509" spans="1:5" x14ac:dyDescent="0.25">
      <c r="A509" s="30">
        <f>'Entradas '!B:B</f>
        <v>0</v>
      </c>
      <c r="B509" t="e">
        <f>VLOOKUP(A509,'Entradas '!B:F,3,FALSE)</f>
        <v>#N/A</v>
      </c>
      <c r="C509" t="e">
        <f>VLOOKUP(A509,'Entradas '!B:F,4,FALSE)</f>
        <v>#N/A</v>
      </c>
      <c r="D509" t="e">
        <f>VLOOKUP(A509,'Entradas '!B:F,5,FALSE)</f>
        <v>#N/A</v>
      </c>
      <c r="E509">
        <f>SUMIF('Entradas '!B:B,Inventario!A509,'Entradas '!F:F)-SUMIF('Salidas '!B:B,Inventario!A509,'Salidas '!F:F)</f>
        <v>0</v>
      </c>
    </row>
    <row r="510" spans="1:5" x14ac:dyDescent="0.25">
      <c r="A510" s="30">
        <f>'Entradas '!B:B</f>
        <v>0</v>
      </c>
      <c r="B510" t="e">
        <f>VLOOKUP(A510,'Entradas '!B:F,3,FALSE)</f>
        <v>#N/A</v>
      </c>
      <c r="C510" t="e">
        <f>VLOOKUP(A510,'Entradas '!B:F,4,FALSE)</f>
        <v>#N/A</v>
      </c>
      <c r="D510" t="e">
        <f>VLOOKUP(A510,'Entradas '!B:F,5,FALSE)</f>
        <v>#N/A</v>
      </c>
      <c r="E510">
        <f>SUMIF('Entradas '!B:B,Inventario!A510,'Entradas '!F:F)-SUMIF('Salidas '!B:B,Inventario!A510,'Salidas '!F:F)</f>
        <v>0</v>
      </c>
    </row>
    <row r="511" spans="1:5" x14ac:dyDescent="0.25">
      <c r="A511" s="30">
        <f>'Entradas '!B:B</f>
        <v>0</v>
      </c>
      <c r="B511" t="e">
        <f>VLOOKUP(A511,'Entradas '!B:F,3,FALSE)</f>
        <v>#N/A</v>
      </c>
      <c r="C511" t="e">
        <f>VLOOKUP(A511,'Entradas '!B:F,4,FALSE)</f>
        <v>#N/A</v>
      </c>
      <c r="D511" t="e">
        <f>VLOOKUP(A511,'Entradas '!B:F,5,FALSE)</f>
        <v>#N/A</v>
      </c>
      <c r="E511">
        <f>SUMIF('Entradas '!B:B,Inventario!A511,'Entradas '!F:F)-SUMIF('Salidas '!B:B,Inventario!A511,'Salidas '!F:F)</f>
        <v>0</v>
      </c>
    </row>
    <row r="512" spans="1:5" x14ac:dyDescent="0.25">
      <c r="A512" s="30">
        <f>'Entradas '!B:B</f>
        <v>0</v>
      </c>
      <c r="B512" t="e">
        <f>VLOOKUP(A512,'Entradas '!B:F,3,FALSE)</f>
        <v>#N/A</v>
      </c>
      <c r="C512" t="e">
        <f>VLOOKUP(A512,'Entradas '!B:F,4,FALSE)</f>
        <v>#N/A</v>
      </c>
      <c r="D512" t="e">
        <f>VLOOKUP(A512,'Entradas '!B:F,5,FALSE)</f>
        <v>#N/A</v>
      </c>
      <c r="E512">
        <f>SUMIF('Entradas '!B:B,Inventario!A512,'Entradas '!F:F)-SUMIF('Salidas '!B:B,Inventario!A512,'Salidas '!F:F)</f>
        <v>0</v>
      </c>
    </row>
    <row r="513" spans="1:5" x14ac:dyDescent="0.25">
      <c r="A513" s="30">
        <f>'Entradas '!B:B</f>
        <v>0</v>
      </c>
      <c r="B513" t="e">
        <f>VLOOKUP(A513,'Entradas '!B:F,3,FALSE)</f>
        <v>#N/A</v>
      </c>
      <c r="C513" t="e">
        <f>VLOOKUP(A513,'Entradas '!B:F,4,FALSE)</f>
        <v>#N/A</v>
      </c>
      <c r="D513" t="e">
        <f>VLOOKUP(A513,'Entradas '!B:F,5,FALSE)</f>
        <v>#N/A</v>
      </c>
      <c r="E513">
        <f>SUMIF('Entradas '!B:B,Inventario!A513,'Entradas '!F:F)-SUMIF('Salidas '!B:B,Inventario!A513,'Salidas '!F:F)</f>
        <v>0</v>
      </c>
    </row>
    <row r="514" spans="1:5" x14ac:dyDescent="0.25">
      <c r="A514" s="30">
        <f>'Entradas '!B:B</f>
        <v>0</v>
      </c>
      <c r="B514" t="e">
        <f>VLOOKUP(A514,'Entradas '!B:F,3,FALSE)</f>
        <v>#N/A</v>
      </c>
      <c r="C514" t="e">
        <f>VLOOKUP(A514,'Entradas '!B:F,4,FALSE)</f>
        <v>#N/A</v>
      </c>
      <c r="D514" t="e">
        <f>VLOOKUP(A514,'Entradas '!B:F,5,FALSE)</f>
        <v>#N/A</v>
      </c>
      <c r="E514">
        <f>SUMIF('Entradas '!B:B,Inventario!A514,'Entradas '!F:F)-SUMIF('Salidas '!B:B,Inventario!A514,'Salidas '!F:F)</f>
        <v>0</v>
      </c>
    </row>
    <row r="515" spans="1:5" x14ac:dyDescent="0.25">
      <c r="A515" s="30">
        <f>'Entradas '!B:B</f>
        <v>0</v>
      </c>
      <c r="B515" t="e">
        <f>VLOOKUP(A515,'Entradas '!B:F,3,FALSE)</f>
        <v>#N/A</v>
      </c>
      <c r="C515" t="e">
        <f>VLOOKUP(A515,'Entradas '!B:F,4,FALSE)</f>
        <v>#N/A</v>
      </c>
      <c r="D515" t="e">
        <f>VLOOKUP(A515,'Entradas '!B:F,5,FALSE)</f>
        <v>#N/A</v>
      </c>
      <c r="E515">
        <f>SUMIF('Entradas '!B:B,Inventario!A515,'Entradas '!F:F)-SUMIF('Salidas '!B:B,Inventario!A515,'Salidas '!F:F)</f>
        <v>0</v>
      </c>
    </row>
    <row r="516" spans="1:5" x14ac:dyDescent="0.25">
      <c r="A516" s="30">
        <f>'Entradas '!B:B</f>
        <v>0</v>
      </c>
      <c r="B516" t="e">
        <f>VLOOKUP(A516,'Entradas '!B:F,3,FALSE)</f>
        <v>#N/A</v>
      </c>
      <c r="C516" t="e">
        <f>VLOOKUP(A516,'Entradas '!B:F,4,FALSE)</f>
        <v>#N/A</v>
      </c>
      <c r="D516" t="e">
        <f>VLOOKUP(A516,'Entradas '!B:F,5,FALSE)</f>
        <v>#N/A</v>
      </c>
      <c r="E516">
        <f>SUMIF('Entradas '!B:B,Inventario!A516,'Entradas '!F:F)-SUMIF('Salidas '!B:B,Inventario!A516,'Salidas '!F:F)</f>
        <v>0</v>
      </c>
    </row>
    <row r="517" spans="1:5" x14ac:dyDescent="0.25">
      <c r="A517" s="30">
        <f>'Entradas '!B:B</f>
        <v>0</v>
      </c>
      <c r="B517" t="e">
        <f>VLOOKUP(A517,'Entradas '!B:F,3,FALSE)</f>
        <v>#N/A</v>
      </c>
      <c r="C517" t="e">
        <f>VLOOKUP(A517,'Entradas '!B:F,4,FALSE)</f>
        <v>#N/A</v>
      </c>
      <c r="D517" t="e">
        <f>VLOOKUP(A517,'Entradas '!B:F,5,FALSE)</f>
        <v>#N/A</v>
      </c>
      <c r="E517">
        <f>SUMIF('Entradas '!B:B,Inventario!A517,'Entradas '!F:F)-SUMIF('Salidas '!B:B,Inventario!A517,'Salidas '!F:F)</f>
        <v>0</v>
      </c>
    </row>
    <row r="518" spans="1:5" x14ac:dyDescent="0.25">
      <c r="A518" s="30">
        <f>'Entradas '!B:B</f>
        <v>0</v>
      </c>
      <c r="B518" t="e">
        <f>VLOOKUP(A518,'Entradas '!B:F,3,FALSE)</f>
        <v>#N/A</v>
      </c>
      <c r="C518" t="e">
        <f>VLOOKUP(A518,'Entradas '!B:F,4,FALSE)</f>
        <v>#N/A</v>
      </c>
      <c r="D518" t="e">
        <f>VLOOKUP(A518,'Entradas '!B:F,5,FALSE)</f>
        <v>#N/A</v>
      </c>
      <c r="E518">
        <f>SUMIF('Entradas '!B:B,Inventario!A518,'Entradas '!F:F)-SUMIF('Salidas '!B:B,Inventario!A518,'Salidas '!F:F)</f>
        <v>0</v>
      </c>
    </row>
    <row r="519" spans="1:5" x14ac:dyDescent="0.25">
      <c r="A519" s="30">
        <f>'Entradas '!B:B</f>
        <v>0</v>
      </c>
      <c r="B519" t="e">
        <f>VLOOKUP(A519,'Entradas '!B:F,3,FALSE)</f>
        <v>#N/A</v>
      </c>
      <c r="C519" t="e">
        <f>VLOOKUP(A519,'Entradas '!B:F,4,FALSE)</f>
        <v>#N/A</v>
      </c>
      <c r="D519" t="e">
        <f>VLOOKUP(A519,'Entradas '!B:F,5,FALSE)</f>
        <v>#N/A</v>
      </c>
      <c r="E519">
        <f>SUMIF('Entradas '!B:B,Inventario!A519,'Entradas '!F:F)-SUMIF('Salidas '!B:B,Inventario!A519,'Salidas '!F:F)</f>
        <v>0</v>
      </c>
    </row>
    <row r="520" spans="1:5" x14ac:dyDescent="0.25">
      <c r="A520" s="30">
        <f>'Entradas '!B:B</f>
        <v>0</v>
      </c>
      <c r="B520" t="e">
        <f>VLOOKUP(A520,'Entradas '!B:F,3,FALSE)</f>
        <v>#N/A</v>
      </c>
      <c r="C520" t="e">
        <f>VLOOKUP(A520,'Entradas '!B:F,4,FALSE)</f>
        <v>#N/A</v>
      </c>
      <c r="D520" t="e">
        <f>VLOOKUP(A520,'Entradas '!B:F,5,FALSE)</f>
        <v>#N/A</v>
      </c>
      <c r="E520">
        <f>SUMIF('Entradas '!B:B,Inventario!A520,'Entradas '!F:F)-SUMIF('Salidas '!B:B,Inventario!A520,'Salidas '!F:F)</f>
        <v>0</v>
      </c>
    </row>
    <row r="521" spans="1:5" x14ac:dyDescent="0.25">
      <c r="A521" s="30">
        <f>'Entradas '!B:B</f>
        <v>0</v>
      </c>
      <c r="B521" t="e">
        <f>VLOOKUP(A521,'Entradas '!B:F,3,FALSE)</f>
        <v>#N/A</v>
      </c>
      <c r="C521" t="e">
        <f>VLOOKUP(A521,'Entradas '!B:F,4,FALSE)</f>
        <v>#N/A</v>
      </c>
      <c r="D521" t="e">
        <f>VLOOKUP(A521,'Entradas '!B:F,5,FALSE)</f>
        <v>#N/A</v>
      </c>
      <c r="E521">
        <f>SUMIF('Entradas '!B:B,Inventario!A521,'Entradas '!F:F)-SUMIF('Salidas '!B:B,Inventario!A521,'Salidas '!F:F)</f>
        <v>0</v>
      </c>
    </row>
    <row r="522" spans="1:5" x14ac:dyDescent="0.25">
      <c r="A522" s="30">
        <f>'Entradas '!B:B</f>
        <v>0</v>
      </c>
      <c r="B522" t="e">
        <f>VLOOKUP(A522,'Entradas '!B:F,3,FALSE)</f>
        <v>#N/A</v>
      </c>
      <c r="C522" t="e">
        <f>VLOOKUP(A522,'Entradas '!B:F,4,FALSE)</f>
        <v>#N/A</v>
      </c>
      <c r="D522" t="e">
        <f>VLOOKUP(A522,'Entradas '!B:F,5,FALSE)</f>
        <v>#N/A</v>
      </c>
      <c r="E522">
        <f>SUMIF('Entradas '!B:B,Inventario!A522,'Entradas '!F:F)-SUMIF('Salidas '!B:B,Inventario!A522,'Salidas '!F:F)</f>
        <v>0</v>
      </c>
    </row>
    <row r="523" spans="1:5" x14ac:dyDescent="0.25">
      <c r="A523" s="30">
        <f>'Entradas '!B:B</f>
        <v>0</v>
      </c>
      <c r="B523" t="e">
        <f>VLOOKUP(A523,'Entradas '!B:F,3,FALSE)</f>
        <v>#N/A</v>
      </c>
      <c r="C523" t="e">
        <f>VLOOKUP(A523,'Entradas '!B:F,4,FALSE)</f>
        <v>#N/A</v>
      </c>
      <c r="D523" t="e">
        <f>VLOOKUP(A523,'Entradas '!B:F,5,FALSE)</f>
        <v>#N/A</v>
      </c>
      <c r="E523">
        <f>SUMIF('Entradas '!B:B,Inventario!A523,'Entradas '!F:F)-SUMIF('Salidas '!B:B,Inventario!A523,'Salidas '!F:F)</f>
        <v>0</v>
      </c>
    </row>
    <row r="524" spans="1:5" x14ac:dyDescent="0.25">
      <c r="A524" s="30">
        <f>'Entradas '!B:B</f>
        <v>0</v>
      </c>
      <c r="B524" t="e">
        <f>VLOOKUP(A524,'Entradas '!B:F,3,FALSE)</f>
        <v>#N/A</v>
      </c>
      <c r="C524" t="e">
        <f>VLOOKUP(A524,'Entradas '!B:F,4,FALSE)</f>
        <v>#N/A</v>
      </c>
      <c r="D524" t="e">
        <f>VLOOKUP(A524,'Entradas '!B:F,5,FALSE)</f>
        <v>#N/A</v>
      </c>
      <c r="E524">
        <f>SUMIF('Entradas '!B:B,Inventario!A524,'Entradas '!F:F)-SUMIF('Salidas '!B:B,Inventario!A524,'Salidas '!F:F)</f>
        <v>0</v>
      </c>
    </row>
    <row r="525" spans="1:5" x14ac:dyDescent="0.25">
      <c r="A525" s="30">
        <f>'Entradas '!B:B</f>
        <v>0</v>
      </c>
      <c r="B525" t="e">
        <f>VLOOKUP(A525,'Entradas '!B:F,3,FALSE)</f>
        <v>#N/A</v>
      </c>
      <c r="C525" t="e">
        <f>VLOOKUP(A525,'Entradas '!B:F,4,FALSE)</f>
        <v>#N/A</v>
      </c>
      <c r="D525" t="e">
        <f>VLOOKUP(A525,'Entradas '!B:F,5,FALSE)</f>
        <v>#N/A</v>
      </c>
      <c r="E525">
        <f>SUMIF('Entradas '!B:B,Inventario!A525,'Entradas '!F:F)-SUMIF('Salidas '!B:B,Inventario!A525,'Salidas '!F:F)</f>
        <v>0</v>
      </c>
    </row>
    <row r="526" spans="1:5" x14ac:dyDescent="0.25">
      <c r="A526" s="30">
        <f>'Entradas '!B:B</f>
        <v>0</v>
      </c>
      <c r="B526" t="e">
        <f>VLOOKUP(A526,'Entradas '!B:F,3,FALSE)</f>
        <v>#N/A</v>
      </c>
      <c r="C526" t="e">
        <f>VLOOKUP(A526,'Entradas '!B:F,4,FALSE)</f>
        <v>#N/A</v>
      </c>
      <c r="D526" t="e">
        <f>VLOOKUP(A526,'Entradas '!B:F,5,FALSE)</f>
        <v>#N/A</v>
      </c>
      <c r="E526">
        <f>SUMIF('Entradas '!B:B,Inventario!A526,'Entradas '!F:F)-SUMIF('Salidas '!B:B,Inventario!A526,'Salidas '!F:F)</f>
        <v>0</v>
      </c>
    </row>
    <row r="527" spans="1:5" x14ac:dyDescent="0.25">
      <c r="A527" s="30">
        <f>'Entradas '!B:B</f>
        <v>0</v>
      </c>
      <c r="B527" t="e">
        <f>VLOOKUP(A527,'Entradas '!B:F,3,FALSE)</f>
        <v>#N/A</v>
      </c>
      <c r="C527" t="e">
        <f>VLOOKUP(A527,'Entradas '!B:F,4,FALSE)</f>
        <v>#N/A</v>
      </c>
      <c r="D527" t="e">
        <f>VLOOKUP(A527,'Entradas '!B:F,5,FALSE)</f>
        <v>#N/A</v>
      </c>
      <c r="E527">
        <f>SUMIF('Entradas '!B:B,Inventario!A527,'Entradas '!F:F)-SUMIF('Salidas '!B:B,Inventario!A527,'Salidas '!F:F)</f>
        <v>0</v>
      </c>
    </row>
    <row r="528" spans="1:5" x14ac:dyDescent="0.25">
      <c r="B528" t="e">
        <f>VLOOKUP(A528,'Entradas '!B:F,3,FALSE)</f>
        <v>#N/A</v>
      </c>
      <c r="C528" t="e">
        <f>VLOOKUP(A528,'Entradas '!B:F,4,FALSE)</f>
        <v>#N/A</v>
      </c>
      <c r="D528" t="e">
        <f>VLOOKUP(A528,'Entradas '!B:F,5,FALSE)</f>
        <v>#N/A</v>
      </c>
      <c r="E528">
        <f>SUMIF('Entradas '!B:B,Inventario!A528,'Entradas '!F:F)-SUMIF('Salidas '!B:B,Inventario!A528,'Salidas '!F:F)</f>
        <v>0</v>
      </c>
    </row>
  </sheetData>
  <sheetProtection algorithmName="SHA-512" hashValue="eH3NoG8l7hSAdR9PxPYzLZwpH5dWdxMnM7Zt29+3CkOjJRPEdc06mZuBDam0ra0oGAPf3iUyGC6qJUUwdnSKvQ==" saltValue="8qPHw2BjfQ0ckmhyPQAfVg==" spinCount="100000" sheet="1" objects="1" scenarios="1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Salidas </vt:lpstr>
      <vt:lpstr>Entradas </vt:lpstr>
      <vt:lpstr>Inventario</vt:lpstr>
      <vt:lpstr>Hoja1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Eduardo Labiaga Orozco</dc:creator>
  <cp:lastModifiedBy>Almacen</cp:lastModifiedBy>
  <dcterms:created xsi:type="dcterms:W3CDTF">2019-05-17T18:15:40Z</dcterms:created>
  <dcterms:modified xsi:type="dcterms:W3CDTF">2019-05-30T20:23:30Z</dcterms:modified>
</cp:coreProperties>
</file>