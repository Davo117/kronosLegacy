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555" yWindow="4140" windowWidth="20730" windowHeight="11760" tabRatio="682"/>
  </bookViews>
  <sheets>
    <sheet name="Base de datos" sheetId="1" r:id="rId1"/>
    <sheet name="Ingreso codigo" sheetId="6" r:id="rId2"/>
    <sheet name="Imp. 1 item pagina" sheetId="2" r:id="rId3"/>
    <sheet name="Hoja1" sheetId="8" r:id="rId4"/>
    <sheet name="imp. 3 item pagina" sheetId="5" r:id="rId5"/>
    <sheet name="Imp. 5 item pagina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82" i="1" l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381" i="1"/>
  <c r="G380" i="1"/>
  <c r="G278" i="1" l="1"/>
  <c r="G280" i="1"/>
  <c r="G294" i="1"/>
  <c r="G296" i="1"/>
  <c r="G310" i="1"/>
  <c r="G312" i="1"/>
  <c r="G326" i="1"/>
  <c r="G328" i="1"/>
  <c r="G342" i="1"/>
  <c r="G344" i="1"/>
  <c r="G358" i="1"/>
  <c r="G360" i="1"/>
  <c r="G376" i="1"/>
  <c r="B264" i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G264" i="1"/>
  <c r="G265" i="1"/>
  <c r="G266" i="1"/>
  <c r="G267" i="1"/>
  <c r="G268" i="1"/>
  <c r="G269" i="1"/>
  <c r="G271" i="1"/>
  <c r="G273" i="1"/>
  <c r="G274" i="1"/>
  <c r="G275" i="1"/>
  <c r="G276" i="1"/>
  <c r="G277" i="1"/>
  <c r="G279" i="1"/>
  <c r="G281" i="1"/>
  <c r="G282" i="1"/>
  <c r="G283" i="1"/>
  <c r="G284" i="1"/>
  <c r="G285" i="1"/>
  <c r="G287" i="1"/>
  <c r="G289" i="1"/>
  <c r="G290" i="1"/>
  <c r="G291" i="1"/>
  <c r="G292" i="1"/>
  <c r="G293" i="1"/>
  <c r="G295" i="1"/>
  <c r="G297" i="1"/>
  <c r="G298" i="1"/>
  <c r="G299" i="1"/>
  <c r="G300" i="1"/>
  <c r="G301" i="1"/>
  <c r="G303" i="1"/>
  <c r="G305" i="1"/>
  <c r="G306" i="1"/>
  <c r="G307" i="1"/>
  <c r="G308" i="1"/>
  <c r="G309" i="1"/>
  <c r="G311" i="1"/>
  <c r="G313" i="1"/>
  <c r="G314" i="1"/>
  <c r="G315" i="1"/>
  <c r="G316" i="1"/>
  <c r="G317" i="1"/>
  <c r="G319" i="1"/>
  <c r="G321" i="1"/>
  <c r="G322" i="1"/>
  <c r="G323" i="1"/>
  <c r="G324" i="1"/>
  <c r="G325" i="1"/>
  <c r="G327" i="1"/>
  <c r="G329" i="1"/>
  <c r="G330" i="1"/>
  <c r="G331" i="1"/>
  <c r="G332" i="1"/>
  <c r="G333" i="1"/>
  <c r="G335" i="1"/>
  <c r="G337" i="1"/>
  <c r="G338" i="1"/>
  <c r="G339" i="1"/>
  <c r="G340" i="1"/>
  <c r="G341" i="1"/>
  <c r="G343" i="1"/>
  <c r="G345" i="1"/>
  <c r="G346" i="1"/>
  <c r="G347" i="1"/>
  <c r="G348" i="1"/>
  <c r="G349" i="1"/>
  <c r="G351" i="1"/>
  <c r="G353" i="1"/>
  <c r="G354" i="1"/>
  <c r="G355" i="1"/>
  <c r="G356" i="1"/>
  <c r="G357" i="1"/>
  <c r="G359" i="1"/>
  <c r="G361" i="1"/>
  <c r="G362" i="1"/>
  <c r="G363" i="1"/>
  <c r="G364" i="1"/>
  <c r="G365" i="1"/>
  <c r="G367" i="1"/>
  <c r="G369" i="1"/>
  <c r="G371" i="1"/>
  <c r="G372" i="1"/>
  <c r="G373" i="1"/>
  <c r="G377" i="1"/>
  <c r="G378" i="1"/>
  <c r="G379" i="1"/>
  <c r="G263" i="1"/>
  <c r="G374" i="1" l="1"/>
  <c r="G375" i="1"/>
  <c r="G370" i="1"/>
  <c r="G368" i="1"/>
  <c r="G352" i="1"/>
  <c r="G336" i="1"/>
  <c r="G320" i="1"/>
  <c r="G304" i="1"/>
  <c r="G288" i="1"/>
  <c r="G272" i="1"/>
  <c r="G366" i="1"/>
  <c r="G350" i="1"/>
  <c r="G334" i="1"/>
  <c r="G318" i="1"/>
  <c r="G302" i="1"/>
  <c r="G286" i="1"/>
  <c r="G270" i="1"/>
  <c r="B231" i="1"/>
  <c r="B232" i="1" s="1"/>
  <c r="G231" i="1"/>
  <c r="G230" i="1"/>
  <c r="B155" i="1"/>
  <c r="B156" i="1" s="1"/>
  <c r="G154" i="1"/>
  <c r="B233" i="1" l="1"/>
  <c r="B234" i="1" s="1"/>
  <c r="G232" i="1"/>
  <c r="B157" i="1"/>
  <c r="G156" i="1"/>
  <c r="G155" i="1"/>
  <c r="G233" i="1" l="1"/>
  <c r="B235" i="1"/>
  <c r="G234" i="1"/>
  <c r="B158" i="1"/>
  <c r="G157" i="1"/>
  <c r="B5" i="1"/>
  <c r="B236" i="1" l="1"/>
  <c r="G235" i="1"/>
  <c r="G158" i="1"/>
  <c r="B159" i="1"/>
  <c r="B6" i="1"/>
  <c r="B7" i="1" l="1"/>
  <c r="G236" i="1"/>
  <c r="B237" i="1"/>
  <c r="B160" i="1"/>
  <c r="G159" i="1"/>
  <c r="B238" i="1" l="1"/>
  <c r="G237" i="1"/>
  <c r="B8" i="1"/>
  <c r="B161" i="1"/>
  <c r="G160" i="1"/>
  <c r="G5" i="1"/>
  <c r="G4" i="1"/>
  <c r="K3" i="6"/>
  <c r="G6" i="1"/>
  <c r="G7" i="1"/>
  <c r="G8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l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B9" i="1"/>
  <c r="B239" i="1"/>
  <c r="G238" i="1"/>
  <c r="G161" i="1"/>
  <c r="B162" i="1"/>
  <c r="G239" i="1" l="1"/>
  <c r="B240" i="1"/>
  <c r="B10" i="1"/>
  <c r="G9" i="1"/>
  <c r="B163" i="1"/>
  <c r="G162" i="1"/>
  <c r="B11" i="1" l="1"/>
  <c r="G10" i="1"/>
  <c r="G240" i="1"/>
  <c r="B241" i="1"/>
  <c r="G163" i="1"/>
  <c r="B164" i="1"/>
  <c r="B242" i="1" l="1"/>
  <c r="G241" i="1"/>
  <c r="G11" i="1"/>
  <c r="B12" i="1"/>
  <c r="B165" i="1"/>
  <c r="G164" i="1"/>
  <c r="G242" i="1" l="1"/>
  <c r="B243" i="1"/>
  <c r="B13" i="1"/>
  <c r="G12" i="1"/>
  <c r="G165" i="1"/>
  <c r="B166" i="1"/>
  <c r="G243" i="1" l="1"/>
  <c r="B244" i="1"/>
  <c r="G13" i="1"/>
  <c r="B14" i="1"/>
  <c r="B167" i="1"/>
  <c r="G166" i="1"/>
  <c r="B15" i="1" l="1"/>
  <c r="G14" i="1"/>
  <c r="B245" i="1"/>
  <c r="G244" i="1"/>
  <c r="B168" i="1"/>
  <c r="G167" i="1"/>
  <c r="G245" i="1" l="1"/>
  <c r="B246" i="1"/>
  <c r="B16" i="1"/>
  <c r="G15" i="1"/>
  <c r="B169" i="1"/>
  <c r="G168" i="1"/>
  <c r="G16" i="1" l="1"/>
  <c r="B17" i="1"/>
  <c r="B247" i="1"/>
  <c r="G246" i="1"/>
  <c r="G169" i="1"/>
  <c r="B170" i="1"/>
  <c r="G247" i="1" l="1"/>
  <c r="B248" i="1"/>
  <c r="B18" i="1"/>
  <c r="G17" i="1"/>
  <c r="B171" i="1"/>
  <c r="G170" i="1"/>
  <c r="B19" i="1" l="1"/>
  <c r="G18" i="1"/>
  <c r="B249" i="1"/>
  <c r="G248" i="1"/>
  <c r="G171" i="1"/>
  <c r="B172" i="1"/>
  <c r="B250" i="1" l="1"/>
  <c r="G249" i="1"/>
  <c r="B20" i="1"/>
  <c r="G19" i="1"/>
  <c r="B173" i="1"/>
  <c r="G172" i="1"/>
  <c r="B21" i="1" l="1"/>
  <c r="G20" i="1"/>
  <c r="B251" i="1"/>
  <c r="G250" i="1"/>
  <c r="G173" i="1"/>
  <c r="B174" i="1"/>
  <c r="B252" i="1" l="1"/>
  <c r="G251" i="1"/>
  <c r="G21" i="1"/>
  <c r="B22" i="1"/>
  <c r="B175" i="1"/>
  <c r="G174" i="1"/>
  <c r="G22" i="1" l="1"/>
  <c r="B23" i="1"/>
  <c r="B253" i="1"/>
  <c r="G252" i="1"/>
  <c r="G175" i="1"/>
  <c r="B176" i="1"/>
  <c r="B254" i="1" l="1"/>
  <c r="G253" i="1"/>
  <c r="B24" i="1"/>
  <c r="G23" i="1"/>
  <c r="B177" i="1"/>
  <c r="G176" i="1"/>
  <c r="B255" i="1" l="1"/>
  <c r="G254" i="1"/>
  <c r="B25" i="1"/>
  <c r="G24" i="1"/>
  <c r="G177" i="1"/>
  <c r="B178" i="1"/>
  <c r="B26" i="1" l="1"/>
  <c r="G25" i="1"/>
  <c r="G255" i="1"/>
  <c r="B256" i="1"/>
  <c r="B179" i="1"/>
  <c r="G178" i="1"/>
  <c r="B257" i="1" l="1"/>
  <c r="G256" i="1"/>
  <c r="B27" i="1"/>
  <c r="G26" i="1"/>
  <c r="B180" i="1"/>
  <c r="G179" i="1"/>
  <c r="B28" i="1" l="1"/>
  <c r="G27" i="1"/>
  <c r="B258" i="1"/>
  <c r="G257" i="1"/>
  <c r="G180" i="1"/>
  <c r="B181" i="1"/>
  <c r="G258" i="1" l="1"/>
  <c r="B259" i="1"/>
  <c r="B29" i="1"/>
  <c r="G28" i="1"/>
  <c r="G181" i="1"/>
  <c r="B182" i="1"/>
  <c r="G29" i="1" l="1"/>
  <c r="B30" i="1"/>
  <c r="G259" i="1"/>
  <c r="B260" i="1"/>
  <c r="B183" i="1"/>
  <c r="G182" i="1"/>
  <c r="B261" i="1" l="1"/>
  <c r="G260" i="1"/>
  <c r="B31" i="1"/>
  <c r="G30" i="1"/>
  <c r="B184" i="1"/>
  <c r="G183" i="1"/>
  <c r="B32" i="1" l="1"/>
  <c r="G31" i="1"/>
  <c r="B262" i="1"/>
  <c r="G261" i="1"/>
  <c r="G184" i="1"/>
  <c r="B185" i="1"/>
  <c r="G262" i="1" l="1"/>
  <c r="B33" i="1"/>
  <c r="G32" i="1"/>
  <c r="G185" i="1"/>
  <c r="B186" i="1"/>
  <c r="B34" i="1" l="1"/>
  <c r="G33" i="1"/>
  <c r="G186" i="1"/>
  <c r="B187" i="1"/>
  <c r="B35" i="1" l="1"/>
  <c r="G34" i="1"/>
  <c r="B188" i="1"/>
  <c r="G187" i="1"/>
  <c r="G35" i="1" l="1"/>
  <c r="B36" i="1"/>
  <c r="G188" i="1"/>
  <c r="B189" i="1"/>
  <c r="B37" i="1" l="1"/>
  <c r="G36" i="1"/>
  <c r="G189" i="1"/>
  <c r="B190" i="1"/>
  <c r="B38" i="1" l="1"/>
  <c r="G37" i="1"/>
  <c r="B191" i="1"/>
  <c r="G190" i="1"/>
  <c r="G38" i="1" l="1"/>
  <c r="B39" i="1"/>
  <c r="B192" i="1"/>
  <c r="G191" i="1"/>
  <c r="G39" i="1" l="1"/>
  <c r="B40" i="1"/>
  <c r="G192" i="1"/>
  <c r="B193" i="1"/>
  <c r="B41" i="1" l="1"/>
  <c r="G40" i="1"/>
  <c r="G193" i="1"/>
  <c r="B194" i="1"/>
  <c r="G41" i="1" l="1"/>
  <c r="B42" i="1"/>
  <c r="B195" i="1"/>
  <c r="G194" i="1"/>
  <c r="B43" i="1" l="1"/>
  <c r="G42" i="1"/>
  <c r="B196" i="1"/>
  <c r="G195" i="1"/>
  <c r="B44" i="1" l="1"/>
  <c r="G43" i="1"/>
  <c r="G196" i="1"/>
  <c r="B197" i="1"/>
  <c r="G44" i="1" l="1"/>
  <c r="B45" i="1"/>
  <c r="B198" i="1"/>
  <c r="G197" i="1"/>
  <c r="B46" i="1" l="1"/>
  <c r="G45" i="1"/>
  <c r="G198" i="1"/>
  <c r="B199" i="1"/>
  <c r="B47" i="1" l="1"/>
  <c r="G46" i="1"/>
  <c r="B200" i="1"/>
  <c r="G199" i="1"/>
  <c r="G47" i="1" l="1"/>
  <c r="B48" i="1"/>
  <c r="G200" i="1"/>
  <c r="B201" i="1"/>
  <c r="G48" i="1" l="1"/>
  <c r="B49" i="1"/>
  <c r="G201" i="1"/>
  <c r="B202" i="1"/>
  <c r="B50" i="1" l="1"/>
  <c r="G49" i="1"/>
  <c r="B203" i="1"/>
  <c r="G202" i="1"/>
  <c r="B51" i="1" l="1"/>
  <c r="G50" i="1"/>
  <c r="B204" i="1"/>
  <c r="G203" i="1"/>
  <c r="G51" i="1" l="1"/>
  <c r="B52" i="1"/>
  <c r="G204" i="1"/>
  <c r="B205" i="1"/>
  <c r="B53" i="1" l="1"/>
  <c r="G52" i="1"/>
  <c r="G205" i="1"/>
  <c r="B206" i="1"/>
  <c r="B54" i="1" l="1"/>
  <c r="G53" i="1"/>
  <c r="B207" i="1"/>
  <c r="G206" i="1"/>
  <c r="B55" i="1" l="1"/>
  <c r="G54" i="1"/>
  <c r="G207" i="1"/>
  <c r="B208" i="1"/>
  <c r="B56" i="1" l="1"/>
  <c r="G55" i="1"/>
  <c r="G208" i="1"/>
  <c r="B209" i="1"/>
  <c r="B57" i="1" l="1"/>
  <c r="G56" i="1"/>
  <c r="G209" i="1"/>
  <c r="B210" i="1"/>
  <c r="B58" i="1" l="1"/>
  <c r="G57" i="1"/>
  <c r="G210" i="1"/>
  <c r="B211" i="1"/>
  <c r="G58" i="1" l="1"/>
  <c r="B59" i="1"/>
  <c r="B212" i="1"/>
  <c r="G211" i="1"/>
  <c r="G59" i="1" l="1"/>
  <c r="B60" i="1"/>
  <c r="G212" i="1"/>
  <c r="B213" i="1"/>
  <c r="G60" i="1" l="1"/>
  <c r="B61" i="1"/>
  <c r="G213" i="1"/>
  <c r="B214" i="1"/>
  <c r="B62" i="1" l="1"/>
  <c r="G61" i="1"/>
  <c r="B215" i="1"/>
  <c r="G214" i="1"/>
  <c r="G62" i="1" l="1"/>
  <c r="B63" i="1"/>
  <c r="G215" i="1"/>
  <c r="B216" i="1"/>
  <c r="B64" i="1" l="1"/>
  <c r="G63" i="1"/>
  <c r="G216" i="1"/>
  <c r="B217" i="1"/>
  <c r="G64" i="1" l="1"/>
  <c r="B65" i="1"/>
  <c r="B218" i="1"/>
  <c r="G217" i="1"/>
  <c r="G65" i="1" l="1"/>
  <c r="B66" i="1"/>
  <c r="B219" i="1"/>
  <c r="G218" i="1"/>
  <c r="B67" i="1" l="1"/>
  <c r="G66" i="1"/>
  <c r="B220" i="1"/>
  <c r="G219" i="1"/>
  <c r="G67" i="1" l="1"/>
  <c r="B68" i="1"/>
  <c r="G220" i="1"/>
  <c r="B221" i="1"/>
  <c r="B69" i="1" l="1"/>
  <c r="G68" i="1"/>
  <c r="G221" i="1"/>
  <c r="B222" i="1"/>
  <c r="G69" i="1" l="1"/>
  <c r="B70" i="1"/>
  <c r="B223" i="1"/>
  <c r="G222" i="1"/>
  <c r="G70" i="1" l="1"/>
  <c r="B71" i="1"/>
  <c r="B224" i="1"/>
  <c r="G223" i="1"/>
  <c r="G71" i="1" l="1"/>
  <c r="B72" i="1"/>
  <c r="G224" i="1"/>
  <c r="B225" i="1"/>
  <c r="G72" i="1" l="1"/>
  <c r="B73" i="1"/>
  <c r="B226" i="1"/>
  <c r="G225" i="1"/>
  <c r="G73" i="1" l="1"/>
  <c r="B74" i="1"/>
  <c r="B227" i="1"/>
  <c r="G226" i="1"/>
  <c r="B75" i="1" l="1"/>
  <c r="G74" i="1"/>
  <c r="B228" i="1"/>
  <c r="G227" i="1"/>
  <c r="B76" i="1" l="1"/>
  <c r="G75" i="1"/>
  <c r="G228" i="1"/>
  <c r="B229" i="1"/>
  <c r="G229" i="1" l="1"/>
  <c r="B77" i="1"/>
  <c r="G76" i="1"/>
  <c r="B78" i="1" l="1"/>
  <c r="G77" i="1"/>
  <c r="G78" i="1" l="1"/>
  <c r="B79" i="1"/>
  <c r="B80" i="1" l="1"/>
  <c r="G79" i="1"/>
  <c r="G80" i="1" l="1"/>
  <c r="B81" i="1"/>
  <c r="B82" i="1" l="1"/>
  <c r="G81" i="1"/>
  <c r="G82" i="1" l="1"/>
  <c r="B83" i="1"/>
  <c r="B84" i="1" l="1"/>
  <c r="G83" i="1"/>
  <c r="B85" i="1" l="1"/>
  <c r="G84" i="1"/>
  <c r="B86" i="1" l="1"/>
  <c r="G85" i="1"/>
  <c r="B87" i="1" l="1"/>
  <c r="G86" i="1"/>
  <c r="B88" i="1" l="1"/>
  <c r="G87" i="1"/>
  <c r="G88" i="1" l="1"/>
  <c r="B89" i="1"/>
  <c r="B90" i="1" l="1"/>
  <c r="G89" i="1"/>
  <c r="G90" i="1" l="1"/>
  <c r="B91" i="1"/>
  <c r="G91" i="1" l="1"/>
  <c r="B92" i="1"/>
  <c r="B93" i="1" l="1"/>
  <c r="G92" i="1"/>
  <c r="G93" i="1" l="1"/>
  <c r="B94" i="1"/>
  <c r="G94" i="1" l="1"/>
  <c r="B95" i="1"/>
  <c r="G95" i="1" l="1"/>
  <c r="B96" i="1"/>
  <c r="B97" i="1" l="1"/>
  <c r="G96" i="1"/>
  <c r="B98" i="1" l="1"/>
  <c r="G97" i="1"/>
  <c r="G98" i="1" l="1"/>
  <c r="B99" i="1"/>
  <c r="B100" i="1" l="1"/>
  <c r="G99" i="1"/>
  <c r="B101" i="1" l="1"/>
  <c r="G100" i="1"/>
  <c r="B102" i="1" l="1"/>
  <c r="G101" i="1"/>
  <c r="G102" i="1" l="1"/>
  <c r="B103" i="1"/>
  <c r="B104" i="1" l="1"/>
  <c r="G103" i="1"/>
  <c r="B105" i="1" l="1"/>
  <c r="G104" i="1"/>
  <c r="G105" i="1" l="1"/>
  <c r="B106" i="1"/>
  <c r="G106" i="1" l="1"/>
  <c r="B107" i="1"/>
  <c r="B108" i="1" l="1"/>
  <c r="G107" i="1"/>
  <c r="G108" i="1" l="1"/>
  <c r="B109" i="1"/>
  <c r="B110" i="1" l="1"/>
  <c r="G109" i="1"/>
  <c r="G110" i="1" l="1"/>
  <c r="B111" i="1"/>
  <c r="G111" i="1" l="1"/>
  <c r="B112" i="1"/>
  <c r="G112" i="1" l="1"/>
  <c r="B113" i="1"/>
  <c r="B114" i="1" l="1"/>
  <c r="G113" i="1"/>
  <c r="G114" i="1" l="1"/>
  <c r="B115" i="1"/>
  <c r="B116" i="1" l="1"/>
  <c r="G115" i="1"/>
  <c r="B117" i="1" l="1"/>
  <c r="G116" i="1"/>
  <c r="B118" i="1" l="1"/>
  <c r="G117" i="1"/>
  <c r="G118" i="1" l="1"/>
  <c r="B119" i="1"/>
  <c r="B120" i="1" l="1"/>
  <c r="G119" i="1"/>
  <c r="B121" i="1" l="1"/>
  <c r="G120" i="1"/>
  <c r="B122" i="1" l="1"/>
  <c r="G121" i="1"/>
  <c r="G122" i="1" l="1"/>
  <c r="B123" i="1"/>
  <c r="G123" i="1" l="1"/>
  <c r="B124" i="1"/>
  <c r="B125" i="1" l="1"/>
  <c r="G124" i="1"/>
  <c r="B126" i="1" l="1"/>
  <c r="G125" i="1"/>
  <c r="G126" i="1" l="1"/>
  <c r="B127" i="1"/>
  <c r="G127" i="1" l="1"/>
  <c r="B128" i="1"/>
  <c r="G128" i="1" l="1"/>
  <c r="B129" i="1"/>
  <c r="B130" i="1" l="1"/>
  <c r="G129" i="1"/>
  <c r="G130" i="1" l="1"/>
  <c r="B131" i="1"/>
  <c r="B132" i="1" l="1"/>
  <c r="G131" i="1"/>
  <c r="G132" i="1" l="1"/>
  <c r="B133" i="1"/>
  <c r="G133" i="1" l="1"/>
  <c r="B134" i="1"/>
  <c r="G134" i="1" l="1"/>
  <c r="B135" i="1"/>
  <c r="B136" i="1" l="1"/>
  <c r="G135" i="1"/>
  <c r="B137" i="1" l="1"/>
  <c r="G136" i="1"/>
  <c r="B138" i="1" l="1"/>
  <c r="G137" i="1"/>
  <c r="G138" i="1" l="1"/>
  <c r="B139" i="1"/>
  <c r="G139" i="1" l="1"/>
  <c r="B140" i="1"/>
  <c r="B141" i="1" l="1"/>
  <c r="G140" i="1"/>
  <c r="B142" i="1" l="1"/>
  <c r="G141" i="1"/>
  <c r="G142" i="1" l="1"/>
  <c r="B143" i="1"/>
  <c r="G143" i="1" l="1"/>
  <c r="B144" i="1"/>
  <c r="B145" i="1" l="1"/>
  <c r="G144" i="1"/>
  <c r="G145" i="1" l="1"/>
  <c r="B146" i="1"/>
  <c r="G146" i="1" l="1"/>
  <c r="B147" i="1"/>
  <c r="B148" i="1" l="1"/>
  <c r="G147" i="1"/>
  <c r="B149" i="1" l="1"/>
  <c r="G148" i="1"/>
  <c r="G149" i="1" l="1"/>
  <c r="B150" i="1"/>
  <c r="G150" i="1" l="1"/>
  <c r="B151" i="1"/>
  <c r="B152" i="1" l="1"/>
  <c r="G151" i="1"/>
  <c r="G152" i="1" l="1"/>
  <c r="B153" i="1"/>
  <c r="I16" i="6"/>
  <c r="E10" i="8" s="1"/>
  <c r="G18" i="6"/>
  <c r="E14" i="6"/>
  <c r="H9" i="6"/>
  <c r="A29" i="8" s="1"/>
  <c r="F13" i="6"/>
  <c r="A49" i="8" s="1"/>
  <c r="H26" i="6"/>
  <c r="I10" i="6"/>
  <c r="B34" i="8" s="1"/>
  <c r="G7" i="6"/>
  <c r="H5" i="6"/>
  <c r="E25" i="6"/>
  <c r="G23" i="6"/>
  <c r="E8" i="6"/>
  <c r="I15" i="6"/>
  <c r="E4" i="8" s="1"/>
  <c r="H11" i="6"/>
  <c r="A41" i="8" s="1"/>
  <c r="I7" i="6"/>
  <c r="B16" i="8" s="1"/>
  <c r="F5" i="6"/>
  <c r="I22" i="6"/>
  <c r="E46" i="8" s="1"/>
  <c r="I13" i="6"/>
  <c r="B52" i="8" s="1"/>
  <c r="H8" i="6"/>
  <c r="A23" i="8" s="1"/>
  <c r="H18" i="6"/>
  <c r="D23" i="8" s="1"/>
  <c r="F20" i="6"/>
  <c r="D31" i="8" s="1"/>
  <c r="H16" i="6"/>
  <c r="D11" i="8" s="1"/>
  <c r="G22" i="6"/>
  <c r="I6" i="6"/>
  <c r="B10" i="8" s="1"/>
  <c r="G30" i="6"/>
  <c r="J30" i="6" s="1"/>
  <c r="I26" i="6"/>
  <c r="E24" i="6"/>
  <c r="F10" i="6"/>
  <c r="A31" i="8" s="1"/>
  <c r="I9" i="6"/>
  <c r="B28" i="8" s="1"/>
  <c r="F27" i="6"/>
  <c r="G27" i="6"/>
  <c r="J27" i="6" s="1"/>
  <c r="F22" i="6"/>
  <c r="D43" i="8" s="1"/>
  <c r="I12" i="6"/>
  <c r="B46" i="8" s="1"/>
  <c r="G29" i="6"/>
  <c r="J29" i="6" s="1"/>
  <c r="F25" i="6"/>
  <c r="F30" i="6"/>
  <c r="I21" i="6"/>
  <c r="E40" i="8" s="1"/>
  <c r="H30" i="6"/>
  <c r="E15" i="6"/>
  <c r="H15" i="6"/>
  <c r="D5" i="8" s="1"/>
  <c r="I14" i="6"/>
  <c r="B58" i="8" s="1"/>
  <c r="H17" i="6"/>
  <c r="D17" i="8" s="1"/>
  <c r="H14" i="6"/>
  <c r="A59" i="8" s="1"/>
  <c r="G15" i="6"/>
  <c r="F19" i="6"/>
  <c r="D25" i="8" s="1"/>
  <c r="G14" i="6"/>
  <c r="I30" i="6"/>
  <c r="G11" i="6"/>
  <c r="H10" i="6"/>
  <c r="A35" i="8" s="1"/>
  <c r="G5" i="6"/>
  <c r="G6" i="6"/>
  <c r="G25" i="6"/>
  <c r="J25" i="6" s="1"/>
  <c r="E28" i="6"/>
  <c r="F15" i="6"/>
  <c r="D1" i="8" s="1"/>
  <c r="F6" i="6"/>
  <c r="E9" i="6"/>
  <c r="F16" i="6"/>
  <c r="D7" i="8" s="1"/>
  <c r="E12" i="6"/>
  <c r="F11" i="6"/>
  <c r="A37" i="8" s="1"/>
  <c r="E18" i="6"/>
  <c r="G28" i="6"/>
  <c r="J28" i="6" s="1"/>
  <c r="H21" i="6"/>
  <c r="D41" i="8" s="1"/>
  <c r="F23" i="6"/>
  <c r="D49" i="8" s="1"/>
  <c r="I19" i="6"/>
  <c r="E28" i="8" s="1"/>
  <c r="F17" i="6"/>
  <c r="D13" i="8" s="1"/>
  <c r="H23" i="6"/>
  <c r="D53" i="8" s="1"/>
  <c r="G10" i="6"/>
  <c r="G9" i="6"/>
  <c r="F7" i="6"/>
  <c r="E17" i="6"/>
  <c r="E27" i="6"/>
  <c r="G19" i="6"/>
  <c r="E29" i="6"/>
  <c r="E20" i="6"/>
  <c r="H22" i="6"/>
  <c r="D47" i="8" s="1"/>
  <c r="G21" i="6"/>
  <c r="E11" i="6"/>
  <c r="F18" i="6"/>
  <c r="D19" i="8" s="1"/>
  <c r="E10" i="6"/>
  <c r="H12" i="6"/>
  <c r="A47" i="8" s="1"/>
  <c r="E23" i="6"/>
  <c r="I20" i="6"/>
  <c r="E34" i="8" s="1"/>
  <c r="E21" i="6"/>
  <c r="I27" i="6"/>
  <c r="G12" i="6"/>
  <c r="E5" i="6"/>
  <c r="F12" i="6"/>
  <c r="A43" i="8" s="1"/>
  <c r="H27" i="6"/>
  <c r="E19" i="6"/>
  <c r="H28" i="6"/>
  <c r="H6" i="6"/>
  <c r="A11" i="8" s="1"/>
  <c r="I28" i="6"/>
  <c r="E26" i="6"/>
  <c r="I25" i="6"/>
  <c r="F21" i="6"/>
  <c r="D37" i="8" s="1"/>
  <c r="G16" i="6"/>
  <c r="I29" i="6"/>
  <c r="I11" i="6"/>
  <c r="B40" i="8" s="1"/>
  <c r="H7" i="6"/>
  <c r="A17" i="8" s="1"/>
  <c r="E22" i="6"/>
  <c r="G20" i="6"/>
  <c r="H13" i="6"/>
  <c r="A53" i="8" s="1"/>
  <c r="G13" i="6"/>
  <c r="F8" i="6"/>
  <c r="F9" i="6"/>
  <c r="E16" i="6"/>
  <c r="F24" i="6"/>
  <c r="D55" i="8" s="1"/>
  <c r="E6" i="6"/>
  <c r="G17" i="6"/>
  <c r="I24" i="6"/>
  <c r="E58" i="8" s="1"/>
  <c r="I5" i="6"/>
  <c r="G8" i="6"/>
  <c r="H25" i="6"/>
  <c r="E30" i="6"/>
  <c r="I23" i="6"/>
  <c r="E52" i="8" s="1"/>
  <c r="H19" i="6"/>
  <c r="D29" i="8" s="1"/>
  <c r="H24" i="6"/>
  <c r="D59" i="8" s="1"/>
  <c r="E7" i="6"/>
  <c r="I17" i="6"/>
  <c r="E16" i="8" s="1"/>
  <c r="G24" i="6"/>
  <c r="F28" i="6"/>
  <c r="H20" i="6"/>
  <c r="D35" i="8" s="1"/>
  <c r="I18" i="6"/>
  <c r="E22" i="8" s="1"/>
  <c r="F29" i="6"/>
  <c r="F14" i="6"/>
  <c r="A55" i="8" s="1"/>
  <c r="I8" i="6"/>
  <c r="B22" i="8" s="1"/>
  <c r="H29" i="6"/>
  <c r="G26" i="6"/>
  <c r="J26" i="6" s="1"/>
  <c r="F26" i="6"/>
  <c r="E13" i="6"/>
  <c r="A51" i="8" l="1"/>
  <c r="A50" i="8"/>
  <c r="A15" i="8"/>
  <c r="C39" i="7"/>
  <c r="A37" i="5"/>
  <c r="A44" i="5"/>
  <c r="E40" i="5"/>
  <c r="D37" i="5"/>
  <c r="E37" i="5"/>
  <c r="D45" i="5"/>
  <c r="E44" i="5"/>
  <c r="D41" i="5"/>
  <c r="C15" i="7"/>
  <c r="C38" i="7"/>
  <c r="C2" i="7"/>
  <c r="C23" i="7"/>
  <c r="C36" i="5"/>
  <c r="C22" i="7"/>
  <c r="C6" i="7"/>
  <c r="B40" i="5"/>
  <c r="B36" i="5"/>
  <c r="C7" i="7"/>
  <c r="C18" i="7"/>
  <c r="C10" i="7"/>
  <c r="C42" i="7"/>
  <c r="A45" i="5"/>
  <c r="A41" i="5"/>
  <c r="C43" i="7"/>
  <c r="B45" i="5"/>
  <c r="A36" i="5"/>
  <c r="C34" i="7"/>
  <c r="B41" i="5"/>
  <c r="D36" i="5"/>
  <c r="A14" i="8"/>
  <c r="C37" i="5"/>
  <c r="A40" i="5"/>
  <c r="C3" i="7"/>
  <c r="C31" i="7"/>
  <c r="D44" i="5"/>
  <c r="D40" i="5"/>
  <c r="C35" i="7"/>
  <c r="E45" i="5"/>
  <c r="C26" i="7"/>
  <c r="C45" i="5"/>
  <c r="C41" i="5"/>
  <c r="E36" i="5"/>
  <c r="C44" i="5"/>
  <c r="B37" i="5"/>
  <c r="C30" i="7"/>
  <c r="E41" i="5"/>
  <c r="B44" i="5"/>
  <c r="C14" i="7"/>
  <c r="C19" i="7"/>
  <c r="C40" i="5"/>
  <c r="C27" i="7"/>
  <c r="C11" i="7"/>
  <c r="D8" i="8"/>
  <c r="D9" i="8"/>
  <c r="E15" i="5"/>
  <c r="A3" i="5"/>
  <c r="D35" i="2"/>
  <c r="C43" i="2"/>
  <c r="A15" i="5"/>
  <c r="C32" i="2"/>
  <c r="C2" i="2"/>
  <c r="C11" i="5"/>
  <c r="D6" i="5"/>
  <c r="B11" i="5"/>
  <c r="D31" i="2"/>
  <c r="B7" i="5"/>
  <c r="A31" i="7"/>
  <c r="D7" i="5"/>
  <c r="A30" i="7"/>
  <c r="F43" i="2"/>
  <c r="F40" i="2"/>
  <c r="D2" i="2"/>
  <c r="E7" i="5"/>
  <c r="F16" i="2"/>
  <c r="C23" i="2"/>
  <c r="C27" i="2"/>
  <c r="A12" i="2"/>
  <c r="F44" i="2"/>
  <c r="A26" i="7"/>
  <c r="F27" i="2"/>
  <c r="A10" i="7"/>
  <c r="E19" i="2"/>
  <c r="D12" i="2"/>
  <c r="E32" i="2"/>
  <c r="A20" i="2"/>
  <c r="A18" i="7"/>
  <c r="A19" i="7"/>
  <c r="A3" i="8"/>
  <c r="B10" i="5"/>
  <c r="E28" i="2"/>
  <c r="A3" i="7"/>
  <c r="A10" i="5"/>
  <c r="C7" i="2"/>
  <c r="C28" i="2"/>
  <c r="C24" i="2"/>
  <c r="A23" i="7"/>
  <c r="D32" i="2"/>
  <c r="D11" i="5"/>
  <c r="E23" i="2"/>
  <c r="A32" i="2"/>
  <c r="F20" i="2"/>
  <c r="A42" i="7"/>
  <c r="E44" i="2"/>
  <c r="A36" i="2"/>
  <c r="D19" i="2"/>
  <c r="D24" i="2"/>
  <c r="A35" i="2"/>
  <c r="C6" i="5"/>
  <c r="A6" i="5"/>
  <c r="C3" i="5"/>
  <c r="D39" i="2"/>
  <c r="A7" i="7"/>
  <c r="E27" i="2"/>
  <c r="C20" i="2"/>
  <c r="A6" i="7"/>
  <c r="B2" i="5"/>
  <c r="E40" i="2"/>
  <c r="A14" i="7"/>
  <c r="B3" i="5"/>
  <c r="E11" i="5"/>
  <c r="F35" i="2"/>
  <c r="E7" i="2"/>
  <c r="A43" i="7"/>
  <c r="A11" i="7"/>
  <c r="A39" i="2"/>
  <c r="F19" i="2"/>
  <c r="F12" i="2"/>
  <c r="E12" i="2"/>
  <c r="F15" i="2"/>
  <c r="A31" i="2"/>
  <c r="D11" i="2"/>
  <c r="F36" i="2"/>
  <c r="C2" i="5"/>
  <c r="F3" i="2"/>
  <c r="F39" i="2"/>
  <c r="D10" i="5"/>
  <c r="C16" i="2"/>
  <c r="C8" i="2"/>
  <c r="D3" i="2"/>
  <c r="B14" i="5"/>
  <c r="E8" i="2"/>
  <c r="A43" i="2"/>
  <c r="C10" i="5"/>
  <c r="C15" i="5"/>
  <c r="A39" i="7"/>
  <c r="E3" i="2"/>
  <c r="D40" i="2"/>
  <c r="E2" i="5"/>
  <c r="E14" i="5"/>
  <c r="C14" i="5"/>
  <c r="F32" i="2"/>
  <c r="C12" i="2"/>
  <c r="E43" i="2"/>
  <c r="C3" i="2"/>
  <c r="C15" i="2"/>
  <c r="E36" i="2"/>
  <c r="A44" i="2"/>
  <c r="F7" i="2"/>
  <c r="E15" i="2"/>
  <c r="A24" i="2"/>
  <c r="A11" i="2"/>
  <c r="A7" i="2"/>
  <c r="E16" i="2"/>
  <c r="F11" i="2"/>
  <c r="A2" i="5"/>
  <c r="D16" i="2"/>
  <c r="F28" i="2"/>
  <c r="C7" i="5"/>
  <c r="A22" i="7"/>
  <c r="B6" i="5"/>
  <c r="D28" i="2"/>
  <c r="C39" i="2"/>
  <c r="B15" i="5"/>
  <c r="F2" i="2"/>
  <c r="A15" i="7"/>
  <c r="E24" i="2"/>
  <c r="F24" i="2"/>
  <c r="C40" i="2"/>
  <c r="A16" i="2"/>
  <c r="D15" i="5"/>
  <c r="D2" i="5"/>
  <c r="A15" i="2"/>
  <c r="A23" i="2"/>
  <c r="A40" i="2"/>
  <c r="A19" i="2"/>
  <c r="C19" i="2"/>
  <c r="C44" i="2"/>
  <c r="A2" i="2"/>
  <c r="F8" i="2"/>
  <c r="D3" i="5"/>
  <c r="A14" i="5"/>
  <c r="A7" i="5"/>
  <c r="A2" i="8"/>
  <c r="E2" i="2"/>
  <c r="E35" i="2"/>
  <c r="A2" i="7"/>
  <c r="D20" i="2"/>
  <c r="E31" i="2"/>
  <c r="A27" i="2"/>
  <c r="A27" i="7"/>
  <c r="D23" i="2"/>
  <c r="C35" i="2"/>
  <c r="A28" i="2"/>
  <c r="E10" i="5"/>
  <c r="E6" i="5"/>
  <c r="D7" i="2"/>
  <c r="C11" i="2"/>
  <c r="A35" i="7"/>
  <c r="D27" i="2"/>
  <c r="A11" i="5"/>
  <c r="D14" i="5"/>
  <c r="E20" i="2"/>
  <c r="D36" i="2"/>
  <c r="E3" i="5"/>
  <c r="D44" i="2"/>
  <c r="D15" i="2"/>
  <c r="A8" i="2"/>
  <c r="D8" i="2"/>
  <c r="E11" i="2"/>
  <c r="F31" i="2"/>
  <c r="C36" i="2"/>
  <c r="E39" i="2"/>
  <c r="F23" i="2"/>
  <c r="A38" i="7"/>
  <c r="C31" i="2"/>
  <c r="D43" i="2"/>
  <c r="A3" i="2"/>
  <c r="A34" i="7"/>
  <c r="D32" i="8"/>
  <c r="D33" i="8"/>
  <c r="D15" i="8"/>
  <c r="D14" i="8"/>
  <c r="A44" i="8"/>
  <c r="A45" i="8"/>
  <c r="A4" i="5"/>
  <c r="D37" i="2"/>
  <c r="E45" i="2"/>
  <c r="E5" i="2"/>
  <c r="A40" i="7"/>
  <c r="D41" i="2"/>
  <c r="E25" i="2"/>
  <c r="C21" i="2"/>
  <c r="A32" i="7"/>
  <c r="A45" i="2"/>
  <c r="D8" i="5"/>
  <c r="A41" i="2"/>
  <c r="E9" i="2"/>
  <c r="A12" i="5"/>
  <c r="D17" i="2"/>
  <c r="A44" i="7"/>
  <c r="D9" i="2"/>
  <c r="C9" i="2"/>
  <c r="C33" i="2"/>
  <c r="C12" i="5"/>
  <c r="B8" i="5"/>
  <c r="F45" i="2"/>
  <c r="D29" i="2"/>
  <c r="C4" i="5"/>
  <c r="C17" i="2"/>
  <c r="F13" i="2"/>
  <c r="A29" i="2"/>
  <c r="A4" i="8"/>
  <c r="B16" i="5"/>
  <c r="A8" i="5"/>
  <c r="A16" i="7"/>
  <c r="D25" i="2"/>
  <c r="C41" i="2"/>
  <c r="A21" i="2"/>
  <c r="B4" i="5"/>
  <c r="E29" i="2"/>
  <c r="E13" i="2"/>
  <c r="J5" i="6"/>
  <c r="F21" i="2"/>
  <c r="D45" i="2"/>
  <c r="F29" i="2"/>
  <c r="D21" i="2"/>
  <c r="D5" i="2"/>
  <c r="A28" i="7"/>
  <c r="A12" i="7"/>
  <c r="A36" i="7"/>
  <c r="D33" i="2"/>
  <c r="A17" i="2"/>
  <c r="C37" i="2"/>
  <c r="F41" i="2"/>
  <c r="E33" i="2"/>
  <c r="C16" i="5"/>
  <c r="F9" i="2"/>
  <c r="A8" i="7"/>
  <c r="E17" i="2"/>
  <c r="A4" i="2"/>
  <c r="F25" i="2"/>
  <c r="E8" i="5"/>
  <c r="F37" i="2"/>
  <c r="B12" i="5"/>
  <c r="D4" i="5"/>
  <c r="C13" i="2"/>
  <c r="A16" i="5"/>
  <c r="E21" i="2"/>
  <c r="A4" i="7"/>
  <c r="A33" i="2"/>
  <c r="E41" i="2"/>
  <c r="A13" i="2"/>
  <c r="A20" i="7"/>
  <c r="A37" i="2"/>
  <c r="C8" i="5"/>
  <c r="E16" i="5"/>
  <c r="A9" i="2"/>
  <c r="F5" i="2"/>
  <c r="D13" i="2"/>
  <c r="F17" i="2"/>
  <c r="D16" i="5"/>
  <c r="E4" i="5"/>
  <c r="C25" i="2"/>
  <c r="E12" i="5"/>
  <c r="A25" i="2"/>
  <c r="C45" i="2"/>
  <c r="E37" i="2"/>
  <c r="A24" i="7"/>
  <c r="C29" i="2"/>
  <c r="F33" i="2"/>
  <c r="C5" i="2"/>
  <c r="D12" i="5"/>
  <c r="J14" i="6"/>
  <c r="B59" i="8" s="1"/>
  <c r="A58" i="8"/>
  <c r="D22" i="8"/>
  <c r="J18" i="6"/>
  <c r="E23" i="8" s="1"/>
  <c r="J17" i="6"/>
  <c r="E17" i="8" s="1"/>
  <c r="D16" i="8"/>
  <c r="E1" i="7"/>
  <c r="E9" i="7"/>
  <c r="E21" i="7"/>
  <c r="E25" i="7"/>
  <c r="E17" i="7"/>
  <c r="E33" i="7"/>
  <c r="E41" i="7"/>
  <c r="A25" i="8"/>
  <c r="E13" i="7"/>
  <c r="E5" i="7"/>
  <c r="E37" i="7"/>
  <c r="E29" i="7"/>
  <c r="D34" i="8"/>
  <c r="J20" i="6"/>
  <c r="E35" i="8" s="1"/>
  <c r="D26" i="8"/>
  <c r="D27" i="8"/>
  <c r="J12" i="6"/>
  <c r="B47" i="8" s="1"/>
  <c r="A46" i="8"/>
  <c r="D51" i="8"/>
  <c r="D50" i="8"/>
  <c r="A38" i="8"/>
  <c r="A39" i="8"/>
  <c r="A13" i="8"/>
  <c r="E39" i="5"/>
  <c r="D43" i="5"/>
  <c r="C5" i="7"/>
  <c r="C9" i="7"/>
  <c r="E35" i="5"/>
  <c r="C29" i="7"/>
  <c r="C21" i="7"/>
  <c r="C35" i="5"/>
  <c r="B39" i="5"/>
  <c r="D35" i="5"/>
  <c r="C17" i="7"/>
  <c r="B43" i="5"/>
  <c r="C33" i="7"/>
  <c r="A35" i="5"/>
  <c r="A43" i="5"/>
  <c r="C39" i="5"/>
  <c r="C13" i="7"/>
  <c r="C1" i="7"/>
  <c r="B35" i="5"/>
  <c r="C41" i="7"/>
  <c r="C25" i="7"/>
  <c r="C37" i="7"/>
  <c r="D39" i="5"/>
  <c r="C43" i="5"/>
  <c r="A39" i="5"/>
  <c r="E43" i="5"/>
  <c r="A5" i="2"/>
  <c r="A5" i="8"/>
  <c r="D58" i="8"/>
  <c r="J24" i="6"/>
  <c r="E59" i="8" s="1"/>
  <c r="D40" i="7"/>
  <c r="D36" i="7"/>
  <c r="D44" i="7"/>
  <c r="D28" i="7"/>
  <c r="D4" i="7"/>
  <c r="D8" i="7"/>
  <c r="D16" i="7"/>
  <c r="D32" i="7"/>
  <c r="D20" i="7"/>
  <c r="J8" i="6"/>
  <c r="B23" i="8" s="1"/>
  <c r="D12" i="7"/>
  <c r="D24" i="7"/>
  <c r="A22" i="8"/>
  <c r="B42" i="7"/>
  <c r="A31" i="5"/>
  <c r="C24" i="5"/>
  <c r="B26" i="7"/>
  <c r="B19" i="7"/>
  <c r="B14" i="7"/>
  <c r="C27" i="5"/>
  <c r="B27" i="5"/>
  <c r="B23" i="5"/>
  <c r="B7" i="7"/>
  <c r="B11" i="7"/>
  <c r="B32" i="5"/>
  <c r="B43" i="7"/>
  <c r="B31" i="7"/>
  <c r="C28" i="5"/>
  <c r="D32" i="5"/>
  <c r="B27" i="7"/>
  <c r="E32" i="5"/>
  <c r="E20" i="5"/>
  <c r="E27" i="5"/>
  <c r="D23" i="5"/>
  <c r="B19" i="5"/>
  <c r="A20" i="5"/>
  <c r="D19" i="5"/>
  <c r="E31" i="5"/>
  <c r="A23" i="5"/>
  <c r="D20" i="5"/>
  <c r="D24" i="5"/>
  <c r="B18" i="7"/>
  <c r="B39" i="7"/>
  <c r="C31" i="5"/>
  <c r="D31" i="5"/>
  <c r="A19" i="5"/>
  <c r="A8" i="8"/>
  <c r="D27" i="5"/>
  <c r="A32" i="5"/>
  <c r="C19" i="5"/>
  <c r="C23" i="5"/>
  <c r="B6" i="7"/>
  <c r="B10" i="7"/>
  <c r="B31" i="5"/>
  <c r="E19" i="5"/>
  <c r="D28" i="5"/>
  <c r="B20" i="5"/>
  <c r="B22" i="7"/>
  <c r="B35" i="7"/>
  <c r="B2" i="7"/>
  <c r="A27" i="5"/>
  <c r="C32" i="5"/>
  <c r="E28" i="5"/>
  <c r="B38" i="7"/>
  <c r="B24" i="5"/>
  <c r="B34" i="7"/>
  <c r="A9" i="8"/>
  <c r="E23" i="5"/>
  <c r="B23" i="7"/>
  <c r="C20" i="5"/>
  <c r="E24" i="5"/>
  <c r="B15" i="7"/>
  <c r="B3" i="7"/>
  <c r="A24" i="5"/>
  <c r="B28" i="5"/>
  <c r="A28" i="5"/>
  <c r="B30" i="7"/>
  <c r="D29" i="7"/>
  <c r="D9" i="7"/>
  <c r="D41" i="7"/>
  <c r="D21" i="7"/>
  <c r="D33" i="7"/>
  <c r="D5" i="7"/>
  <c r="A19" i="8"/>
  <c r="D13" i="7"/>
  <c r="D25" i="7"/>
  <c r="D17" i="7"/>
  <c r="D1" i="7"/>
  <c r="D37" i="7"/>
  <c r="D45" i="8"/>
  <c r="D44" i="8"/>
  <c r="J16" i="6"/>
  <c r="E11" i="8" s="1"/>
  <c r="D10" i="8"/>
  <c r="J21" i="6"/>
  <c r="E41" i="8" s="1"/>
  <c r="D40" i="8"/>
  <c r="J19" i="6"/>
  <c r="D28" i="8"/>
  <c r="E44" i="7"/>
  <c r="E36" i="7"/>
  <c r="E24" i="7"/>
  <c r="E12" i="7"/>
  <c r="E4" i="7"/>
  <c r="E20" i="7"/>
  <c r="A28" i="8"/>
  <c r="E28" i="7"/>
  <c r="E32" i="7"/>
  <c r="E40" i="7"/>
  <c r="J9" i="6"/>
  <c r="E16" i="7"/>
  <c r="E8" i="7"/>
  <c r="D20" i="8"/>
  <c r="D21" i="8"/>
  <c r="E23" i="7"/>
  <c r="E19" i="7"/>
  <c r="E18" i="7"/>
  <c r="E30" i="7"/>
  <c r="A26" i="8"/>
  <c r="E39" i="7"/>
  <c r="E3" i="7"/>
  <c r="E43" i="7"/>
  <c r="E35" i="7"/>
  <c r="E2" i="7"/>
  <c r="E38" i="7"/>
  <c r="E34" i="7"/>
  <c r="E15" i="7"/>
  <c r="E11" i="7"/>
  <c r="E26" i="7"/>
  <c r="A27" i="8"/>
  <c r="E6" i="7"/>
  <c r="E22" i="7"/>
  <c r="E7" i="7"/>
  <c r="E10" i="7"/>
  <c r="E42" i="7"/>
  <c r="E14" i="7"/>
  <c r="E31" i="7"/>
  <c r="E27" i="7"/>
  <c r="A40" i="8"/>
  <c r="J11" i="6"/>
  <c r="B41" i="8" s="1"/>
  <c r="D4" i="8"/>
  <c r="J15" i="6"/>
  <c r="E5" i="8" s="1"/>
  <c r="E30" i="2"/>
  <c r="E6" i="2"/>
  <c r="D9" i="5"/>
  <c r="A5" i="5"/>
  <c r="D6" i="2"/>
  <c r="D42" i="2"/>
  <c r="A5" i="7"/>
  <c r="A18" i="2"/>
  <c r="E22" i="2"/>
  <c r="A30" i="2"/>
  <c r="C9" i="5"/>
  <c r="B1" i="5"/>
  <c r="E38" i="2"/>
  <c r="C13" i="5"/>
  <c r="D18" i="2"/>
  <c r="F26" i="2"/>
  <c r="D30" i="2"/>
  <c r="A17" i="7"/>
  <c r="A38" i="2"/>
  <c r="D1" i="5"/>
  <c r="F1" i="2"/>
  <c r="A1" i="8"/>
  <c r="C18" i="2"/>
  <c r="E9" i="5"/>
  <c r="F42" i="2"/>
  <c r="C30" i="2"/>
  <c r="A26" i="2"/>
  <c r="C26" i="2"/>
  <c r="C34" i="2"/>
  <c r="C38" i="2"/>
  <c r="D26" i="2"/>
  <c r="A21" i="7"/>
  <c r="A22" i="2"/>
  <c r="C1" i="5"/>
  <c r="E1" i="5"/>
  <c r="D1" i="2"/>
  <c r="A14" i="2"/>
  <c r="D5" i="5"/>
  <c r="F10" i="2"/>
  <c r="E42" i="2"/>
  <c r="A6" i="2"/>
  <c r="A34" i="2"/>
  <c r="D10" i="2"/>
  <c r="E13" i="5"/>
  <c r="D13" i="5"/>
  <c r="F18" i="2"/>
  <c r="F34" i="2"/>
  <c r="C6" i="2"/>
  <c r="F22" i="2"/>
  <c r="E10" i="2"/>
  <c r="F14" i="2"/>
  <c r="A25" i="7"/>
  <c r="C5" i="5"/>
  <c r="A1" i="7"/>
  <c r="C42" i="2"/>
  <c r="E14" i="2"/>
  <c r="B13" i="5"/>
  <c r="E1" i="2"/>
  <c r="A9" i="5"/>
  <c r="D22" i="2"/>
  <c r="F6" i="2"/>
  <c r="C10" i="2"/>
  <c r="E26" i="2"/>
  <c r="C1" i="2"/>
  <c r="D14" i="2"/>
  <c r="A37" i="7"/>
  <c r="A1" i="2"/>
  <c r="A10" i="2"/>
  <c r="A9" i="7"/>
  <c r="D34" i="2"/>
  <c r="C22" i="2"/>
  <c r="A33" i="7"/>
  <c r="A13" i="5"/>
  <c r="D38" i="2"/>
  <c r="F38" i="2"/>
  <c r="A1" i="5"/>
  <c r="F30" i="2"/>
  <c r="A13" i="7"/>
  <c r="C14" i="2"/>
  <c r="B5" i="5"/>
  <c r="E18" i="2"/>
  <c r="E34" i="2"/>
  <c r="B9" i="5"/>
  <c r="A42" i="2"/>
  <c r="A41" i="7"/>
  <c r="A29" i="7"/>
  <c r="E5" i="5"/>
  <c r="D26" i="7"/>
  <c r="D7" i="7"/>
  <c r="D11" i="7"/>
  <c r="D18" i="7"/>
  <c r="A21" i="8"/>
  <c r="D3" i="7"/>
  <c r="D39" i="7"/>
  <c r="D22" i="7"/>
  <c r="D23" i="7"/>
  <c r="D14" i="7"/>
  <c r="D31" i="7"/>
  <c r="D34" i="7"/>
  <c r="D27" i="7"/>
  <c r="D43" i="7"/>
  <c r="D10" i="7"/>
  <c r="A20" i="8"/>
  <c r="D15" i="7"/>
  <c r="D19" i="7"/>
  <c r="D38" i="7"/>
  <c r="D30" i="7"/>
  <c r="D2" i="7"/>
  <c r="D42" i="7"/>
  <c r="D6" i="7"/>
  <c r="D35" i="7"/>
  <c r="A42" i="5"/>
  <c r="D42" i="5"/>
  <c r="B42" i="5"/>
  <c r="C42" i="5"/>
  <c r="E42" i="5"/>
  <c r="D46" i="5"/>
  <c r="A38" i="5"/>
  <c r="C16" i="7"/>
  <c r="E46" i="5"/>
  <c r="C20" i="7"/>
  <c r="C40" i="7"/>
  <c r="C8" i="7"/>
  <c r="C24" i="7"/>
  <c r="A46" i="5"/>
  <c r="A16" i="8"/>
  <c r="B38" i="5"/>
  <c r="C36" i="7"/>
  <c r="C12" i="7"/>
  <c r="C46" i="5"/>
  <c r="C4" i="7"/>
  <c r="D38" i="5"/>
  <c r="C44" i="7"/>
  <c r="C38" i="5"/>
  <c r="E38" i="5"/>
  <c r="C28" i="7"/>
  <c r="B46" i="5"/>
  <c r="J7" i="6"/>
  <c r="B17" i="8" s="1"/>
  <c r="C32" i="7"/>
  <c r="G153" i="1"/>
  <c r="F1" i="1"/>
  <c r="B4" i="8"/>
  <c r="B4" i="2"/>
  <c r="A52" i="8"/>
  <c r="J13" i="6"/>
  <c r="B53" i="8" s="1"/>
  <c r="D39" i="8"/>
  <c r="D38" i="8"/>
  <c r="A32" i="8"/>
  <c r="A33" i="8"/>
  <c r="A34" i="8"/>
  <c r="J10" i="6"/>
  <c r="B35" i="8" s="1"/>
  <c r="B17" i="7"/>
  <c r="B5" i="7"/>
  <c r="B25" i="7"/>
  <c r="D18" i="5"/>
  <c r="C30" i="5"/>
  <c r="B33" i="7"/>
  <c r="A30" i="5"/>
  <c r="B18" i="5"/>
  <c r="B1" i="7"/>
  <c r="A22" i="5"/>
  <c r="C18" i="5"/>
  <c r="C22" i="5"/>
  <c r="B41" i="7"/>
  <c r="A18" i="5"/>
  <c r="D22" i="5"/>
  <c r="D30" i="5"/>
  <c r="E22" i="5"/>
  <c r="B13" i="7"/>
  <c r="B22" i="5"/>
  <c r="C26" i="5"/>
  <c r="E30" i="5"/>
  <c r="B30" i="5"/>
  <c r="B26" i="5"/>
  <c r="E26" i="5"/>
  <c r="A26" i="5"/>
  <c r="B37" i="7"/>
  <c r="A7" i="8"/>
  <c r="E18" i="5"/>
  <c r="D26" i="5"/>
  <c r="B29" i="7"/>
  <c r="B9" i="7"/>
  <c r="B21" i="7"/>
  <c r="A10" i="8"/>
  <c r="D25" i="5"/>
  <c r="C25" i="5"/>
  <c r="B40" i="7"/>
  <c r="A33" i="5"/>
  <c r="A21" i="5"/>
  <c r="B25" i="5"/>
  <c r="B24" i="7"/>
  <c r="A25" i="5"/>
  <c r="J6" i="6"/>
  <c r="B11" i="8" s="1"/>
  <c r="C21" i="5"/>
  <c r="B4" i="7"/>
  <c r="C29" i="5"/>
  <c r="D29" i="5"/>
  <c r="D21" i="5"/>
  <c r="C33" i="5"/>
  <c r="B36" i="7"/>
  <c r="B16" i="7"/>
  <c r="B32" i="7"/>
  <c r="E29" i="5"/>
  <c r="B28" i="7"/>
  <c r="E33" i="5"/>
  <c r="B20" i="7"/>
  <c r="D33" i="5"/>
  <c r="B21" i="5"/>
  <c r="B8" i="7"/>
  <c r="B33" i="5"/>
  <c r="B29" i="5"/>
  <c r="A29" i="5"/>
  <c r="B12" i="7"/>
  <c r="E25" i="5"/>
  <c r="E21" i="5"/>
  <c r="B44" i="7"/>
  <c r="D3" i="8"/>
  <c r="D2" i="8"/>
  <c r="D56" i="8"/>
  <c r="D57" i="8"/>
  <c r="D46" i="8"/>
  <c r="J22" i="6"/>
  <c r="E47" i="8" s="1"/>
  <c r="J23" i="6"/>
  <c r="E53" i="8" s="1"/>
  <c r="D52" i="8"/>
  <c r="A57" i="8"/>
  <c r="A56" i="8"/>
  <c r="B5" i="2" l="1"/>
  <c r="B5" i="8"/>
  <c r="B29" i="8"/>
  <c r="E29" i="8"/>
</calcChain>
</file>

<file path=xl/comments1.xml><?xml version="1.0" encoding="utf-8"?>
<comments xmlns="http://schemas.openxmlformats.org/spreadsheetml/2006/main">
  <authors>
    <author>www.aplicacionesoffice.com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Ingresa solo 1 codigo para imprimir una página completa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Ingresa 3 codigos para imprimir 3 item en una página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>
      <text>
        <r>
          <rPr>
            <b/>
            <sz val="9"/>
            <color rgb="FF000000"/>
            <rFont val="Tahoma"/>
            <family val="2"/>
          </rPr>
          <t>Ingresa 5 códigos para imprimir 5 item por página</t>
        </r>
      </text>
    </comment>
  </commentList>
</comments>
</file>

<file path=xl/sharedStrings.xml><?xml version="1.0" encoding="utf-8"?>
<sst xmlns="http://schemas.openxmlformats.org/spreadsheetml/2006/main" count="431" uniqueCount="27">
  <si>
    <t>Codigo de barras</t>
  </si>
  <si>
    <t>Nombre producto</t>
  </si>
  <si>
    <t>Codigo de barra **</t>
  </si>
  <si>
    <t>Código de Barras 1</t>
  </si>
  <si>
    <t>Código de Barras 2</t>
  </si>
  <si>
    <t>Código de Barras 3</t>
  </si>
  <si>
    <t>Código de Barras 4</t>
  </si>
  <si>
    <t>Código de Barras 5</t>
  </si>
  <si>
    <t>Nombre de productos</t>
  </si>
  <si>
    <t>Código</t>
  </si>
  <si>
    <t>BASE DE DATOS PRODUCTOS</t>
  </si>
  <si>
    <t xml:space="preserve">Total de productos </t>
  </si>
  <si>
    <t>Caja</t>
  </si>
  <si>
    <r>
      <t>Pelicula</t>
    </r>
    <r>
      <rPr>
        <b/>
        <sz val="16"/>
        <color indexed="8"/>
        <rFont val="Calibri"/>
        <family val="2"/>
      </rPr>
      <t xml:space="preserve"> PVC </t>
    </r>
    <r>
      <rPr>
        <sz val="16"/>
        <color indexed="8"/>
        <rFont val="Calibri"/>
        <family val="2"/>
      </rPr>
      <t>35 mic. CH 611 mm</t>
    </r>
  </si>
  <si>
    <t>Metros</t>
  </si>
  <si>
    <t>Kilos</t>
  </si>
  <si>
    <t>Numero</t>
  </si>
  <si>
    <t>Piezas</t>
  </si>
  <si>
    <t>Tamaño de. Etiqueta</t>
  </si>
  <si>
    <t>Alto</t>
  </si>
  <si>
    <t xml:space="preserve">Cantidad a la Tabla. </t>
  </si>
  <si>
    <t xml:space="preserve">INGRESAR CÓDIGO DE BARRAS  PARA IMPRESIÓN INGRESAR CÓDIGO DE BARRAS  PARA IMPRESIÓN </t>
  </si>
  <si>
    <t>% de desperdicio</t>
  </si>
  <si>
    <r>
      <t xml:space="preserve">Pelicula  </t>
    </r>
    <r>
      <rPr>
        <b/>
        <sz val="16"/>
        <color rgb="FF000000"/>
        <rFont val="Calibri"/>
        <family val="2"/>
      </rPr>
      <t xml:space="preserve">PVC </t>
    </r>
    <r>
      <rPr>
        <sz val="16"/>
        <color indexed="8"/>
        <rFont val="Calibri"/>
        <family val="2"/>
      </rPr>
      <t xml:space="preserve">35 mic. CH </t>
    </r>
    <r>
      <rPr>
        <b/>
        <sz val="16"/>
        <color rgb="FFFF0000"/>
        <rFont val="Calibri"/>
        <family val="2"/>
      </rPr>
      <t xml:space="preserve"> 667 </t>
    </r>
    <r>
      <rPr>
        <sz val="16"/>
        <color indexed="8"/>
        <rFont val="Calibri"/>
        <family val="2"/>
      </rPr>
      <t>mm</t>
    </r>
  </si>
  <si>
    <r>
      <rPr>
        <b/>
        <sz val="16"/>
        <color rgb="FFFF0000"/>
        <rFont val="Calibri"/>
        <family val="2"/>
      </rPr>
      <t>Pet-G</t>
    </r>
    <r>
      <rPr>
        <sz val="16"/>
        <color indexed="8"/>
        <rFont val="Calibri"/>
        <family val="2"/>
      </rPr>
      <t xml:space="preserve">  pelicula  45 mic. CH 667 mm</t>
    </r>
  </si>
  <si>
    <r>
      <rPr>
        <b/>
        <sz val="16"/>
        <color rgb="FFFF0000"/>
        <rFont val="Calibri"/>
        <family val="2"/>
      </rPr>
      <t>Pet-G</t>
    </r>
    <r>
      <rPr>
        <sz val="16"/>
        <color indexed="8"/>
        <rFont val="Calibri"/>
        <family val="2"/>
      </rPr>
      <t xml:space="preserve">  pelicula  40 mic. CH 667 mm</t>
    </r>
  </si>
  <si>
    <t xml:space="preserve">CYAN SELECCIÓN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</si>
</sst>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4"/>
      <color theme="1"/>
      <name val="Bar-Code 39"/>
      <family val="2"/>
      <charset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3 of 9 Barcode"/>
      <charset val="2"/>
    </font>
    <font>
      <sz val="11"/>
      <color theme="1"/>
      <name val="3 of 9 Barcode"/>
      <charset val="2"/>
    </font>
    <font>
      <sz val="16"/>
      <color theme="1"/>
      <name val="Calibri"/>
      <scheme val="minor"/>
    </font>
    <font>
      <b/>
      <sz val="12"/>
      <name val="宋体"/>
      <charset val="134"/>
    </font>
    <font>
      <b/>
      <sz val="9"/>
      <color rgb="FF000000"/>
      <name val="Tahoma"/>
      <family val="2"/>
    </font>
    <font>
      <sz val="16"/>
      <color theme="1"/>
      <name val="3 of 9 Barcode"/>
      <charset val="2"/>
    </font>
    <font>
      <b/>
      <sz val="8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2"/>
      <color indexed="8"/>
      <name val="宋体"/>
      <charset val="134"/>
    </font>
    <font>
      <b/>
      <sz val="12"/>
      <name val="宋体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9" fillId="0" borderId="0"/>
    <xf numFmtId="43" fontId="14" fillId="0" borderId="0" applyFont="0" applyFill="0" applyBorder="0" applyAlignment="0" applyProtection="0"/>
  </cellStyleXfs>
  <cellXfs count="90">
    <xf numFmtId="0" fontId="0" fillId="0" borderId="0" xfId="0"/>
    <xf numFmtId="0" fontId="0" fillId="2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0" xfId="0" applyFont="1"/>
    <xf numFmtId="0" fontId="0" fillId="5" borderId="0" xfId="0" applyFill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11" fillId="0" borderId="0" xfId="0" applyFont="1"/>
    <xf numFmtId="0" fontId="12" fillId="9" borderId="5" xfId="1" applyNumberFormat="1" applyFont="1" applyFill="1" applyBorder="1" applyAlignment="1">
      <alignment wrapText="1"/>
    </xf>
    <xf numFmtId="0" fontId="11" fillId="0" borderId="6" xfId="0" applyFont="1" applyBorder="1"/>
    <xf numFmtId="3" fontId="0" fillId="0" borderId="0" xfId="0" applyNumberFormat="1"/>
    <xf numFmtId="3" fontId="0" fillId="5" borderId="0" xfId="0" applyNumberFormat="1" applyFill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3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3" fontId="4" fillId="4" borderId="0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43" fontId="0" fillId="0" borderId="0" xfId="2" applyFont="1"/>
    <xf numFmtId="0" fontId="0" fillId="11" borderId="0" xfId="0" applyFill="1"/>
    <xf numFmtId="0" fontId="11" fillId="11" borderId="6" xfId="0" applyFont="1" applyFill="1" applyBorder="1"/>
    <xf numFmtId="0" fontId="11" fillId="0" borderId="6" xfId="0" applyFont="1" applyBorder="1" applyProtection="1">
      <protection locked="0"/>
    </xf>
    <xf numFmtId="3" fontId="0" fillId="10" borderId="0" xfId="0" applyNumberFormat="1" applyFont="1" applyFill="1" applyAlignment="1">
      <alignment horizontal="center" vertical="center" wrapText="1"/>
    </xf>
    <xf numFmtId="3" fontId="0" fillId="10" borderId="0" xfId="0" applyNumberFormat="1" applyFill="1" applyProtection="1">
      <protection locked="0"/>
    </xf>
    <xf numFmtId="0" fontId="0" fillId="10" borderId="0" xfId="0" applyFill="1" applyProtection="1">
      <protection locked="0"/>
    </xf>
    <xf numFmtId="0" fontId="21" fillId="0" borderId="11" xfId="0" applyFont="1" applyBorder="1" applyAlignment="1">
      <alignment horizontal="left" vertical="center"/>
    </xf>
    <xf numFmtId="0" fontId="4" fillId="0" borderId="0" xfId="0" applyFont="1"/>
    <xf numFmtId="0" fontId="21" fillId="0" borderId="4" xfId="0" applyFont="1" applyBorder="1" applyAlignment="1">
      <alignment horizontal="left" vertical="center"/>
    </xf>
    <xf numFmtId="3" fontId="18" fillId="0" borderId="11" xfId="0" applyNumberFormat="1" applyFont="1" applyBorder="1" applyAlignment="1">
      <alignment horizontal="center" vertical="center"/>
    </xf>
    <xf numFmtId="0" fontId="12" fillId="9" borderId="14" xfId="1" applyNumberFormat="1" applyFont="1" applyFill="1" applyBorder="1" applyAlignment="1">
      <alignment wrapText="1"/>
    </xf>
    <xf numFmtId="3" fontId="18" fillId="0" borderId="15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" fontId="0" fillId="8" borderId="1" xfId="0" applyNumberFormat="1" applyFill="1" applyBorder="1" applyAlignment="1">
      <alignment horizontal="center" vertical="center"/>
    </xf>
    <xf numFmtId="4" fontId="0" fillId="5" borderId="0" xfId="0" applyNumberFormat="1" applyFill="1" applyAlignment="1">
      <alignment horizontal="left" vertical="center"/>
    </xf>
    <xf numFmtId="4" fontId="18" fillId="0" borderId="11" xfId="0" applyNumberFormat="1" applyFont="1" applyBorder="1" applyAlignment="1">
      <alignment horizontal="center" vertical="center"/>
    </xf>
    <xf numFmtId="4" fontId="18" fillId="0" borderId="11" xfId="0" applyNumberFormat="1" applyFont="1" applyFill="1" applyBorder="1" applyAlignment="1">
      <alignment horizontal="center" vertical="center"/>
    </xf>
    <xf numFmtId="4" fontId="18" fillId="0" borderId="15" xfId="0" applyNumberFormat="1" applyFont="1" applyBorder="1" applyAlignment="1">
      <alignment horizontal="center" vertical="center"/>
    </xf>
    <xf numFmtId="4" fontId="0" fillId="0" borderId="0" xfId="0" applyNumberFormat="1"/>
    <xf numFmtId="0" fontId="24" fillId="0" borderId="11" xfId="0" applyFont="1" applyBorder="1" applyAlignment="1">
      <alignment horizontal="center" vertical="center"/>
    </xf>
    <xf numFmtId="3" fontId="18" fillId="0" borderId="11" xfId="0" applyNumberFormat="1" applyFont="1" applyBorder="1" applyAlignment="1">
      <alignment horizontal="center"/>
    </xf>
    <xf numFmtId="1" fontId="10" fillId="0" borderId="0" xfId="0" applyNumberFormat="1" applyFont="1"/>
    <xf numFmtId="1" fontId="0" fillId="5" borderId="0" xfId="0" applyNumberFormat="1" applyFill="1" applyAlignment="1">
      <alignment horizontal="left" vertical="center"/>
    </xf>
    <xf numFmtId="1" fontId="11" fillId="0" borderId="0" xfId="0" applyNumberFormat="1" applyFont="1"/>
    <xf numFmtId="1" fontId="11" fillId="0" borderId="0" xfId="0" applyNumberFormat="1" applyFont="1" applyBorder="1"/>
    <xf numFmtId="1" fontId="17" fillId="0" borderId="0" xfId="0" applyNumberFormat="1" applyFont="1" applyBorder="1"/>
    <xf numFmtId="1" fontId="0" fillId="0" borderId="0" xfId="0" applyNumberFormat="1"/>
    <xf numFmtId="0" fontId="25" fillId="0" borderId="11" xfId="0" applyFont="1" applyBorder="1" applyAlignment="1">
      <alignment horizontal="center" vertical="center"/>
    </xf>
    <xf numFmtId="0" fontId="12" fillId="9" borderId="16" xfId="1" applyNumberFormat="1" applyFont="1" applyFill="1" applyBorder="1" applyAlignment="1">
      <alignment wrapText="1"/>
    </xf>
    <xf numFmtId="3" fontId="25" fillId="0" borderId="15" xfId="0" applyNumberFormat="1" applyFont="1" applyBorder="1" applyAlignment="1">
      <alignment horizontal="center" vertical="center"/>
    </xf>
    <xf numFmtId="4" fontId="25" fillId="0" borderId="15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" fontId="11" fillId="9" borderId="6" xfId="0" applyNumberFormat="1" applyFont="1" applyFill="1" applyBorder="1" applyProtection="1">
      <protection locked="0"/>
    </xf>
    <xf numFmtId="1" fontId="11" fillId="0" borderId="6" xfId="0" applyNumberFormat="1" applyFont="1" applyBorder="1" applyProtection="1">
      <protection locked="0"/>
    </xf>
    <xf numFmtId="0" fontId="5" fillId="0" borderId="0" xfId="0" applyFont="1"/>
    <xf numFmtId="0" fontId="5" fillId="5" borderId="0" xfId="0" applyFont="1" applyFill="1" applyAlignment="1">
      <alignment horizontal="left" vertical="center"/>
    </xf>
    <xf numFmtId="0" fontId="5" fillId="0" borderId="0" xfId="0" applyNumberFormat="1" applyFont="1"/>
    <xf numFmtId="0" fontId="5" fillId="0" borderId="0" xfId="0" applyNumberFormat="1" applyFont="1" applyBorder="1"/>
    <xf numFmtId="0" fontId="26" fillId="0" borderId="0" xfId="0" applyFont="1"/>
    <xf numFmtId="0" fontId="27" fillId="4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_Base de datos" xfId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宋体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宋体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宋体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indexed="8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6"/>
        <color indexed="8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</font>
      <numFmt numFmtId="1" formatCode="0"/>
    </dxf>
    <dxf>
      <font>
        <strike val="0"/>
        <outline val="0"/>
        <shadow val="0"/>
        <u val="none"/>
        <vertAlign val="baseline"/>
        <sz val="16"/>
        <name val="Calibri"/>
      </font>
    </dxf>
    <dxf>
      <fill>
        <patternFill patternType="solid">
          <fgColor indexed="64"/>
          <bgColor theme="4" tint="-0.499984740745262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3:G409" totalsRowShown="0" headerRowDxfId="13" dataDxfId="12">
  <autoFilter ref="B3:G409"/>
  <tableColumns count="6">
    <tableColumn id="1" name="Codigo de barras" dataDxfId="11" totalsRowDxfId="10"/>
    <tableColumn id="2" name="Nombre producto" dataDxfId="9" totalsRowDxfId="8" dataCellStyle="Normal_Base de datos"/>
    <tableColumn id="3" name="Metros" dataDxfId="7" totalsRowDxfId="6"/>
    <tableColumn id="5" name="Kilos" dataDxfId="5" totalsRowDxfId="4"/>
    <tableColumn id="6" name="Caja" dataDxfId="3" totalsRowDxfId="2"/>
    <tableColumn id="4" name="Codigo de barra **" dataDxfId="1" totalsRowDxfId="0">
      <calculatedColumnFormula>"*"&amp;Tabla1[[#This Row],[Codigo de barras]]&amp;"*"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K432"/>
  <sheetViews>
    <sheetView tabSelected="1" workbookViewId="0">
      <pane ySplit="3" topLeftCell="A340" activePane="bottomLeft" state="frozen"/>
      <selection pane="bottomLeft" activeCell="H396" sqref="H396"/>
    </sheetView>
  </sheetViews>
  <sheetFormatPr baseColWidth="10" defaultRowHeight="15"/>
  <cols>
    <col min="2" max="2" width="27.85546875" style="63" customWidth="1"/>
    <col min="3" max="3" width="46" customWidth="1"/>
    <col min="4" max="4" width="18.85546875" style="24" customWidth="1"/>
    <col min="5" max="5" width="17.85546875" style="55" customWidth="1"/>
    <col min="6" max="6" width="18" customWidth="1"/>
    <col min="7" max="7" width="28.85546875" style="71" customWidth="1"/>
    <col min="8" max="8" width="10.85546875" customWidth="1"/>
  </cols>
  <sheetData>
    <row r="1" spans="1:7" ht="26.25">
      <c r="B1" s="58" t="s">
        <v>10</v>
      </c>
      <c r="E1" s="50" t="s">
        <v>11</v>
      </c>
      <c r="F1" s="20">
        <f>COUNT(Tabla1[Codigo de barras])</f>
        <v>406</v>
      </c>
    </row>
    <row r="3" spans="1:7">
      <c r="A3" t="s">
        <v>16</v>
      </c>
      <c r="B3" s="59" t="s">
        <v>0</v>
      </c>
      <c r="C3" s="19" t="s">
        <v>1</v>
      </c>
      <c r="D3" s="25" t="s">
        <v>14</v>
      </c>
      <c r="E3" s="51" t="s">
        <v>15</v>
      </c>
      <c r="F3" s="19" t="s">
        <v>12</v>
      </c>
      <c r="G3" s="72" t="s">
        <v>2</v>
      </c>
    </row>
    <row r="4" spans="1:7" s="21" customFormat="1" ht="26.1" customHeight="1">
      <c r="A4" s="21">
        <v>1</v>
      </c>
      <c r="B4" s="60">
        <v>200611001</v>
      </c>
      <c r="C4" s="22" t="s">
        <v>13</v>
      </c>
      <c r="D4" s="45">
        <v>2820</v>
      </c>
      <c r="E4" s="52">
        <v>78</v>
      </c>
      <c r="F4" s="34">
        <v>1</v>
      </c>
      <c r="G4" s="71" t="str">
        <f>"*"&amp;Tabla1[[#This Row],[Codigo de barras]]&amp;"*"</f>
        <v>*200611001*</v>
      </c>
    </row>
    <row r="5" spans="1:7" ht="21">
      <c r="A5">
        <f>+A4+1</f>
        <v>2</v>
      </c>
      <c r="B5" s="60">
        <f>+B4+1</f>
        <v>200611002</v>
      </c>
      <c r="C5" s="22" t="s">
        <v>13</v>
      </c>
      <c r="D5" s="45">
        <v>2870</v>
      </c>
      <c r="E5" s="52">
        <v>78.7</v>
      </c>
      <c r="F5" s="34">
        <v>2</v>
      </c>
      <c r="G5" s="73" t="str">
        <f>"*"&amp;Tabla1[[#This Row],[Codigo de barras]]&amp;"*"</f>
        <v>*200611002*</v>
      </c>
    </row>
    <row r="6" spans="1:7" ht="21">
      <c r="A6">
        <f t="shared" ref="A6:A69" si="0">+A5+1</f>
        <v>3</v>
      </c>
      <c r="B6" s="60">
        <f t="shared" ref="B6:B52" si="1">+B5+1</f>
        <v>200611003</v>
      </c>
      <c r="C6" s="22" t="s">
        <v>13</v>
      </c>
      <c r="D6" s="45">
        <v>2782</v>
      </c>
      <c r="E6" s="52">
        <v>78.8</v>
      </c>
      <c r="F6" s="34">
        <v>3</v>
      </c>
      <c r="G6" s="73" t="str">
        <f>"*"&amp;Tabla1[[#This Row],[Codigo de barras]]&amp;"*"</f>
        <v>*200611003*</v>
      </c>
    </row>
    <row r="7" spans="1:7" ht="21">
      <c r="A7">
        <f t="shared" si="0"/>
        <v>4</v>
      </c>
      <c r="B7" s="60">
        <f t="shared" si="1"/>
        <v>200611004</v>
      </c>
      <c r="C7" s="22" t="s">
        <v>13</v>
      </c>
      <c r="D7" s="45">
        <v>2941</v>
      </c>
      <c r="E7" s="52">
        <v>81.400000000000006</v>
      </c>
      <c r="F7" s="34">
        <v>4</v>
      </c>
      <c r="G7" s="73" t="str">
        <f>"*"&amp;Tabla1[[#This Row],[Codigo de barras]]&amp;"*"</f>
        <v>*200611004*</v>
      </c>
    </row>
    <row r="8" spans="1:7" ht="21">
      <c r="A8">
        <f t="shared" si="0"/>
        <v>5</v>
      </c>
      <c r="B8" s="60">
        <f t="shared" si="1"/>
        <v>200611005</v>
      </c>
      <c r="C8" s="22" t="s">
        <v>13</v>
      </c>
      <c r="D8" s="45">
        <v>2800</v>
      </c>
      <c r="E8" s="52">
        <v>77.2</v>
      </c>
      <c r="F8" s="34">
        <v>5</v>
      </c>
      <c r="G8" s="73" t="str">
        <f>"*"&amp;Tabla1[[#This Row],[Codigo de barras]]&amp;"*"</f>
        <v>*200611005*</v>
      </c>
    </row>
    <row r="9" spans="1:7" ht="21">
      <c r="A9">
        <f t="shared" si="0"/>
        <v>6</v>
      </c>
      <c r="B9" s="60">
        <f t="shared" si="1"/>
        <v>200611006</v>
      </c>
      <c r="C9" s="22" t="s">
        <v>13</v>
      </c>
      <c r="D9" s="45">
        <v>2820</v>
      </c>
      <c r="E9" s="52">
        <v>79.400000000000006</v>
      </c>
      <c r="F9" s="34">
        <v>6</v>
      </c>
      <c r="G9" s="73" t="str">
        <f>"*"&amp;Tabla1[[#This Row],[Codigo de barras]]&amp;"*"</f>
        <v>*200611006*</v>
      </c>
    </row>
    <row r="10" spans="1:7" ht="21">
      <c r="A10">
        <f t="shared" si="0"/>
        <v>7</v>
      </c>
      <c r="B10" s="60">
        <f t="shared" si="1"/>
        <v>200611007</v>
      </c>
      <c r="C10" s="22" t="s">
        <v>13</v>
      </c>
      <c r="D10" s="45">
        <v>2814</v>
      </c>
      <c r="E10" s="52">
        <v>78.5</v>
      </c>
      <c r="F10" s="34">
        <v>7</v>
      </c>
      <c r="G10" s="73" t="str">
        <f>"*"&amp;Tabla1[[#This Row],[Codigo de barras]]&amp;"*"</f>
        <v>*200611007*</v>
      </c>
    </row>
    <row r="11" spans="1:7" ht="21">
      <c r="A11">
        <f t="shared" si="0"/>
        <v>8</v>
      </c>
      <c r="B11" s="60">
        <f t="shared" si="1"/>
        <v>200611008</v>
      </c>
      <c r="C11" s="22" t="s">
        <v>13</v>
      </c>
      <c r="D11" s="45">
        <v>2913</v>
      </c>
      <c r="E11" s="52">
        <v>83.3</v>
      </c>
      <c r="F11" s="34">
        <v>8</v>
      </c>
      <c r="G11" s="73" t="str">
        <f>"*"&amp;Tabla1[[#This Row],[Codigo de barras]]&amp;"*"</f>
        <v>*200611008*</v>
      </c>
    </row>
    <row r="12" spans="1:7" ht="21">
      <c r="A12">
        <f t="shared" si="0"/>
        <v>9</v>
      </c>
      <c r="B12" s="60">
        <f t="shared" si="1"/>
        <v>200611009</v>
      </c>
      <c r="C12" s="22" t="s">
        <v>13</v>
      </c>
      <c r="D12" s="45">
        <v>2832</v>
      </c>
      <c r="E12" s="52">
        <v>79.7</v>
      </c>
      <c r="F12" s="34">
        <v>9</v>
      </c>
      <c r="G12" s="73" t="str">
        <f>"*"&amp;Tabla1[[#This Row],[Codigo de barras]]&amp;"*"</f>
        <v>*200611009*</v>
      </c>
    </row>
    <row r="13" spans="1:7" ht="21">
      <c r="A13">
        <f t="shared" si="0"/>
        <v>10</v>
      </c>
      <c r="B13" s="60">
        <f t="shared" si="1"/>
        <v>200611010</v>
      </c>
      <c r="C13" s="22" t="s">
        <v>13</v>
      </c>
      <c r="D13" s="45">
        <v>2916</v>
      </c>
      <c r="E13" s="52">
        <v>82.7</v>
      </c>
      <c r="F13" s="34">
        <v>10</v>
      </c>
      <c r="G13" s="73" t="str">
        <f>"*"&amp;Tabla1[[#This Row],[Codigo de barras]]&amp;"*"</f>
        <v>*200611010*</v>
      </c>
    </row>
    <row r="14" spans="1:7" ht="21">
      <c r="A14">
        <f t="shared" si="0"/>
        <v>11</v>
      </c>
      <c r="B14" s="60">
        <f t="shared" si="1"/>
        <v>200611011</v>
      </c>
      <c r="C14" s="22" t="s">
        <v>13</v>
      </c>
      <c r="D14" s="45">
        <v>2808</v>
      </c>
      <c r="E14" s="52">
        <v>80.400000000000006</v>
      </c>
      <c r="F14" s="34">
        <v>11</v>
      </c>
      <c r="G14" s="73" t="str">
        <f>"*"&amp;Tabla1[[#This Row],[Codigo de barras]]&amp;"*"</f>
        <v>*200611011*</v>
      </c>
    </row>
    <row r="15" spans="1:7" ht="21">
      <c r="A15">
        <f t="shared" si="0"/>
        <v>12</v>
      </c>
      <c r="B15" s="60">
        <f t="shared" si="1"/>
        <v>200611012</v>
      </c>
      <c r="C15" s="22" t="s">
        <v>13</v>
      </c>
      <c r="D15" s="45">
        <v>2827</v>
      </c>
      <c r="E15" s="52">
        <v>76.5</v>
      </c>
      <c r="F15" s="34">
        <v>12</v>
      </c>
      <c r="G15" s="73" t="str">
        <f>"*"&amp;Tabla1[[#This Row],[Codigo de barras]]&amp;"*"</f>
        <v>*200611012*</v>
      </c>
    </row>
    <row r="16" spans="1:7" ht="21">
      <c r="A16">
        <f t="shared" si="0"/>
        <v>13</v>
      </c>
      <c r="B16" s="60">
        <f t="shared" si="1"/>
        <v>200611013</v>
      </c>
      <c r="C16" s="22" t="s">
        <v>13</v>
      </c>
      <c r="D16" s="45">
        <v>2828</v>
      </c>
      <c r="E16" s="52">
        <v>80.099999999999994</v>
      </c>
      <c r="F16" s="34">
        <v>13</v>
      </c>
      <c r="G16" s="73" t="str">
        <f>"*"&amp;Tabla1[[#This Row],[Codigo de barras]]&amp;"*"</f>
        <v>*200611013*</v>
      </c>
    </row>
    <row r="17" spans="1:7" ht="21">
      <c r="A17">
        <f t="shared" si="0"/>
        <v>14</v>
      </c>
      <c r="B17" s="60">
        <f t="shared" si="1"/>
        <v>200611014</v>
      </c>
      <c r="C17" s="22" t="s">
        <v>13</v>
      </c>
      <c r="D17" s="45">
        <v>2870</v>
      </c>
      <c r="E17" s="52">
        <v>77.7</v>
      </c>
      <c r="F17" s="34">
        <v>14</v>
      </c>
      <c r="G17" s="73" t="str">
        <f>"*"&amp;Tabla1[[#This Row],[Codigo de barras]]&amp;"*"</f>
        <v>*200611014*</v>
      </c>
    </row>
    <row r="18" spans="1:7" ht="21">
      <c r="A18">
        <f t="shared" si="0"/>
        <v>15</v>
      </c>
      <c r="B18" s="60">
        <f t="shared" si="1"/>
        <v>200611015</v>
      </c>
      <c r="C18" s="22" t="s">
        <v>13</v>
      </c>
      <c r="D18" s="45">
        <v>2931</v>
      </c>
      <c r="E18" s="52">
        <v>86.1</v>
      </c>
      <c r="F18" s="34">
        <v>15</v>
      </c>
      <c r="G18" s="73" t="str">
        <f>"*"&amp;Tabla1[[#This Row],[Codigo de barras]]&amp;"*"</f>
        <v>*200611015*</v>
      </c>
    </row>
    <row r="19" spans="1:7" ht="21">
      <c r="A19">
        <f t="shared" si="0"/>
        <v>16</v>
      </c>
      <c r="B19" s="60">
        <f t="shared" si="1"/>
        <v>200611016</v>
      </c>
      <c r="C19" s="22" t="s">
        <v>13</v>
      </c>
      <c r="D19" s="45">
        <v>2931</v>
      </c>
      <c r="E19" s="52">
        <v>85.7</v>
      </c>
      <c r="F19" s="34">
        <v>16</v>
      </c>
      <c r="G19" s="73" t="str">
        <f>"*"&amp;Tabla1[[#This Row],[Codigo de barras]]&amp;"*"</f>
        <v>*200611016*</v>
      </c>
    </row>
    <row r="20" spans="1:7" ht="21">
      <c r="A20">
        <f t="shared" si="0"/>
        <v>17</v>
      </c>
      <c r="B20" s="60">
        <f t="shared" si="1"/>
        <v>200611017</v>
      </c>
      <c r="C20" s="22" t="s">
        <v>13</v>
      </c>
      <c r="D20" s="45">
        <v>2822</v>
      </c>
      <c r="E20" s="52">
        <v>79</v>
      </c>
      <c r="F20" s="34">
        <v>17</v>
      </c>
      <c r="G20" s="73" t="str">
        <f>"*"&amp;Tabla1[[#This Row],[Codigo de barras]]&amp;"*"</f>
        <v>*200611017*</v>
      </c>
    </row>
    <row r="21" spans="1:7" ht="21">
      <c r="A21">
        <f t="shared" si="0"/>
        <v>18</v>
      </c>
      <c r="B21" s="60">
        <f>+B20+1</f>
        <v>200611018</v>
      </c>
      <c r="C21" s="22" t="s">
        <v>13</v>
      </c>
      <c r="D21" s="45">
        <v>2981</v>
      </c>
      <c r="E21" s="52">
        <v>88.2</v>
      </c>
      <c r="F21" s="34">
        <v>18</v>
      </c>
      <c r="G21" s="73" t="str">
        <f>"*"&amp;Tabla1[[#This Row],[Codigo de barras]]&amp;"*"</f>
        <v>*200611018*</v>
      </c>
    </row>
    <row r="22" spans="1:7" ht="21">
      <c r="A22">
        <f t="shared" si="0"/>
        <v>19</v>
      </c>
      <c r="B22" s="60">
        <f t="shared" si="1"/>
        <v>200611019</v>
      </c>
      <c r="C22" s="22" t="s">
        <v>13</v>
      </c>
      <c r="D22" s="45">
        <v>2981</v>
      </c>
      <c r="E22" s="52">
        <v>87.7</v>
      </c>
      <c r="F22" s="34">
        <v>19</v>
      </c>
      <c r="G22" s="73" t="str">
        <f>"*"&amp;Tabla1[[#This Row],[Codigo de barras]]&amp;"*"</f>
        <v>*200611019*</v>
      </c>
    </row>
    <row r="23" spans="1:7" ht="21">
      <c r="A23">
        <f t="shared" si="0"/>
        <v>20</v>
      </c>
      <c r="B23" s="60">
        <f t="shared" si="1"/>
        <v>200611020</v>
      </c>
      <c r="C23" s="22" t="s">
        <v>13</v>
      </c>
      <c r="D23" s="45">
        <v>2947</v>
      </c>
      <c r="E23" s="52">
        <v>80.2</v>
      </c>
      <c r="F23" s="34">
        <v>20</v>
      </c>
      <c r="G23" s="73" t="str">
        <f>"*"&amp;Tabla1[[#This Row],[Codigo de barras]]&amp;"*"</f>
        <v>*200611020*</v>
      </c>
    </row>
    <row r="24" spans="1:7" ht="21">
      <c r="A24">
        <f t="shared" si="0"/>
        <v>21</v>
      </c>
      <c r="B24" s="60">
        <f>+B23+1</f>
        <v>200611021</v>
      </c>
      <c r="C24" s="22" t="s">
        <v>13</v>
      </c>
      <c r="D24" s="45">
        <v>2814</v>
      </c>
      <c r="E24" s="52">
        <v>79.7</v>
      </c>
      <c r="F24" s="34">
        <v>21</v>
      </c>
      <c r="G24" s="73" t="str">
        <f>"*"&amp;Tabla1[[#This Row],[Codigo de barras]]&amp;"*"</f>
        <v>*200611021*</v>
      </c>
    </row>
    <row r="25" spans="1:7" ht="21">
      <c r="A25">
        <f t="shared" si="0"/>
        <v>22</v>
      </c>
      <c r="B25" s="60">
        <f t="shared" si="1"/>
        <v>200611022</v>
      </c>
      <c r="C25" s="22" t="s">
        <v>13</v>
      </c>
      <c r="D25" s="45">
        <v>2804</v>
      </c>
      <c r="E25" s="52">
        <v>79.7</v>
      </c>
      <c r="F25" s="34">
        <v>22</v>
      </c>
      <c r="G25" s="73" t="str">
        <f>"*"&amp;Tabla1[[#This Row],[Codigo de barras]]&amp;"*"</f>
        <v>*200611022*</v>
      </c>
    </row>
    <row r="26" spans="1:7" ht="21">
      <c r="A26">
        <f t="shared" si="0"/>
        <v>23</v>
      </c>
      <c r="B26" s="60">
        <f t="shared" si="1"/>
        <v>200611023</v>
      </c>
      <c r="C26" s="22" t="s">
        <v>13</v>
      </c>
      <c r="D26" s="45">
        <v>2890</v>
      </c>
      <c r="E26" s="52">
        <v>82.6</v>
      </c>
      <c r="F26" s="34">
        <v>23</v>
      </c>
      <c r="G26" s="73" t="str">
        <f>"*"&amp;Tabla1[[#This Row],[Codigo de barras]]&amp;"*"</f>
        <v>*200611023*</v>
      </c>
    </row>
    <row r="27" spans="1:7" ht="21">
      <c r="A27">
        <f t="shared" si="0"/>
        <v>24</v>
      </c>
      <c r="B27" s="60">
        <f t="shared" si="1"/>
        <v>200611024</v>
      </c>
      <c r="C27" s="22" t="s">
        <v>13</v>
      </c>
      <c r="D27" s="45">
        <v>2827</v>
      </c>
      <c r="E27" s="52">
        <v>77.3</v>
      </c>
      <c r="F27" s="34">
        <v>24</v>
      </c>
      <c r="G27" s="73" t="str">
        <f>"*"&amp;Tabla1[[#This Row],[Codigo de barras]]&amp;"*"</f>
        <v>*200611024*</v>
      </c>
    </row>
    <row r="28" spans="1:7" ht="21">
      <c r="A28">
        <f t="shared" si="0"/>
        <v>25</v>
      </c>
      <c r="B28" s="60">
        <f t="shared" si="1"/>
        <v>200611025</v>
      </c>
      <c r="C28" s="22" t="s">
        <v>13</v>
      </c>
      <c r="D28" s="45">
        <v>2805</v>
      </c>
      <c r="E28" s="52">
        <v>76.599999999999994</v>
      </c>
      <c r="F28" s="34">
        <v>25</v>
      </c>
      <c r="G28" s="73" t="str">
        <f>"*"&amp;Tabla1[[#This Row],[Codigo de barras]]&amp;"*"</f>
        <v>*200611025*</v>
      </c>
    </row>
    <row r="29" spans="1:7" ht="21">
      <c r="A29">
        <f t="shared" si="0"/>
        <v>26</v>
      </c>
      <c r="B29" s="60">
        <f t="shared" si="1"/>
        <v>200611026</v>
      </c>
      <c r="C29" s="22" t="s">
        <v>13</v>
      </c>
      <c r="D29" s="45">
        <v>2813</v>
      </c>
      <c r="E29" s="52">
        <v>82.3</v>
      </c>
      <c r="F29" s="34">
        <v>26</v>
      </c>
      <c r="G29" s="73" t="str">
        <f>"*"&amp;Tabla1[[#This Row],[Codigo de barras]]&amp;"*"</f>
        <v>*200611026*</v>
      </c>
    </row>
    <row r="30" spans="1:7" ht="21">
      <c r="A30">
        <f t="shared" si="0"/>
        <v>27</v>
      </c>
      <c r="B30" s="60">
        <f t="shared" si="1"/>
        <v>200611027</v>
      </c>
      <c r="C30" s="22" t="s">
        <v>13</v>
      </c>
      <c r="D30" s="45">
        <v>2805</v>
      </c>
      <c r="E30" s="52">
        <v>77.3</v>
      </c>
      <c r="F30" s="34">
        <v>27</v>
      </c>
      <c r="G30" s="73" t="str">
        <f>"*"&amp;Tabla1[[#This Row],[Codigo de barras]]&amp;"*"</f>
        <v>*200611027*</v>
      </c>
    </row>
    <row r="31" spans="1:7" ht="21">
      <c r="A31">
        <f t="shared" si="0"/>
        <v>28</v>
      </c>
      <c r="B31" s="60">
        <f t="shared" si="1"/>
        <v>200611028</v>
      </c>
      <c r="C31" s="22" t="s">
        <v>13</v>
      </c>
      <c r="D31" s="45">
        <v>2822</v>
      </c>
      <c r="E31" s="52">
        <v>81.400000000000006</v>
      </c>
      <c r="F31" s="34">
        <v>28</v>
      </c>
      <c r="G31" s="73" t="str">
        <f>"*"&amp;Tabla1[[#This Row],[Codigo de barras]]&amp;"*"</f>
        <v>*200611028*</v>
      </c>
    </row>
    <row r="32" spans="1:7" ht="21">
      <c r="A32">
        <f t="shared" si="0"/>
        <v>29</v>
      </c>
      <c r="B32" s="60">
        <f t="shared" si="1"/>
        <v>200611029</v>
      </c>
      <c r="C32" s="22" t="s">
        <v>13</v>
      </c>
      <c r="D32" s="45">
        <v>2822</v>
      </c>
      <c r="E32" s="52">
        <v>81.900000000000006</v>
      </c>
      <c r="F32" s="34">
        <v>29</v>
      </c>
      <c r="G32" s="73" t="str">
        <f>"*"&amp;Tabla1[[#This Row],[Codigo de barras]]&amp;"*"</f>
        <v>*200611029*</v>
      </c>
    </row>
    <row r="33" spans="1:7" ht="21">
      <c r="A33">
        <f t="shared" si="0"/>
        <v>30</v>
      </c>
      <c r="B33" s="60">
        <f t="shared" si="1"/>
        <v>200611030</v>
      </c>
      <c r="C33" s="22" t="s">
        <v>13</v>
      </c>
      <c r="D33" s="45">
        <v>2822</v>
      </c>
      <c r="E33" s="52">
        <v>81.400000000000006</v>
      </c>
      <c r="F33" s="34">
        <v>30</v>
      </c>
      <c r="G33" s="73" t="str">
        <f>"*"&amp;Tabla1[[#This Row],[Codigo de barras]]&amp;"*"</f>
        <v>*200611030*</v>
      </c>
    </row>
    <row r="34" spans="1:7" ht="21">
      <c r="A34">
        <f t="shared" si="0"/>
        <v>31</v>
      </c>
      <c r="B34" s="60">
        <f t="shared" si="1"/>
        <v>200611031</v>
      </c>
      <c r="C34" s="22" t="s">
        <v>13</v>
      </c>
      <c r="D34" s="45">
        <v>2840</v>
      </c>
      <c r="E34" s="52">
        <v>77.599999999999994</v>
      </c>
      <c r="F34" s="34">
        <v>31</v>
      </c>
      <c r="G34" s="73" t="str">
        <f>"*"&amp;Tabla1[[#This Row],[Codigo de barras]]&amp;"*"</f>
        <v>*200611031*</v>
      </c>
    </row>
    <row r="35" spans="1:7" ht="21">
      <c r="A35">
        <f t="shared" si="0"/>
        <v>32</v>
      </c>
      <c r="B35" s="60">
        <f t="shared" si="1"/>
        <v>200611032</v>
      </c>
      <c r="C35" s="22" t="s">
        <v>13</v>
      </c>
      <c r="D35" s="45">
        <v>2926</v>
      </c>
      <c r="E35" s="52">
        <v>82.9</v>
      </c>
      <c r="F35" s="34">
        <v>32</v>
      </c>
      <c r="G35" s="73" t="str">
        <f>"*"&amp;Tabla1[[#This Row],[Codigo de barras]]&amp;"*"</f>
        <v>*200611032*</v>
      </c>
    </row>
    <row r="36" spans="1:7" ht="21">
      <c r="A36">
        <f t="shared" si="0"/>
        <v>33</v>
      </c>
      <c r="B36" s="60">
        <f t="shared" si="1"/>
        <v>200611033</v>
      </c>
      <c r="C36" s="22" t="s">
        <v>13</v>
      </c>
      <c r="D36" s="45">
        <v>2916</v>
      </c>
      <c r="E36" s="52">
        <v>82</v>
      </c>
      <c r="F36" s="34">
        <v>33</v>
      </c>
      <c r="G36" s="73" t="str">
        <f>"*"&amp;Tabla1[[#This Row],[Codigo de barras]]&amp;"*"</f>
        <v>*200611033*</v>
      </c>
    </row>
    <row r="37" spans="1:7" ht="21">
      <c r="A37">
        <f t="shared" si="0"/>
        <v>34</v>
      </c>
      <c r="B37" s="60">
        <f t="shared" si="1"/>
        <v>200611034</v>
      </c>
      <c r="C37" s="22" t="s">
        <v>13</v>
      </c>
      <c r="D37" s="45">
        <v>2926</v>
      </c>
      <c r="E37" s="52">
        <v>82.5</v>
      </c>
      <c r="F37" s="34">
        <v>34</v>
      </c>
      <c r="G37" s="73" t="str">
        <f>"*"&amp;Tabla1[[#This Row],[Codigo de barras]]&amp;"*"</f>
        <v>*200611034*</v>
      </c>
    </row>
    <row r="38" spans="1:7" ht="21">
      <c r="A38">
        <f t="shared" si="0"/>
        <v>35</v>
      </c>
      <c r="B38" s="60">
        <f t="shared" si="1"/>
        <v>200611035</v>
      </c>
      <c r="C38" s="22" t="s">
        <v>13</v>
      </c>
      <c r="D38" s="45">
        <v>2807</v>
      </c>
      <c r="E38" s="52">
        <v>80.2</v>
      </c>
      <c r="F38" s="34">
        <v>35</v>
      </c>
      <c r="G38" s="73" t="str">
        <f>"*"&amp;Tabla1[[#This Row],[Codigo de barras]]&amp;"*"</f>
        <v>*200611035*</v>
      </c>
    </row>
    <row r="39" spans="1:7" ht="21">
      <c r="A39">
        <f t="shared" si="0"/>
        <v>36</v>
      </c>
      <c r="B39" s="60">
        <f t="shared" si="1"/>
        <v>200611036</v>
      </c>
      <c r="C39" s="22" t="s">
        <v>13</v>
      </c>
      <c r="D39" s="45">
        <v>2934</v>
      </c>
      <c r="E39" s="52">
        <v>86.1</v>
      </c>
      <c r="F39" s="34">
        <v>36</v>
      </c>
      <c r="G39" s="73" t="str">
        <f>"*"&amp;Tabla1[[#This Row],[Codigo de barras]]&amp;"*"</f>
        <v>*200611036*</v>
      </c>
    </row>
    <row r="40" spans="1:7" ht="21">
      <c r="A40">
        <f t="shared" si="0"/>
        <v>37</v>
      </c>
      <c r="B40" s="60">
        <f t="shared" si="1"/>
        <v>200611037</v>
      </c>
      <c r="C40" s="22" t="s">
        <v>13</v>
      </c>
      <c r="D40" s="45">
        <v>2825</v>
      </c>
      <c r="E40" s="52">
        <v>80.7</v>
      </c>
      <c r="F40" s="34">
        <v>37</v>
      </c>
      <c r="G40" s="73" t="str">
        <f>"*"&amp;Tabla1[[#This Row],[Codigo de barras]]&amp;"*"</f>
        <v>*200611037*</v>
      </c>
    </row>
    <row r="41" spans="1:7" ht="21">
      <c r="A41">
        <f t="shared" si="0"/>
        <v>38</v>
      </c>
      <c r="B41" s="60">
        <f t="shared" si="1"/>
        <v>200611038</v>
      </c>
      <c r="C41" s="22" t="s">
        <v>13</v>
      </c>
      <c r="D41" s="45">
        <v>2787</v>
      </c>
      <c r="E41" s="52">
        <v>77.2</v>
      </c>
      <c r="F41" s="34">
        <v>38</v>
      </c>
      <c r="G41" s="73" t="str">
        <f>"*"&amp;Tabla1[[#This Row],[Codigo de barras]]&amp;"*"</f>
        <v>*200611038*</v>
      </c>
    </row>
    <row r="42" spans="1:7" ht="21">
      <c r="A42">
        <f t="shared" si="0"/>
        <v>39</v>
      </c>
      <c r="B42" s="60">
        <f t="shared" si="1"/>
        <v>200611039</v>
      </c>
      <c r="C42" s="22" t="s">
        <v>13</v>
      </c>
      <c r="D42" s="45">
        <v>2805</v>
      </c>
      <c r="E42" s="52">
        <v>81</v>
      </c>
      <c r="F42" s="34">
        <v>39</v>
      </c>
      <c r="G42" s="73" t="str">
        <f>"*"&amp;Tabla1[[#This Row],[Codigo de barras]]&amp;"*"</f>
        <v>*200611039*</v>
      </c>
    </row>
    <row r="43" spans="1:7" ht="21">
      <c r="A43">
        <f t="shared" si="0"/>
        <v>40</v>
      </c>
      <c r="B43" s="60">
        <f t="shared" si="1"/>
        <v>200611040</v>
      </c>
      <c r="C43" s="22" t="s">
        <v>13</v>
      </c>
      <c r="D43" s="45">
        <v>2820</v>
      </c>
      <c r="E43" s="52">
        <v>80.2</v>
      </c>
      <c r="F43" s="34">
        <v>40</v>
      </c>
      <c r="G43" s="73" t="str">
        <f>"*"&amp;Tabla1[[#This Row],[Codigo de barras]]&amp;"*"</f>
        <v>*200611040*</v>
      </c>
    </row>
    <row r="44" spans="1:7" ht="21">
      <c r="A44">
        <f t="shared" si="0"/>
        <v>41</v>
      </c>
      <c r="B44" s="60">
        <f t="shared" si="1"/>
        <v>200611041</v>
      </c>
      <c r="C44" s="22" t="s">
        <v>13</v>
      </c>
      <c r="D44" s="45">
        <v>2627</v>
      </c>
      <c r="E44" s="52">
        <v>81.3</v>
      </c>
      <c r="F44" s="34">
        <v>41</v>
      </c>
      <c r="G44" s="73" t="str">
        <f>"*"&amp;Tabla1[[#This Row],[Codigo de barras]]&amp;"*"</f>
        <v>*200611041*</v>
      </c>
    </row>
    <row r="45" spans="1:7" ht="21">
      <c r="A45">
        <f t="shared" si="0"/>
        <v>42</v>
      </c>
      <c r="B45" s="60">
        <f t="shared" si="1"/>
        <v>200611042</v>
      </c>
      <c r="C45" s="22" t="s">
        <v>13</v>
      </c>
      <c r="D45" s="45">
        <v>2832</v>
      </c>
      <c r="E45" s="52">
        <v>80.5</v>
      </c>
      <c r="F45" s="34">
        <v>42</v>
      </c>
      <c r="G45" s="73" t="str">
        <f>"*"&amp;Tabla1[[#This Row],[Codigo de barras]]&amp;"*"</f>
        <v>*200611042*</v>
      </c>
    </row>
    <row r="46" spans="1:7" ht="21">
      <c r="A46">
        <f t="shared" si="0"/>
        <v>43</v>
      </c>
      <c r="B46" s="60">
        <f t="shared" si="1"/>
        <v>200611043</v>
      </c>
      <c r="C46" s="22" t="s">
        <v>13</v>
      </c>
      <c r="D46" s="45">
        <v>2828</v>
      </c>
      <c r="E46" s="52">
        <v>81.099999999999994</v>
      </c>
      <c r="F46" s="34">
        <v>43</v>
      </c>
      <c r="G46" s="73" t="str">
        <f>"*"&amp;Tabla1[[#This Row],[Codigo de barras]]&amp;"*"</f>
        <v>*200611043*</v>
      </c>
    </row>
    <row r="47" spans="1:7" ht="21">
      <c r="A47">
        <f t="shared" si="0"/>
        <v>44</v>
      </c>
      <c r="B47" s="60">
        <f t="shared" si="1"/>
        <v>200611044</v>
      </c>
      <c r="C47" s="22" t="s">
        <v>13</v>
      </c>
      <c r="D47" s="45">
        <v>2916</v>
      </c>
      <c r="E47" s="52">
        <v>85.9</v>
      </c>
      <c r="F47" s="34">
        <v>44</v>
      </c>
      <c r="G47" s="73" t="str">
        <f>"*"&amp;Tabla1[[#This Row],[Codigo de barras]]&amp;"*"</f>
        <v>*200611044*</v>
      </c>
    </row>
    <row r="48" spans="1:7" ht="21">
      <c r="A48">
        <f t="shared" si="0"/>
        <v>45</v>
      </c>
      <c r="B48" s="60">
        <f t="shared" si="1"/>
        <v>200611045</v>
      </c>
      <c r="C48" s="22" t="s">
        <v>13</v>
      </c>
      <c r="D48" s="45">
        <v>2828</v>
      </c>
      <c r="E48" s="52">
        <v>80.400000000000006</v>
      </c>
      <c r="F48" s="34">
        <v>45</v>
      </c>
      <c r="G48" s="73" t="str">
        <f>"*"&amp;Tabla1[[#This Row],[Codigo de barras]]&amp;"*"</f>
        <v>*200611045*</v>
      </c>
    </row>
    <row r="49" spans="1:7" ht="21">
      <c r="A49">
        <f t="shared" si="0"/>
        <v>46</v>
      </c>
      <c r="B49" s="60">
        <f t="shared" si="1"/>
        <v>200611046</v>
      </c>
      <c r="C49" s="22" t="s">
        <v>13</v>
      </c>
      <c r="D49" s="45">
        <v>2787</v>
      </c>
      <c r="E49" s="52">
        <v>78.099999999999994</v>
      </c>
      <c r="F49" s="34">
        <v>46</v>
      </c>
      <c r="G49" s="73" t="str">
        <f>"*"&amp;Tabla1[[#This Row],[Codigo de barras]]&amp;"*"</f>
        <v>*200611046*</v>
      </c>
    </row>
    <row r="50" spans="1:7" ht="21">
      <c r="A50">
        <f t="shared" si="0"/>
        <v>47</v>
      </c>
      <c r="B50" s="60">
        <f t="shared" si="1"/>
        <v>200611047</v>
      </c>
      <c r="C50" s="22" t="s">
        <v>13</v>
      </c>
      <c r="D50" s="45">
        <v>2934</v>
      </c>
      <c r="E50" s="52">
        <v>86.5</v>
      </c>
      <c r="F50" s="34">
        <v>47</v>
      </c>
      <c r="G50" s="73" t="str">
        <f>"*"&amp;Tabla1[[#This Row],[Codigo de barras]]&amp;"*"</f>
        <v>*200611047*</v>
      </c>
    </row>
    <row r="51" spans="1:7" ht="21">
      <c r="A51">
        <f t="shared" si="0"/>
        <v>48</v>
      </c>
      <c r="B51" s="60">
        <f t="shared" si="1"/>
        <v>200611048</v>
      </c>
      <c r="C51" s="22" t="s">
        <v>13</v>
      </c>
      <c r="D51" s="45">
        <v>2840</v>
      </c>
      <c r="E51" s="52">
        <v>78.2</v>
      </c>
      <c r="F51" s="34">
        <v>48</v>
      </c>
      <c r="G51" s="73" t="str">
        <f>"*"&amp;Tabla1[[#This Row],[Codigo de barras]]&amp;"*"</f>
        <v>*200611048*</v>
      </c>
    </row>
    <row r="52" spans="1:7" ht="21">
      <c r="A52">
        <f t="shared" si="0"/>
        <v>49</v>
      </c>
      <c r="B52" s="60">
        <f t="shared" si="1"/>
        <v>200611049</v>
      </c>
      <c r="C52" s="22" t="s">
        <v>13</v>
      </c>
      <c r="D52" s="45">
        <v>2823</v>
      </c>
      <c r="E52" s="52">
        <v>81.5</v>
      </c>
      <c r="F52" s="34">
        <v>49</v>
      </c>
      <c r="G52" s="73" t="str">
        <f>"*"&amp;Tabla1[[#This Row],[Codigo de barras]]&amp;"*"</f>
        <v>*200611049*</v>
      </c>
    </row>
    <row r="53" spans="1:7" ht="21">
      <c r="A53">
        <f t="shared" si="0"/>
        <v>50</v>
      </c>
      <c r="B53" s="60">
        <f t="shared" ref="B53:B73" si="2">+B52+1</f>
        <v>200611050</v>
      </c>
      <c r="C53" s="22" t="s">
        <v>13</v>
      </c>
      <c r="D53" s="45">
        <v>2820</v>
      </c>
      <c r="E53" s="52">
        <v>80.8</v>
      </c>
      <c r="F53" s="34">
        <v>50</v>
      </c>
      <c r="G53" s="73" t="str">
        <f>"*"&amp;Tabla1[[#This Row],[Codigo de barras]]&amp;"*"</f>
        <v>*200611050*</v>
      </c>
    </row>
    <row r="54" spans="1:7" ht="21">
      <c r="A54">
        <f t="shared" si="0"/>
        <v>51</v>
      </c>
      <c r="B54" s="60">
        <f t="shared" si="2"/>
        <v>200611051</v>
      </c>
      <c r="C54" s="22" t="s">
        <v>13</v>
      </c>
      <c r="D54" s="45">
        <v>2780</v>
      </c>
      <c r="E54" s="52">
        <v>80</v>
      </c>
      <c r="F54" s="34">
        <v>51</v>
      </c>
      <c r="G54" s="73" t="str">
        <f>"*"&amp;Tabla1[[#This Row],[Codigo de barras]]&amp;"*"</f>
        <v>*200611051*</v>
      </c>
    </row>
    <row r="55" spans="1:7" ht="21">
      <c r="A55">
        <f t="shared" si="0"/>
        <v>52</v>
      </c>
      <c r="B55" s="60">
        <f t="shared" si="2"/>
        <v>200611052</v>
      </c>
      <c r="C55" s="22" t="s">
        <v>13</v>
      </c>
      <c r="D55" s="45">
        <v>2837</v>
      </c>
      <c r="E55" s="52">
        <v>81.400000000000006</v>
      </c>
      <c r="F55" s="34">
        <v>52</v>
      </c>
      <c r="G55" s="73" t="str">
        <f>"*"&amp;Tabla1[[#This Row],[Codigo de barras]]&amp;"*"</f>
        <v>*200611052*</v>
      </c>
    </row>
    <row r="56" spans="1:7" ht="21">
      <c r="A56">
        <f t="shared" si="0"/>
        <v>53</v>
      </c>
      <c r="B56" s="60">
        <f t="shared" si="2"/>
        <v>200611053</v>
      </c>
      <c r="C56" s="22" t="s">
        <v>13</v>
      </c>
      <c r="D56" s="45">
        <v>2780</v>
      </c>
      <c r="E56" s="52">
        <v>79.099999999999994</v>
      </c>
      <c r="F56" s="34">
        <v>53</v>
      </c>
      <c r="G56" s="73" t="str">
        <f>"*"&amp;Tabla1[[#This Row],[Codigo de barras]]&amp;"*"</f>
        <v>*200611053*</v>
      </c>
    </row>
    <row r="57" spans="1:7" ht="21">
      <c r="A57">
        <f t="shared" si="0"/>
        <v>54</v>
      </c>
      <c r="B57" s="60">
        <f t="shared" si="2"/>
        <v>200611054</v>
      </c>
      <c r="C57" s="22" t="s">
        <v>13</v>
      </c>
      <c r="D57" s="45">
        <v>2916</v>
      </c>
      <c r="E57" s="52">
        <v>84.8</v>
      </c>
      <c r="F57" s="34">
        <v>54</v>
      </c>
      <c r="G57" s="73" t="str">
        <f>"*"&amp;Tabla1[[#This Row],[Codigo de barras]]&amp;"*"</f>
        <v>*200611054*</v>
      </c>
    </row>
    <row r="58" spans="1:7" ht="21">
      <c r="A58">
        <f t="shared" si="0"/>
        <v>55</v>
      </c>
      <c r="B58" s="60">
        <f t="shared" si="2"/>
        <v>200611055</v>
      </c>
      <c r="C58" s="22" t="s">
        <v>13</v>
      </c>
      <c r="D58" s="45">
        <v>2891</v>
      </c>
      <c r="E58" s="52">
        <v>85.7</v>
      </c>
      <c r="F58" s="34">
        <v>55</v>
      </c>
      <c r="G58" s="73" t="str">
        <f>"*"&amp;Tabla1[[#This Row],[Codigo de barras]]&amp;"*"</f>
        <v>*200611055*</v>
      </c>
    </row>
    <row r="59" spans="1:7" ht="21">
      <c r="A59">
        <f t="shared" si="0"/>
        <v>56</v>
      </c>
      <c r="B59" s="60">
        <f t="shared" si="2"/>
        <v>200611056</v>
      </c>
      <c r="C59" s="22" t="s">
        <v>13</v>
      </c>
      <c r="D59" s="45">
        <v>2848</v>
      </c>
      <c r="E59" s="52">
        <v>79.3</v>
      </c>
      <c r="F59" s="34">
        <v>56</v>
      </c>
      <c r="G59" s="73" t="str">
        <f>"*"&amp;Tabla1[[#This Row],[Codigo de barras]]&amp;"*"</f>
        <v>*200611056*</v>
      </c>
    </row>
    <row r="60" spans="1:7" ht="21">
      <c r="A60">
        <f t="shared" si="0"/>
        <v>57</v>
      </c>
      <c r="B60" s="60">
        <f t="shared" si="2"/>
        <v>200611057</v>
      </c>
      <c r="C60" s="22" t="s">
        <v>13</v>
      </c>
      <c r="D60" s="45">
        <v>2835</v>
      </c>
      <c r="E60" s="52">
        <v>81.3</v>
      </c>
      <c r="F60" s="34">
        <v>57</v>
      </c>
      <c r="G60" s="73" t="str">
        <f>"*"&amp;Tabla1[[#This Row],[Codigo de barras]]&amp;"*"</f>
        <v>*200611057*</v>
      </c>
    </row>
    <row r="61" spans="1:7" ht="21">
      <c r="A61">
        <f t="shared" si="0"/>
        <v>58</v>
      </c>
      <c r="B61" s="60">
        <f t="shared" si="2"/>
        <v>200611058</v>
      </c>
      <c r="C61" s="22" t="s">
        <v>13</v>
      </c>
      <c r="D61" s="45">
        <v>2789</v>
      </c>
      <c r="E61" s="52">
        <v>75.599999999999994</v>
      </c>
      <c r="F61" s="34">
        <v>58</v>
      </c>
      <c r="G61" s="73" t="str">
        <f>"*"&amp;Tabla1[[#This Row],[Codigo de barras]]&amp;"*"</f>
        <v>*200611058*</v>
      </c>
    </row>
    <row r="62" spans="1:7" ht="21">
      <c r="A62">
        <f t="shared" si="0"/>
        <v>59</v>
      </c>
      <c r="B62" s="60">
        <f t="shared" si="2"/>
        <v>200611059</v>
      </c>
      <c r="C62" s="22" t="s">
        <v>13</v>
      </c>
      <c r="D62" s="45">
        <v>2843</v>
      </c>
      <c r="E62" s="52">
        <v>80.3</v>
      </c>
      <c r="F62" s="34">
        <v>59</v>
      </c>
      <c r="G62" s="73" t="str">
        <f>"*"&amp;Tabla1[[#This Row],[Codigo de barras]]&amp;"*"</f>
        <v>*200611059*</v>
      </c>
    </row>
    <row r="63" spans="1:7" ht="21">
      <c r="A63">
        <f t="shared" si="0"/>
        <v>60</v>
      </c>
      <c r="B63" s="60">
        <f t="shared" si="2"/>
        <v>200611060</v>
      </c>
      <c r="C63" s="22" t="s">
        <v>13</v>
      </c>
      <c r="D63" s="45">
        <v>2836</v>
      </c>
      <c r="E63" s="52">
        <v>81</v>
      </c>
      <c r="F63" s="34">
        <v>60</v>
      </c>
      <c r="G63" s="73" t="str">
        <f>"*"&amp;Tabla1[[#This Row],[Codigo de barras]]&amp;"*"</f>
        <v>*200611060*</v>
      </c>
    </row>
    <row r="64" spans="1:7" ht="21">
      <c r="A64">
        <f t="shared" si="0"/>
        <v>61</v>
      </c>
      <c r="B64" s="60">
        <f t="shared" si="2"/>
        <v>200611061</v>
      </c>
      <c r="C64" s="22" t="s">
        <v>13</v>
      </c>
      <c r="D64" s="45">
        <v>2825</v>
      </c>
      <c r="E64" s="52">
        <v>80.400000000000006</v>
      </c>
      <c r="F64" s="34">
        <v>61</v>
      </c>
      <c r="G64" s="73" t="str">
        <f>"*"&amp;Tabla1[[#This Row],[Codigo de barras]]&amp;"*"</f>
        <v>*200611061*</v>
      </c>
    </row>
    <row r="65" spans="1:11" ht="21">
      <c r="A65">
        <f t="shared" si="0"/>
        <v>62</v>
      </c>
      <c r="B65" s="60">
        <f t="shared" si="2"/>
        <v>200611062</v>
      </c>
      <c r="C65" s="22" t="s">
        <v>13</v>
      </c>
      <c r="D65" s="45">
        <v>2891</v>
      </c>
      <c r="E65" s="52">
        <v>85.4</v>
      </c>
      <c r="F65" s="34">
        <v>62</v>
      </c>
      <c r="G65" s="73" t="str">
        <f>"*"&amp;Tabla1[[#This Row],[Codigo de barras]]&amp;"*"</f>
        <v>*200611062*</v>
      </c>
    </row>
    <row r="66" spans="1:11" ht="21">
      <c r="A66">
        <f t="shared" si="0"/>
        <v>63</v>
      </c>
      <c r="B66" s="60">
        <f t="shared" si="2"/>
        <v>200611063</v>
      </c>
      <c r="C66" s="22" t="s">
        <v>13</v>
      </c>
      <c r="D66" s="45">
        <v>2780</v>
      </c>
      <c r="E66" s="52">
        <v>75.3</v>
      </c>
      <c r="F66" s="34">
        <v>63</v>
      </c>
      <c r="G66" s="73" t="str">
        <f>"*"&amp;Tabla1[[#This Row],[Codigo de barras]]&amp;"*"</f>
        <v>*200611063*</v>
      </c>
    </row>
    <row r="67" spans="1:11" ht="21">
      <c r="A67">
        <f t="shared" si="0"/>
        <v>64</v>
      </c>
      <c r="B67" s="60">
        <f t="shared" si="2"/>
        <v>200611064</v>
      </c>
      <c r="C67" s="22" t="s">
        <v>13</v>
      </c>
      <c r="D67" s="45">
        <v>2825</v>
      </c>
      <c r="E67" s="52">
        <v>80.5</v>
      </c>
      <c r="F67" s="34">
        <v>64</v>
      </c>
      <c r="G67" s="73" t="str">
        <f>"*"&amp;Tabla1[[#This Row],[Codigo de barras]]&amp;"*"</f>
        <v>*200611064*</v>
      </c>
    </row>
    <row r="68" spans="1:11" ht="21">
      <c r="A68">
        <f t="shared" si="0"/>
        <v>65</v>
      </c>
      <c r="B68" s="60">
        <f t="shared" si="2"/>
        <v>200611065</v>
      </c>
      <c r="C68" s="22" t="s">
        <v>13</v>
      </c>
      <c r="D68" s="45">
        <v>2838</v>
      </c>
      <c r="E68" s="52">
        <v>82.7</v>
      </c>
      <c r="F68" s="34">
        <v>65</v>
      </c>
      <c r="G68" s="73" t="str">
        <f>"*"&amp;Tabla1[[#This Row],[Codigo de barras]]&amp;"*"</f>
        <v>*200611065*</v>
      </c>
    </row>
    <row r="69" spans="1:11" ht="21">
      <c r="A69">
        <f t="shared" si="0"/>
        <v>66</v>
      </c>
      <c r="B69" s="60">
        <f t="shared" si="2"/>
        <v>200611066</v>
      </c>
      <c r="C69" s="22" t="s">
        <v>13</v>
      </c>
      <c r="D69" s="45">
        <v>2836</v>
      </c>
      <c r="E69" s="52">
        <v>80.400000000000006</v>
      </c>
      <c r="F69" s="34">
        <v>66</v>
      </c>
      <c r="G69" s="73" t="str">
        <f>"*"&amp;Tabla1[[#This Row],[Codigo de barras]]&amp;"*"</f>
        <v>*200611066*</v>
      </c>
    </row>
    <row r="70" spans="1:11" ht="21">
      <c r="A70">
        <f t="shared" ref="A70:A133" si="3">+A69+1</f>
        <v>67</v>
      </c>
      <c r="B70" s="60">
        <f t="shared" si="2"/>
        <v>200611067</v>
      </c>
      <c r="C70" s="22" t="s">
        <v>13</v>
      </c>
      <c r="D70" s="45">
        <v>3265</v>
      </c>
      <c r="E70" s="52">
        <v>94.2</v>
      </c>
      <c r="F70" s="34">
        <v>67</v>
      </c>
      <c r="G70" s="73" t="str">
        <f>"*"&amp;Tabla1[[#This Row],[Codigo de barras]]&amp;"*"</f>
        <v>*200611067*</v>
      </c>
    </row>
    <row r="71" spans="1:11" ht="21">
      <c r="A71">
        <f t="shared" si="3"/>
        <v>68</v>
      </c>
      <c r="B71" s="60">
        <f t="shared" si="2"/>
        <v>200611068</v>
      </c>
      <c r="C71" s="22" t="s">
        <v>13</v>
      </c>
      <c r="D71" s="45">
        <v>2803</v>
      </c>
      <c r="E71" s="52">
        <v>80</v>
      </c>
      <c r="F71" s="34">
        <v>68</v>
      </c>
      <c r="G71" s="73" t="str">
        <f>"*"&amp;Tabla1[[#This Row],[Codigo de barras]]&amp;"*"</f>
        <v>*200611068*</v>
      </c>
    </row>
    <row r="72" spans="1:11" ht="21">
      <c r="A72">
        <f t="shared" si="3"/>
        <v>69</v>
      </c>
      <c r="B72" s="60">
        <f t="shared" si="2"/>
        <v>200611069</v>
      </c>
      <c r="C72" s="22" t="s">
        <v>13</v>
      </c>
      <c r="D72" s="45">
        <v>3265</v>
      </c>
      <c r="E72" s="52">
        <v>94.5</v>
      </c>
      <c r="F72" s="34">
        <v>69</v>
      </c>
      <c r="G72" s="73" t="str">
        <f>"*"&amp;Tabla1[[#This Row],[Codigo de barras]]&amp;"*"</f>
        <v>*200611069*</v>
      </c>
    </row>
    <row r="73" spans="1:11" ht="21">
      <c r="A73">
        <f t="shared" si="3"/>
        <v>70</v>
      </c>
      <c r="B73" s="60">
        <f t="shared" si="2"/>
        <v>200611070</v>
      </c>
      <c r="C73" s="22" t="s">
        <v>13</v>
      </c>
      <c r="D73" s="45">
        <v>2825</v>
      </c>
      <c r="E73" s="52">
        <v>80</v>
      </c>
      <c r="F73" s="34">
        <v>70</v>
      </c>
      <c r="G73" s="73" t="str">
        <f>"*"&amp;Tabla1[[#This Row],[Codigo de barras]]&amp;"*"</f>
        <v>*200611070*</v>
      </c>
    </row>
    <row r="74" spans="1:11" ht="21">
      <c r="A74">
        <f t="shared" si="3"/>
        <v>71</v>
      </c>
      <c r="B74" s="60">
        <f t="shared" ref="B74:B137" si="4">+B73+1</f>
        <v>200611071</v>
      </c>
      <c r="C74" s="22" t="s">
        <v>13</v>
      </c>
      <c r="D74" s="45">
        <v>2730</v>
      </c>
      <c r="E74" s="52">
        <v>74</v>
      </c>
      <c r="F74" s="34">
        <v>71</v>
      </c>
      <c r="G74" s="73" t="str">
        <f>"*"&amp;Tabla1[[#This Row],[Codigo de barras]]&amp;"*"</f>
        <v>*200611071*</v>
      </c>
    </row>
    <row r="75" spans="1:11" ht="21">
      <c r="A75">
        <f t="shared" si="3"/>
        <v>72</v>
      </c>
      <c r="B75" s="60">
        <f t="shared" si="4"/>
        <v>200611072</v>
      </c>
      <c r="C75" s="22" t="s">
        <v>13</v>
      </c>
      <c r="D75" s="45">
        <v>2823</v>
      </c>
      <c r="E75" s="52">
        <v>80.5</v>
      </c>
      <c r="F75" s="34">
        <v>72</v>
      </c>
      <c r="G75" s="73" t="str">
        <f>"*"&amp;Tabla1[[#This Row],[Codigo de barras]]&amp;"*"</f>
        <v>*200611072*</v>
      </c>
    </row>
    <row r="76" spans="1:11" ht="21">
      <c r="A76">
        <f t="shared" si="3"/>
        <v>73</v>
      </c>
      <c r="B76" s="60">
        <f t="shared" si="4"/>
        <v>200611073</v>
      </c>
      <c r="C76" s="22" t="s">
        <v>13</v>
      </c>
      <c r="D76" s="45">
        <v>2812</v>
      </c>
      <c r="E76" s="52">
        <v>81.400000000000006</v>
      </c>
      <c r="F76" s="34">
        <v>73</v>
      </c>
      <c r="G76" s="73" t="str">
        <f>"*"&amp;Tabla1[[#This Row],[Codigo de barras]]&amp;"*"</f>
        <v>*200611073*</v>
      </c>
    </row>
    <row r="77" spans="1:11" ht="21">
      <c r="A77">
        <f t="shared" si="3"/>
        <v>74</v>
      </c>
      <c r="B77" s="60">
        <f t="shared" si="4"/>
        <v>200611074</v>
      </c>
      <c r="C77" s="22" t="s">
        <v>13</v>
      </c>
      <c r="D77" s="45">
        <v>2816</v>
      </c>
      <c r="E77" s="52">
        <v>79.3</v>
      </c>
      <c r="F77" s="34">
        <v>74</v>
      </c>
      <c r="G77" s="73" t="str">
        <f>"*"&amp;Tabla1[[#This Row],[Codigo de barras]]&amp;"*"</f>
        <v>*200611074*</v>
      </c>
    </row>
    <row r="78" spans="1:11" ht="21">
      <c r="A78">
        <f t="shared" si="3"/>
        <v>75</v>
      </c>
      <c r="B78" s="60">
        <f t="shared" si="4"/>
        <v>200611075</v>
      </c>
      <c r="C78" s="22" t="s">
        <v>13</v>
      </c>
      <c r="D78" s="45">
        <v>2816</v>
      </c>
      <c r="E78" s="52">
        <v>81.599999999999994</v>
      </c>
      <c r="F78" s="34">
        <v>75</v>
      </c>
      <c r="G78" s="73" t="str">
        <f>"*"&amp;Tabla1[[#This Row],[Codigo de barras]]&amp;"*"</f>
        <v>*200611075*</v>
      </c>
    </row>
    <row r="79" spans="1:11" ht="21">
      <c r="A79">
        <f t="shared" si="3"/>
        <v>76</v>
      </c>
      <c r="B79" s="60">
        <f t="shared" si="4"/>
        <v>200611076</v>
      </c>
      <c r="C79" s="22" t="s">
        <v>13</v>
      </c>
      <c r="D79" s="45">
        <v>2751</v>
      </c>
      <c r="E79" s="52">
        <v>77.900000000000006</v>
      </c>
      <c r="F79" s="34">
        <v>76</v>
      </c>
      <c r="G79" s="73" t="str">
        <f>"*"&amp;Tabla1[[#This Row],[Codigo de barras]]&amp;"*"</f>
        <v>*200611076*</v>
      </c>
      <c r="H79" s="12"/>
      <c r="I79" s="12"/>
      <c r="J79" s="12"/>
      <c r="K79" s="12"/>
    </row>
    <row r="80" spans="1:11" ht="21">
      <c r="A80">
        <f t="shared" si="3"/>
        <v>77</v>
      </c>
      <c r="B80" s="60">
        <f t="shared" si="4"/>
        <v>200611077</v>
      </c>
      <c r="C80" s="22" t="s">
        <v>13</v>
      </c>
      <c r="D80" s="45">
        <v>2850</v>
      </c>
      <c r="E80" s="52">
        <v>79.400000000000006</v>
      </c>
      <c r="F80" s="34">
        <v>77</v>
      </c>
      <c r="G80" s="73" t="str">
        <f>"*"&amp;Tabla1[[#This Row],[Codigo de barras]]&amp;"*"</f>
        <v>*200611077*</v>
      </c>
      <c r="H80" s="48"/>
      <c r="I80" s="48"/>
      <c r="J80" s="48"/>
      <c r="K80" s="12"/>
    </row>
    <row r="81" spans="1:11" ht="21">
      <c r="A81">
        <f t="shared" si="3"/>
        <v>78</v>
      </c>
      <c r="B81" s="60">
        <f t="shared" si="4"/>
        <v>200611078</v>
      </c>
      <c r="C81" s="22" t="s">
        <v>13</v>
      </c>
      <c r="D81" s="45">
        <v>2730</v>
      </c>
      <c r="E81" s="52">
        <v>74.2</v>
      </c>
      <c r="F81" s="34">
        <v>78</v>
      </c>
      <c r="G81" s="73" t="str">
        <f>"*"&amp;Tabla1[[#This Row],[Codigo de barras]]&amp;"*"</f>
        <v>*200611078*</v>
      </c>
      <c r="H81" s="48"/>
      <c r="I81" s="48"/>
      <c r="J81" s="48"/>
      <c r="K81" s="12"/>
    </row>
    <row r="82" spans="1:11" ht="21">
      <c r="A82">
        <f t="shared" si="3"/>
        <v>79</v>
      </c>
      <c r="B82" s="60">
        <f t="shared" si="4"/>
        <v>200611079</v>
      </c>
      <c r="C82" s="22" t="s">
        <v>13</v>
      </c>
      <c r="D82" s="45">
        <v>2823</v>
      </c>
      <c r="E82" s="52">
        <v>81</v>
      </c>
      <c r="F82" s="34">
        <v>79</v>
      </c>
      <c r="G82" s="73" t="str">
        <f>"*"&amp;Tabla1[[#This Row],[Codigo de barras]]&amp;"*"</f>
        <v>*200611079*</v>
      </c>
      <c r="H82" s="48"/>
      <c r="I82" s="48"/>
      <c r="J82" s="48"/>
      <c r="K82" s="12"/>
    </row>
    <row r="83" spans="1:11" ht="21">
      <c r="A83">
        <f t="shared" si="3"/>
        <v>80</v>
      </c>
      <c r="B83" s="60">
        <f t="shared" si="4"/>
        <v>200611080</v>
      </c>
      <c r="C83" s="22" t="s">
        <v>13</v>
      </c>
      <c r="D83" s="45">
        <v>2750</v>
      </c>
      <c r="E83" s="52">
        <v>77.400000000000006</v>
      </c>
      <c r="F83" s="34">
        <v>80</v>
      </c>
      <c r="G83" s="73" t="str">
        <f>"*"&amp;Tabla1[[#This Row],[Codigo de barras]]&amp;"*"</f>
        <v>*200611080*</v>
      </c>
      <c r="H83" s="48"/>
      <c r="I83" s="48"/>
      <c r="J83" s="48"/>
      <c r="K83" s="12"/>
    </row>
    <row r="84" spans="1:11" ht="21">
      <c r="A84">
        <f t="shared" si="3"/>
        <v>81</v>
      </c>
      <c r="B84" s="60">
        <f t="shared" si="4"/>
        <v>200611081</v>
      </c>
      <c r="C84" s="22" t="s">
        <v>13</v>
      </c>
      <c r="D84" s="45">
        <v>2803</v>
      </c>
      <c r="E84" s="52">
        <v>80.599999999999994</v>
      </c>
      <c r="F84" s="34">
        <v>81</v>
      </c>
      <c r="G84" s="73" t="str">
        <f>"*"&amp;Tabla1[[#This Row],[Codigo de barras]]&amp;"*"</f>
        <v>*200611081*</v>
      </c>
      <c r="H84" s="48"/>
      <c r="I84" s="48"/>
      <c r="J84" s="48"/>
      <c r="K84" s="12"/>
    </row>
    <row r="85" spans="1:11" ht="21">
      <c r="A85">
        <f t="shared" si="3"/>
        <v>82</v>
      </c>
      <c r="B85" s="60">
        <f t="shared" si="4"/>
        <v>200611082</v>
      </c>
      <c r="C85" s="22" t="s">
        <v>13</v>
      </c>
      <c r="D85" s="45">
        <v>2815</v>
      </c>
      <c r="E85" s="52">
        <v>79.5</v>
      </c>
      <c r="F85" s="34">
        <v>82</v>
      </c>
      <c r="G85" s="73" t="str">
        <f>"*"&amp;Tabla1[[#This Row],[Codigo de barras]]&amp;"*"</f>
        <v>*200611082*</v>
      </c>
      <c r="H85" s="48"/>
      <c r="I85" s="48"/>
      <c r="J85" s="48"/>
      <c r="K85" s="12"/>
    </row>
    <row r="86" spans="1:11" ht="21">
      <c r="A86">
        <f t="shared" si="3"/>
        <v>83</v>
      </c>
      <c r="B86" s="60">
        <f t="shared" si="4"/>
        <v>200611083</v>
      </c>
      <c r="C86" s="22" t="s">
        <v>13</v>
      </c>
      <c r="D86" s="45">
        <v>2824</v>
      </c>
      <c r="E86" s="53">
        <v>79.7</v>
      </c>
      <c r="F86" s="34">
        <v>83</v>
      </c>
      <c r="G86" s="73" t="str">
        <f>"*"&amp;Tabla1[[#This Row],[Codigo de barras]]&amp;"*"</f>
        <v>*200611083*</v>
      </c>
      <c r="H86" s="48"/>
      <c r="I86" s="48"/>
      <c r="J86" s="49"/>
      <c r="K86" s="12"/>
    </row>
    <row r="87" spans="1:11" ht="21">
      <c r="A87">
        <f t="shared" si="3"/>
        <v>84</v>
      </c>
      <c r="B87" s="60">
        <f t="shared" si="4"/>
        <v>200611084</v>
      </c>
      <c r="C87" s="22" t="s">
        <v>13</v>
      </c>
      <c r="D87" s="45">
        <v>2824</v>
      </c>
      <c r="E87" s="53">
        <v>80.099999999999994</v>
      </c>
      <c r="F87" s="34">
        <v>84</v>
      </c>
      <c r="G87" s="73" t="str">
        <f>"*"&amp;Tabla1[[#This Row],[Codigo de barras]]&amp;"*"</f>
        <v>*200611084*</v>
      </c>
      <c r="H87" s="48"/>
      <c r="I87" s="48"/>
      <c r="J87" s="49"/>
      <c r="K87" s="12"/>
    </row>
    <row r="88" spans="1:11" ht="21">
      <c r="A88">
        <f t="shared" si="3"/>
        <v>85</v>
      </c>
      <c r="B88" s="60">
        <f t="shared" si="4"/>
        <v>200611085</v>
      </c>
      <c r="C88" s="22" t="s">
        <v>13</v>
      </c>
      <c r="D88" s="45">
        <v>2777</v>
      </c>
      <c r="E88" s="53">
        <v>77.2</v>
      </c>
      <c r="F88" s="34">
        <v>85</v>
      </c>
      <c r="G88" s="73" t="str">
        <f>"*"&amp;Tabla1[[#This Row],[Codigo de barras]]&amp;"*"</f>
        <v>*200611085*</v>
      </c>
      <c r="H88" s="48"/>
      <c r="I88" s="48"/>
      <c r="J88" s="49"/>
      <c r="K88" s="12"/>
    </row>
    <row r="89" spans="1:11" ht="21">
      <c r="A89">
        <f t="shared" si="3"/>
        <v>86</v>
      </c>
      <c r="B89" s="60">
        <f t="shared" si="4"/>
        <v>200611086</v>
      </c>
      <c r="C89" s="22" t="s">
        <v>13</v>
      </c>
      <c r="D89" s="45">
        <v>2824</v>
      </c>
      <c r="E89" s="53">
        <v>78.599999999999994</v>
      </c>
      <c r="F89" s="34">
        <v>86</v>
      </c>
      <c r="G89" s="73" t="str">
        <f>"*"&amp;Tabla1[[#This Row],[Codigo de barras]]&amp;"*"</f>
        <v>*200611086*</v>
      </c>
      <c r="H89" s="48"/>
      <c r="I89" s="48"/>
      <c r="J89" s="49"/>
      <c r="K89" s="12"/>
    </row>
    <row r="90" spans="1:11" ht="21">
      <c r="A90">
        <f t="shared" si="3"/>
        <v>87</v>
      </c>
      <c r="B90" s="60">
        <f t="shared" si="4"/>
        <v>200611087</v>
      </c>
      <c r="C90" s="22" t="s">
        <v>13</v>
      </c>
      <c r="D90" s="45">
        <v>2807</v>
      </c>
      <c r="E90" s="53">
        <v>79.3</v>
      </c>
      <c r="F90" s="34">
        <v>87</v>
      </c>
      <c r="G90" s="73" t="str">
        <f>"*"&amp;Tabla1[[#This Row],[Codigo de barras]]&amp;"*"</f>
        <v>*200611087*</v>
      </c>
      <c r="H90" s="48"/>
      <c r="I90" s="48"/>
      <c r="J90" s="49"/>
      <c r="K90" s="12"/>
    </row>
    <row r="91" spans="1:11" ht="21">
      <c r="A91">
        <f t="shared" si="3"/>
        <v>88</v>
      </c>
      <c r="B91" s="60">
        <f t="shared" si="4"/>
        <v>200611088</v>
      </c>
      <c r="C91" s="22" t="s">
        <v>13</v>
      </c>
      <c r="D91" s="45">
        <v>2812</v>
      </c>
      <c r="E91" s="53">
        <v>79</v>
      </c>
      <c r="F91" s="34">
        <v>88</v>
      </c>
      <c r="G91" s="73" t="str">
        <f>"*"&amp;Tabla1[[#This Row],[Codigo de barras]]&amp;"*"</f>
        <v>*200611088*</v>
      </c>
      <c r="H91" s="48"/>
      <c r="I91" s="48"/>
      <c r="J91" s="49"/>
      <c r="K91" s="12"/>
    </row>
    <row r="92" spans="1:11" ht="21">
      <c r="A92">
        <f t="shared" si="3"/>
        <v>89</v>
      </c>
      <c r="B92" s="60">
        <f t="shared" si="4"/>
        <v>200611089</v>
      </c>
      <c r="C92" s="22" t="s">
        <v>13</v>
      </c>
      <c r="D92" s="45">
        <v>2812</v>
      </c>
      <c r="E92" s="53">
        <v>81.400000000000006</v>
      </c>
      <c r="F92" s="34">
        <v>89</v>
      </c>
      <c r="G92" s="73" t="str">
        <f>"*"&amp;Tabla1[[#This Row],[Codigo de barras]]&amp;"*"</f>
        <v>*200611089*</v>
      </c>
      <c r="H92" s="48"/>
      <c r="I92" s="48"/>
      <c r="J92" s="49"/>
      <c r="K92" s="12"/>
    </row>
    <row r="93" spans="1:11" ht="21">
      <c r="A93">
        <f t="shared" si="3"/>
        <v>90</v>
      </c>
      <c r="B93" s="60">
        <f t="shared" si="4"/>
        <v>200611090</v>
      </c>
      <c r="C93" s="22" t="s">
        <v>13</v>
      </c>
      <c r="D93" s="45">
        <v>2793</v>
      </c>
      <c r="E93" s="53">
        <v>80.2</v>
      </c>
      <c r="F93" s="34">
        <v>90</v>
      </c>
      <c r="G93" s="73" t="str">
        <f>"*"&amp;Tabla1[[#This Row],[Codigo de barras]]&amp;"*"</f>
        <v>*200611090*</v>
      </c>
      <c r="H93" s="48"/>
      <c r="I93" s="48"/>
      <c r="J93" s="49"/>
      <c r="K93" s="12"/>
    </row>
    <row r="94" spans="1:11" ht="21">
      <c r="A94">
        <f t="shared" si="3"/>
        <v>91</v>
      </c>
      <c r="B94" s="60">
        <f t="shared" si="4"/>
        <v>200611091</v>
      </c>
      <c r="C94" s="22" t="s">
        <v>13</v>
      </c>
      <c r="D94" s="45">
        <v>2807</v>
      </c>
      <c r="E94" s="53">
        <v>80.400000000000006</v>
      </c>
      <c r="F94" s="34">
        <v>91</v>
      </c>
      <c r="G94" s="73" t="str">
        <f>"*"&amp;Tabla1[[#This Row],[Codigo de barras]]&amp;"*"</f>
        <v>*200611091*</v>
      </c>
      <c r="H94" s="48"/>
      <c r="I94" s="48"/>
      <c r="J94" s="49"/>
      <c r="K94" s="12"/>
    </row>
    <row r="95" spans="1:11" ht="21">
      <c r="A95">
        <f t="shared" si="3"/>
        <v>92</v>
      </c>
      <c r="B95" s="60">
        <f t="shared" si="4"/>
        <v>200611092</v>
      </c>
      <c r="C95" s="22" t="s">
        <v>13</v>
      </c>
      <c r="D95" s="45">
        <v>2928</v>
      </c>
      <c r="E95" s="53">
        <v>84.5</v>
      </c>
      <c r="F95" s="34">
        <v>92</v>
      </c>
      <c r="G95" s="73" t="str">
        <f>"*"&amp;Tabla1[[#This Row],[Codigo de barras]]&amp;"*"</f>
        <v>*200611092*</v>
      </c>
      <c r="H95" s="48"/>
      <c r="I95" s="48"/>
      <c r="J95" s="49"/>
      <c r="K95" s="12"/>
    </row>
    <row r="96" spans="1:11" ht="21">
      <c r="A96">
        <f t="shared" si="3"/>
        <v>93</v>
      </c>
      <c r="B96" s="60">
        <f t="shared" si="4"/>
        <v>200611093</v>
      </c>
      <c r="C96" s="22" t="s">
        <v>13</v>
      </c>
      <c r="D96" s="45">
        <v>2812</v>
      </c>
      <c r="E96" s="53">
        <v>82.2</v>
      </c>
      <c r="F96" s="34">
        <v>93</v>
      </c>
      <c r="G96" s="73" t="str">
        <f>"*"&amp;Tabla1[[#This Row],[Codigo de barras]]&amp;"*"</f>
        <v>*200611093*</v>
      </c>
      <c r="H96" s="48"/>
      <c r="I96" s="48"/>
      <c r="J96" s="49"/>
      <c r="K96" s="12"/>
    </row>
    <row r="97" spans="1:11" ht="21">
      <c r="A97">
        <f t="shared" si="3"/>
        <v>94</v>
      </c>
      <c r="B97" s="60">
        <f t="shared" si="4"/>
        <v>200611094</v>
      </c>
      <c r="C97" s="22" t="s">
        <v>13</v>
      </c>
      <c r="D97" s="45">
        <v>2812</v>
      </c>
      <c r="E97" s="53">
        <v>80.099999999999994</v>
      </c>
      <c r="F97" s="34">
        <v>94</v>
      </c>
      <c r="G97" s="73" t="str">
        <f>"*"&amp;Tabla1[[#This Row],[Codigo de barras]]&amp;"*"</f>
        <v>*200611094*</v>
      </c>
      <c r="H97" s="48"/>
      <c r="I97" s="48"/>
      <c r="J97" s="49"/>
      <c r="K97" s="12"/>
    </row>
    <row r="98" spans="1:11" ht="21">
      <c r="A98">
        <f t="shared" si="3"/>
        <v>95</v>
      </c>
      <c r="B98" s="60">
        <f t="shared" si="4"/>
        <v>200611095</v>
      </c>
      <c r="C98" s="22" t="s">
        <v>13</v>
      </c>
      <c r="D98" s="45">
        <v>2860</v>
      </c>
      <c r="E98" s="53">
        <v>82.4</v>
      </c>
      <c r="F98" s="34">
        <v>95</v>
      </c>
      <c r="G98" s="73" t="str">
        <f>"*"&amp;Tabla1[[#This Row],[Codigo de barras]]&amp;"*"</f>
        <v>*200611095*</v>
      </c>
      <c r="H98" s="48"/>
      <c r="I98" s="48"/>
      <c r="J98" s="49"/>
      <c r="K98" s="12"/>
    </row>
    <row r="99" spans="1:11" ht="21">
      <c r="A99">
        <f t="shared" si="3"/>
        <v>96</v>
      </c>
      <c r="B99" s="60">
        <f t="shared" si="4"/>
        <v>200611096</v>
      </c>
      <c r="C99" s="22" t="s">
        <v>13</v>
      </c>
      <c r="D99" s="45">
        <v>2825</v>
      </c>
      <c r="E99" s="53">
        <v>81.2</v>
      </c>
      <c r="F99" s="34">
        <v>96</v>
      </c>
      <c r="G99" s="73" t="str">
        <f>"*"&amp;Tabla1[[#This Row],[Codigo de barras]]&amp;"*"</f>
        <v>*200611096*</v>
      </c>
      <c r="H99" s="48"/>
      <c r="I99" s="48"/>
      <c r="J99" s="49"/>
      <c r="K99" s="12"/>
    </row>
    <row r="100" spans="1:11" ht="21">
      <c r="A100">
        <f t="shared" si="3"/>
        <v>97</v>
      </c>
      <c r="B100" s="60">
        <f t="shared" si="4"/>
        <v>200611097</v>
      </c>
      <c r="C100" s="22" t="s">
        <v>13</v>
      </c>
      <c r="D100" s="45">
        <v>2820</v>
      </c>
      <c r="E100" s="53">
        <v>78.599999999999994</v>
      </c>
      <c r="F100" s="34">
        <v>97</v>
      </c>
      <c r="G100" s="73" t="str">
        <f>"*"&amp;Tabla1[[#This Row],[Codigo de barras]]&amp;"*"</f>
        <v>*200611097*</v>
      </c>
      <c r="H100" s="48"/>
      <c r="I100" s="48"/>
      <c r="J100" s="49"/>
      <c r="K100" s="12"/>
    </row>
    <row r="101" spans="1:11" ht="21">
      <c r="A101">
        <f t="shared" si="3"/>
        <v>98</v>
      </c>
      <c r="B101" s="60">
        <f t="shared" si="4"/>
        <v>200611098</v>
      </c>
      <c r="C101" s="22" t="s">
        <v>13</v>
      </c>
      <c r="D101" s="45">
        <v>2820</v>
      </c>
      <c r="E101" s="53">
        <v>78.8</v>
      </c>
      <c r="F101" s="34">
        <v>98</v>
      </c>
      <c r="G101" s="73" t="str">
        <f>"*"&amp;Tabla1[[#This Row],[Codigo de barras]]&amp;"*"</f>
        <v>*200611098*</v>
      </c>
      <c r="H101" s="48"/>
      <c r="I101" s="48"/>
      <c r="J101" s="49"/>
      <c r="K101" s="12"/>
    </row>
    <row r="102" spans="1:11" ht="21">
      <c r="A102">
        <f t="shared" si="3"/>
        <v>99</v>
      </c>
      <c r="B102" s="60">
        <f t="shared" si="4"/>
        <v>200611099</v>
      </c>
      <c r="C102" s="22" t="s">
        <v>13</v>
      </c>
      <c r="D102" s="45">
        <v>2860</v>
      </c>
      <c r="E102" s="53">
        <v>82.2</v>
      </c>
      <c r="F102" s="34">
        <v>99</v>
      </c>
      <c r="G102" s="73" t="str">
        <f>"*"&amp;Tabla1[[#This Row],[Codigo de barras]]&amp;"*"</f>
        <v>*200611099*</v>
      </c>
      <c r="H102" s="48"/>
      <c r="I102" s="48"/>
      <c r="J102" s="49"/>
      <c r="K102" s="12"/>
    </row>
    <row r="103" spans="1:11" ht="21">
      <c r="A103">
        <f t="shared" si="3"/>
        <v>100</v>
      </c>
      <c r="B103" s="60">
        <f t="shared" si="4"/>
        <v>200611100</v>
      </c>
      <c r="C103" s="22" t="s">
        <v>13</v>
      </c>
      <c r="D103" s="45">
        <v>2908</v>
      </c>
      <c r="E103" s="53">
        <v>86.8</v>
      </c>
      <c r="F103" s="34">
        <v>100</v>
      </c>
      <c r="G103" s="73" t="str">
        <f>"*"&amp;Tabla1[[#This Row],[Codigo de barras]]&amp;"*"</f>
        <v>*200611100*</v>
      </c>
      <c r="H103" s="48"/>
      <c r="I103" s="48"/>
      <c r="J103" s="49"/>
      <c r="K103" s="12"/>
    </row>
    <row r="104" spans="1:11" ht="21">
      <c r="A104">
        <f t="shared" si="3"/>
        <v>101</v>
      </c>
      <c r="B104" s="60">
        <f t="shared" si="4"/>
        <v>200611101</v>
      </c>
      <c r="C104" s="22" t="s">
        <v>13</v>
      </c>
      <c r="D104" s="45">
        <v>2828</v>
      </c>
      <c r="E104" s="52">
        <v>81.5</v>
      </c>
      <c r="F104" s="34">
        <v>101</v>
      </c>
      <c r="G104" s="73" t="str">
        <f>"*"&amp;Tabla1[[#This Row],[Codigo de barras]]&amp;"*"</f>
        <v>*200611101*</v>
      </c>
      <c r="H104" s="48"/>
      <c r="I104" s="48"/>
      <c r="J104" s="48"/>
      <c r="K104" s="12"/>
    </row>
    <row r="105" spans="1:11" ht="21">
      <c r="A105">
        <f t="shared" si="3"/>
        <v>102</v>
      </c>
      <c r="B105" s="60">
        <f t="shared" si="4"/>
        <v>200611102</v>
      </c>
      <c r="C105" s="22" t="s">
        <v>13</v>
      </c>
      <c r="D105" s="45">
        <v>2997</v>
      </c>
      <c r="E105" s="52">
        <v>85.3</v>
      </c>
      <c r="F105" s="34">
        <v>102</v>
      </c>
      <c r="G105" s="73" t="str">
        <f>"*"&amp;Tabla1[[#This Row],[Codigo de barras]]&amp;"*"</f>
        <v>*200611102*</v>
      </c>
      <c r="H105" s="48"/>
      <c r="I105" s="48"/>
      <c r="J105" s="48"/>
      <c r="K105" s="12"/>
    </row>
    <row r="106" spans="1:11" ht="21">
      <c r="A106">
        <f t="shared" si="3"/>
        <v>103</v>
      </c>
      <c r="B106" s="60">
        <f t="shared" si="4"/>
        <v>200611103</v>
      </c>
      <c r="C106" s="22" t="s">
        <v>13</v>
      </c>
      <c r="D106" s="45">
        <v>2831</v>
      </c>
      <c r="E106" s="52">
        <v>80.3</v>
      </c>
      <c r="F106" s="34">
        <v>103</v>
      </c>
      <c r="G106" s="73" t="str">
        <f>"*"&amp;Tabla1[[#This Row],[Codigo de barras]]&amp;"*"</f>
        <v>*200611103*</v>
      </c>
      <c r="H106" s="48"/>
      <c r="I106" s="48"/>
      <c r="J106" s="48"/>
      <c r="K106" s="12"/>
    </row>
    <row r="107" spans="1:11" ht="21">
      <c r="A107">
        <f t="shared" si="3"/>
        <v>104</v>
      </c>
      <c r="B107" s="60">
        <f t="shared" si="4"/>
        <v>200611104</v>
      </c>
      <c r="C107" s="22" t="s">
        <v>13</v>
      </c>
      <c r="D107" s="45">
        <v>2819</v>
      </c>
      <c r="E107" s="52">
        <v>79.2</v>
      </c>
      <c r="F107" s="34">
        <v>104</v>
      </c>
      <c r="G107" s="73" t="str">
        <f>"*"&amp;Tabla1[[#This Row],[Codigo de barras]]&amp;"*"</f>
        <v>*200611104*</v>
      </c>
      <c r="H107" s="48"/>
      <c r="I107" s="48"/>
      <c r="J107" s="48"/>
      <c r="K107" s="12"/>
    </row>
    <row r="108" spans="1:11" ht="21">
      <c r="A108">
        <f t="shared" si="3"/>
        <v>105</v>
      </c>
      <c r="B108" s="60">
        <f t="shared" si="4"/>
        <v>200611105</v>
      </c>
      <c r="C108" s="22" t="s">
        <v>13</v>
      </c>
      <c r="D108" s="45">
        <v>2825</v>
      </c>
      <c r="E108" s="52">
        <v>81.5</v>
      </c>
      <c r="F108" s="34">
        <v>105</v>
      </c>
      <c r="G108" s="73" t="str">
        <f>"*"&amp;Tabla1[[#This Row],[Codigo de barras]]&amp;"*"</f>
        <v>*200611105*</v>
      </c>
      <c r="H108" s="48"/>
      <c r="I108" s="48"/>
      <c r="J108" s="48"/>
      <c r="K108" s="12"/>
    </row>
    <row r="109" spans="1:11" ht="21">
      <c r="A109">
        <f t="shared" si="3"/>
        <v>106</v>
      </c>
      <c r="B109" s="60">
        <f t="shared" si="4"/>
        <v>200611106</v>
      </c>
      <c r="C109" s="22" t="s">
        <v>13</v>
      </c>
      <c r="D109" s="45">
        <v>2819</v>
      </c>
      <c r="E109" s="52">
        <v>79.3</v>
      </c>
      <c r="F109" s="34">
        <v>106</v>
      </c>
      <c r="G109" s="73" t="str">
        <f>"*"&amp;Tabla1[[#This Row],[Codigo de barras]]&amp;"*"</f>
        <v>*200611106*</v>
      </c>
      <c r="H109" s="48"/>
      <c r="I109" s="48"/>
      <c r="J109" s="48"/>
      <c r="K109" s="12"/>
    </row>
    <row r="110" spans="1:11" ht="21">
      <c r="A110">
        <f t="shared" si="3"/>
        <v>107</v>
      </c>
      <c r="B110" s="60">
        <f t="shared" si="4"/>
        <v>200611107</v>
      </c>
      <c r="C110" s="22" t="s">
        <v>13</v>
      </c>
      <c r="D110" s="45">
        <v>2828</v>
      </c>
      <c r="E110" s="52">
        <v>81.3</v>
      </c>
      <c r="F110" s="34">
        <v>107</v>
      </c>
      <c r="G110" s="73" t="str">
        <f>"*"&amp;Tabla1[[#This Row],[Codigo de barras]]&amp;"*"</f>
        <v>*200611107*</v>
      </c>
      <c r="H110" s="48"/>
      <c r="I110" s="48"/>
      <c r="J110" s="48"/>
      <c r="K110" s="12"/>
    </row>
    <row r="111" spans="1:11" ht="21">
      <c r="A111">
        <f t="shared" si="3"/>
        <v>108</v>
      </c>
      <c r="B111" s="60">
        <f t="shared" si="4"/>
        <v>200611108</v>
      </c>
      <c r="C111" s="22" t="s">
        <v>13</v>
      </c>
      <c r="D111" s="45">
        <v>2824</v>
      </c>
      <c r="E111" s="52">
        <v>83.2</v>
      </c>
      <c r="F111" s="34">
        <v>108</v>
      </c>
      <c r="G111" s="73" t="str">
        <f>"*"&amp;Tabla1[[#This Row],[Codigo de barras]]&amp;"*"</f>
        <v>*200611108*</v>
      </c>
      <c r="H111" s="48"/>
      <c r="I111" s="48"/>
      <c r="J111" s="48"/>
      <c r="K111" s="12"/>
    </row>
    <row r="112" spans="1:11" ht="21">
      <c r="A112">
        <f t="shared" si="3"/>
        <v>109</v>
      </c>
      <c r="B112" s="60">
        <f t="shared" si="4"/>
        <v>200611109</v>
      </c>
      <c r="C112" s="22" t="s">
        <v>13</v>
      </c>
      <c r="D112" s="45">
        <v>2830</v>
      </c>
      <c r="E112" s="52">
        <v>80</v>
      </c>
      <c r="F112" s="34">
        <v>109</v>
      </c>
      <c r="G112" s="73" t="str">
        <f>"*"&amp;Tabla1[[#This Row],[Codigo de barras]]&amp;"*"</f>
        <v>*200611109*</v>
      </c>
      <c r="H112" s="48"/>
      <c r="I112" s="48"/>
      <c r="J112" s="48"/>
      <c r="K112" s="12"/>
    </row>
    <row r="113" spans="1:11" ht="21">
      <c r="A113">
        <f t="shared" si="3"/>
        <v>110</v>
      </c>
      <c r="B113" s="60">
        <f t="shared" si="4"/>
        <v>200611110</v>
      </c>
      <c r="C113" s="22" t="s">
        <v>13</v>
      </c>
      <c r="D113" s="45">
        <v>2824</v>
      </c>
      <c r="E113" s="52">
        <v>83.5</v>
      </c>
      <c r="F113" s="34">
        <v>110</v>
      </c>
      <c r="G113" s="73" t="str">
        <f>"*"&amp;Tabla1[[#This Row],[Codigo de barras]]&amp;"*"</f>
        <v>*200611110*</v>
      </c>
      <c r="H113" s="48"/>
      <c r="I113" s="48"/>
      <c r="J113" s="48"/>
      <c r="K113" s="12"/>
    </row>
    <row r="114" spans="1:11" ht="21">
      <c r="A114">
        <f t="shared" si="3"/>
        <v>111</v>
      </c>
      <c r="B114" s="60">
        <f t="shared" si="4"/>
        <v>200611111</v>
      </c>
      <c r="C114" s="22" t="s">
        <v>13</v>
      </c>
      <c r="D114" s="45">
        <v>2830</v>
      </c>
      <c r="E114" s="52">
        <v>77.900000000000006</v>
      </c>
      <c r="F114" s="34">
        <v>111</v>
      </c>
      <c r="G114" s="73" t="str">
        <f>"*"&amp;Tabla1[[#This Row],[Codigo de barras]]&amp;"*"</f>
        <v>*200611111*</v>
      </c>
      <c r="H114" s="48"/>
      <c r="I114" s="48"/>
      <c r="J114" s="48"/>
      <c r="K114" s="12"/>
    </row>
    <row r="115" spans="1:11" ht="21">
      <c r="A115">
        <f t="shared" si="3"/>
        <v>112</v>
      </c>
      <c r="B115" s="60">
        <f t="shared" si="4"/>
        <v>200611112</v>
      </c>
      <c r="C115" s="22" t="s">
        <v>13</v>
      </c>
      <c r="D115" s="45">
        <v>2997</v>
      </c>
      <c r="E115" s="52">
        <v>86.6</v>
      </c>
      <c r="F115" s="34">
        <v>112</v>
      </c>
      <c r="G115" s="73" t="str">
        <f>"*"&amp;Tabla1[[#This Row],[Codigo de barras]]&amp;"*"</f>
        <v>*200611112*</v>
      </c>
      <c r="H115" s="48"/>
      <c r="I115" s="48"/>
      <c r="J115" s="48"/>
      <c r="K115" s="12"/>
    </row>
    <row r="116" spans="1:11" ht="21">
      <c r="A116">
        <f t="shared" si="3"/>
        <v>113</v>
      </c>
      <c r="B116" s="60">
        <f t="shared" si="4"/>
        <v>200611113</v>
      </c>
      <c r="C116" s="22" t="s">
        <v>13</v>
      </c>
      <c r="D116" s="45">
        <v>3012</v>
      </c>
      <c r="E116" s="52">
        <v>87.8</v>
      </c>
      <c r="F116" s="34">
        <v>113</v>
      </c>
      <c r="G116" s="73" t="str">
        <f>"*"&amp;Tabla1[[#This Row],[Codigo de barras]]&amp;"*"</f>
        <v>*200611113*</v>
      </c>
      <c r="H116" s="48"/>
      <c r="I116" s="48"/>
      <c r="J116" s="48"/>
      <c r="K116" s="12"/>
    </row>
    <row r="117" spans="1:11" ht="21">
      <c r="A117">
        <f t="shared" si="3"/>
        <v>114</v>
      </c>
      <c r="B117" s="60">
        <f t="shared" si="4"/>
        <v>200611114</v>
      </c>
      <c r="C117" s="22" t="s">
        <v>13</v>
      </c>
      <c r="D117" s="45">
        <v>2928</v>
      </c>
      <c r="E117" s="52">
        <v>85</v>
      </c>
      <c r="F117" s="34">
        <v>114</v>
      </c>
      <c r="G117" s="73" t="str">
        <f>"*"&amp;Tabla1[[#This Row],[Codigo de barras]]&amp;"*"</f>
        <v>*200611114*</v>
      </c>
      <c r="H117" s="48"/>
      <c r="I117" s="48"/>
      <c r="J117" s="48"/>
      <c r="K117" s="12"/>
    </row>
    <row r="118" spans="1:11" ht="21">
      <c r="A118">
        <f t="shared" si="3"/>
        <v>115</v>
      </c>
      <c r="B118" s="60">
        <f t="shared" si="4"/>
        <v>200611115</v>
      </c>
      <c r="C118" s="22" t="s">
        <v>13</v>
      </c>
      <c r="D118" s="45">
        <v>2830</v>
      </c>
      <c r="E118" s="52">
        <v>81.5</v>
      </c>
      <c r="F118" s="34">
        <v>115</v>
      </c>
      <c r="G118" s="73" t="str">
        <f>"*"&amp;Tabla1[[#This Row],[Codigo de barras]]&amp;"*"</f>
        <v>*200611115*</v>
      </c>
      <c r="H118" s="48"/>
      <c r="I118" s="48"/>
      <c r="J118" s="48"/>
      <c r="K118" s="12"/>
    </row>
    <row r="119" spans="1:11" ht="21">
      <c r="A119">
        <f t="shared" si="3"/>
        <v>116</v>
      </c>
      <c r="B119" s="60">
        <f t="shared" si="4"/>
        <v>200611116</v>
      </c>
      <c r="C119" s="22" t="s">
        <v>13</v>
      </c>
      <c r="D119" s="45">
        <v>2830</v>
      </c>
      <c r="E119" s="52">
        <v>77.400000000000006</v>
      </c>
      <c r="F119" s="34">
        <v>116</v>
      </c>
      <c r="G119" s="73" t="str">
        <f>"*"&amp;Tabla1[[#This Row],[Codigo de barras]]&amp;"*"</f>
        <v>*200611116*</v>
      </c>
      <c r="H119" s="48"/>
      <c r="I119" s="48"/>
      <c r="J119" s="48"/>
      <c r="K119" s="12"/>
    </row>
    <row r="120" spans="1:11" ht="21">
      <c r="A120">
        <f t="shared" si="3"/>
        <v>117</v>
      </c>
      <c r="B120" s="60">
        <f t="shared" si="4"/>
        <v>200611117</v>
      </c>
      <c r="C120" s="22" t="s">
        <v>13</v>
      </c>
      <c r="D120" s="45">
        <v>2879</v>
      </c>
      <c r="E120" s="52">
        <v>81.5</v>
      </c>
      <c r="F120" s="34">
        <v>117</v>
      </c>
      <c r="G120" s="73" t="str">
        <f>"*"&amp;Tabla1[[#This Row],[Codigo de barras]]&amp;"*"</f>
        <v>*200611117*</v>
      </c>
      <c r="H120" s="48"/>
      <c r="I120" s="48"/>
      <c r="J120" s="48"/>
      <c r="K120" s="12"/>
    </row>
    <row r="121" spans="1:11" ht="21">
      <c r="A121">
        <f t="shared" si="3"/>
        <v>118</v>
      </c>
      <c r="B121" s="60">
        <f t="shared" si="4"/>
        <v>200611118</v>
      </c>
      <c r="C121" s="22" t="s">
        <v>13</v>
      </c>
      <c r="D121" s="45">
        <v>2798</v>
      </c>
      <c r="E121" s="52">
        <v>81.8</v>
      </c>
      <c r="F121" s="34">
        <v>118</v>
      </c>
      <c r="G121" s="73" t="str">
        <f>"*"&amp;Tabla1[[#This Row],[Codigo de barras]]&amp;"*"</f>
        <v>*200611118*</v>
      </c>
      <c r="H121" s="48"/>
      <c r="I121" s="48"/>
      <c r="J121" s="48"/>
      <c r="K121" s="12"/>
    </row>
    <row r="122" spans="1:11" ht="21">
      <c r="A122">
        <f t="shared" si="3"/>
        <v>119</v>
      </c>
      <c r="B122" s="60">
        <f t="shared" si="4"/>
        <v>200611119</v>
      </c>
      <c r="C122" s="22" t="s">
        <v>13</v>
      </c>
      <c r="D122" s="45">
        <v>2799</v>
      </c>
      <c r="E122" s="52">
        <v>81.3</v>
      </c>
      <c r="F122" s="34">
        <v>119</v>
      </c>
      <c r="G122" s="73" t="str">
        <f>"*"&amp;Tabla1[[#This Row],[Codigo de barras]]&amp;"*"</f>
        <v>*200611119*</v>
      </c>
      <c r="H122" s="48"/>
      <c r="I122" s="48"/>
      <c r="J122" s="48"/>
      <c r="K122" s="12"/>
    </row>
    <row r="123" spans="1:11" ht="21">
      <c r="A123">
        <f t="shared" si="3"/>
        <v>120</v>
      </c>
      <c r="B123" s="60">
        <f t="shared" si="4"/>
        <v>200611120</v>
      </c>
      <c r="C123" s="22" t="s">
        <v>13</v>
      </c>
      <c r="D123" s="45">
        <v>2828</v>
      </c>
      <c r="E123" s="52">
        <v>81.8</v>
      </c>
      <c r="F123" s="34">
        <v>120</v>
      </c>
      <c r="G123" s="73" t="str">
        <f>"*"&amp;Tabla1[[#This Row],[Codigo de barras]]&amp;"*"</f>
        <v>*200611120*</v>
      </c>
      <c r="H123" s="48"/>
      <c r="I123" s="48"/>
      <c r="J123" s="48"/>
      <c r="K123" s="12"/>
    </row>
    <row r="124" spans="1:11" ht="21">
      <c r="A124">
        <f t="shared" si="3"/>
        <v>121</v>
      </c>
      <c r="B124" s="60">
        <f t="shared" si="4"/>
        <v>200611121</v>
      </c>
      <c r="C124" s="22" t="s">
        <v>13</v>
      </c>
      <c r="D124" s="45">
        <v>2834</v>
      </c>
      <c r="E124" s="52">
        <v>80.099999999999994</v>
      </c>
      <c r="F124" s="34">
        <v>121</v>
      </c>
      <c r="G124" s="73" t="str">
        <f>"*"&amp;Tabla1[[#This Row],[Codigo de barras]]&amp;"*"</f>
        <v>*200611121*</v>
      </c>
      <c r="H124" s="48"/>
      <c r="I124" s="48"/>
      <c r="J124" s="48"/>
      <c r="K124" s="12"/>
    </row>
    <row r="125" spans="1:11" ht="21">
      <c r="A125">
        <f t="shared" si="3"/>
        <v>122</v>
      </c>
      <c r="B125" s="60">
        <f t="shared" si="4"/>
        <v>200611122</v>
      </c>
      <c r="C125" s="22" t="s">
        <v>13</v>
      </c>
      <c r="D125" s="45">
        <v>2834</v>
      </c>
      <c r="E125" s="52">
        <v>81</v>
      </c>
      <c r="F125" s="34">
        <v>122</v>
      </c>
      <c r="G125" s="73" t="str">
        <f>"*"&amp;Tabla1[[#This Row],[Codigo de barras]]&amp;"*"</f>
        <v>*200611122*</v>
      </c>
      <c r="H125" s="48"/>
      <c r="I125" s="48"/>
      <c r="J125" s="48"/>
      <c r="K125" s="12"/>
    </row>
    <row r="126" spans="1:11" ht="21">
      <c r="A126">
        <f t="shared" si="3"/>
        <v>123</v>
      </c>
      <c r="B126" s="60">
        <f t="shared" si="4"/>
        <v>200611123</v>
      </c>
      <c r="C126" s="22" t="s">
        <v>13</v>
      </c>
      <c r="D126" s="45">
        <v>2834</v>
      </c>
      <c r="E126" s="52">
        <v>81</v>
      </c>
      <c r="F126" s="34">
        <v>123</v>
      </c>
      <c r="G126" s="73" t="str">
        <f>"*"&amp;Tabla1[[#This Row],[Codigo de barras]]&amp;"*"</f>
        <v>*200611123*</v>
      </c>
      <c r="H126" s="48"/>
      <c r="I126" s="48"/>
      <c r="J126" s="48"/>
      <c r="K126" s="12"/>
    </row>
    <row r="127" spans="1:11" ht="21">
      <c r="A127">
        <f t="shared" si="3"/>
        <v>124</v>
      </c>
      <c r="B127" s="60">
        <f t="shared" si="4"/>
        <v>200611124</v>
      </c>
      <c r="C127" s="22" t="s">
        <v>13</v>
      </c>
      <c r="D127" s="45">
        <v>2827</v>
      </c>
      <c r="E127" s="52">
        <v>80.900000000000006</v>
      </c>
      <c r="F127" s="34">
        <v>124</v>
      </c>
      <c r="G127" s="73" t="str">
        <f>"*"&amp;Tabla1[[#This Row],[Codigo de barras]]&amp;"*"</f>
        <v>*200611124*</v>
      </c>
      <c r="H127" s="48"/>
      <c r="I127" s="48"/>
      <c r="J127" s="48"/>
      <c r="K127" s="12"/>
    </row>
    <row r="128" spans="1:11" ht="21">
      <c r="A128">
        <f t="shared" si="3"/>
        <v>125</v>
      </c>
      <c r="B128" s="60">
        <f t="shared" si="4"/>
        <v>200611125</v>
      </c>
      <c r="C128" s="22" t="s">
        <v>13</v>
      </c>
      <c r="D128" s="45">
        <v>2950</v>
      </c>
      <c r="E128" s="52">
        <v>84.8</v>
      </c>
      <c r="F128" s="34">
        <v>125</v>
      </c>
      <c r="G128" s="73" t="str">
        <f>"*"&amp;Tabla1[[#This Row],[Codigo de barras]]&amp;"*"</f>
        <v>*200611125*</v>
      </c>
      <c r="H128" s="48"/>
      <c r="I128" s="48"/>
      <c r="J128" s="48"/>
      <c r="K128" s="12"/>
    </row>
    <row r="129" spans="1:11" ht="21">
      <c r="A129">
        <f t="shared" si="3"/>
        <v>126</v>
      </c>
      <c r="B129" s="60">
        <f t="shared" si="4"/>
        <v>200611126</v>
      </c>
      <c r="C129" s="22" t="s">
        <v>13</v>
      </c>
      <c r="D129" s="45">
        <v>2827</v>
      </c>
      <c r="E129" s="52">
        <v>80.900000000000006</v>
      </c>
      <c r="F129" s="34">
        <v>126</v>
      </c>
      <c r="G129" s="73" t="str">
        <f>"*"&amp;Tabla1[[#This Row],[Codigo de barras]]&amp;"*"</f>
        <v>*200611126*</v>
      </c>
      <c r="H129" s="48"/>
      <c r="I129" s="48"/>
      <c r="J129" s="48"/>
      <c r="K129" s="12"/>
    </row>
    <row r="130" spans="1:11" ht="21">
      <c r="A130">
        <f t="shared" si="3"/>
        <v>127</v>
      </c>
      <c r="B130" s="60">
        <f t="shared" si="4"/>
        <v>200611127</v>
      </c>
      <c r="C130" s="22" t="s">
        <v>13</v>
      </c>
      <c r="D130" s="45">
        <v>2855</v>
      </c>
      <c r="E130" s="52">
        <v>79.400000000000006</v>
      </c>
      <c r="F130" s="34">
        <v>127</v>
      </c>
      <c r="G130" s="73" t="str">
        <f>"*"&amp;Tabla1[[#This Row],[Codigo de barras]]&amp;"*"</f>
        <v>*200611127*</v>
      </c>
      <c r="H130" s="48"/>
      <c r="I130" s="48"/>
      <c r="J130" s="48"/>
      <c r="K130" s="12"/>
    </row>
    <row r="131" spans="1:11" ht="21">
      <c r="A131">
        <f t="shared" si="3"/>
        <v>128</v>
      </c>
      <c r="B131" s="60">
        <f t="shared" si="4"/>
        <v>200611128</v>
      </c>
      <c r="C131" s="22" t="s">
        <v>13</v>
      </c>
      <c r="D131" s="45">
        <v>2701</v>
      </c>
      <c r="E131" s="52">
        <v>76.5</v>
      </c>
      <c r="F131" s="34">
        <v>128</v>
      </c>
      <c r="G131" s="73" t="str">
        <f>"*"&amp;Tabla1[[#This Row],[Codigo de barras]]&amp;"*"</f>
        <v>*200611128*</v>
      </c>
      <c r="H131" s="48"/>
      <c r="I131" s="48"/>
      <c r="J131" s="48"/>
      <c r="K131" s="12"/>
    </row>
    <row r="132" spans="1:11" ht="21">
      <c r="A132">
        <f t="shared" si="3"/>
        <v>129</v>
      </c>
      <c r="B132" s="60">
        <f t="shared" si="4"/>
        <v>200611129</v>
      </c>
      <c r="C132" s="22" t="s">
        <v>13</v>
      </c>
      <c r="D132" s="45">
        <v>2701</v>
      </c>
      <c r="E132" s="52">
        <v>76.400000000000006</v>
      </c>
      <c r="F132" s="34">
        <v>129</v>
      </c>
      <c r="G132" s="73" t="str">
        <f>"*"&amp;Tabla1[[#This Row],[Codigo de barras]]&amp;"*"</f>
        <v>*200611129*</v>
      </c>
      <c r="H132" s="48"/>
      <c r="I132" s="48"/>
      <c r="J132" s="48"/>
      <c r="K132" s="12"/>
    </row>
    <row r="133" spans="1:11" ht="21">
      <c r="A133">
        <f t="shared" si="3"/>
        <v>130</v>
      </c>
      <c r="B133" s="60">
        <f t="shared" si="4"/>
        <v>200611130</v>
      </c>
      <c r="C133" s="22" t="s">
        <v>13</v>
      </c>
      <c r="D133" s="45">
        <v>2936</v>
      </c>
      <c r="E133" s="52">
        <v>85</v>
      </c>
      <c r="F133" s="34">
        <v>130</v>
      </c>
      <c r="G133" s="73" t="str">
        <f>"*"&amp;Tabla1[[#This Row],[Codigo de barras]]&amp;"*"</f>
        <v>*200611130*</v>
      </c>
      <c r="H133" s="48"/>
      <c r="I133" s="48"/>
      <c r="J133" s="48"/>
      <c r="K133" s="12"/>
    </row>
    <row r="134" spans="1:11" ht="21">
      <c r="A134">
        <f t="shared" ref="A134:B197" si="5">+A133+1</f>
        <v>131</v>
      </c>
      <c r="B134" s="60">
        <f t="shared" si="4"/>
        <v>200611131</v>
      </c>
      <c r="C134" s="22" t="s">
        <v>13</v>
      </c>
      <c r="D134" s="45">
        <v>2826</v>
      </c>
      <c r="E134" s="52">
        <v>81.099999999999994</v>
      </c>
      <c r="F134" s="34">
        <v>131</v>
      </c>
      <c r="G134" s="73" t="str">
        <f>"*"&amp;Tabla1[[#This Row],[Codigo de barras]]&amp;"*"</f>
        <v>*200611131*</v>
      </c>
      <c r="H134" s="48"/>
      <c r="I134" s="48"/>
      <c r="J134" s="48"/>
      <c r="K134" s="12"/>
    </row>
    <row r="135" spans="1:11" ht="21">
      <c r="A135">
        <f t="shared" si="5"/>
        <v>132</v>
      </c>
      <c r="B135" s="60">
        <f t="shared" si="4"/>
        <v>200611132</v>
      </c>
      <c r="C135" s="22" t="s">
        <v>13</v>
      </c>
      <c r="D135" s="45">
        <v>2826</v>
      </c>
      <c r="E135" s="52">
        <v>82.1</v>
      </c>
      <c r="F135" s="34">
        <v>132</v>
      </c>
      <c r="G135" s="73" t="str">
        <f>"*"&amp;Tabla1[[#This Row],[Codigo de barras]]&amp;"*"</f>
        <v>*200611132*</v>
      </c>
      <c r="H135" s="48"/>
      <c r="I135" s="48"/>
      <c r="J135" s="48"/>
      <c r="K135" s="12"/>
    </row>
    <row r="136" spans="1:11" ht="21">
      <c r="A136">
        <f t="shared" si="5"/>
        <v>133</v>
      </c>
      <c r="B136" s="60">
        <f t="shared" si="4"/>
        <v>200611133</v>
      </c>
      <c r="C136" s="22" t="s">
        <v>13</v>
      </c>
      <c r="D136" s="45">
        <v>2853</v>
      </c>
      <c r="E136" s="52">
        <v>83.1</v>
      </c>
      <c r="F136" s="34">
        <v>133</v>
      </c>
      <c r="G136" s="73" t="str">
        <f>"*"&amp;Tabla1[[#This Row],[Codigo de barras]]&amp;"*"</f>
        <v>*200611133*</v>
      </c>
      <c r="H136" s="48"/>
      <c r="I136" s="48"/>
      <c r="J136" s="48"/>
      <c r="K136" s="12"/>
    </row>
    <row r="137" spans="1:11" ht="21">
      <c r="A137">
        <f t="shared" si="5"/>
        <v>134</v>
      </c>
      <c r="B137" s="60">
        <f t="shared" si="4"/>
        <v>200611134</v>
      </c>
      <c r="C137" s="22" t="s">
        <v>13</v>
      </c>
      <c r="D137" s="45">
        <v>2838</v>
      </c>
      <c r="E137" s="52">
        <v>81.2</v>
      </c>
      <c r="F137" s="34">
        <v>134</v>
      </c>
      <c r="G137" s="73" t="str">
        <f>"*"&amp;Tabla1[[#This Row],[Codigo de barras]]&amp;"*"</f>
        <v>*200611134*</v>
      </c>
      <c r="H137" s="48"/>
      <c r="I137" s="48"/>
      <c r="J137" s="48"/>
      <c r="K137" s="12"/>
    </row>
    <row r="138" spans="1:11" ht="21">
      <c r="A138">
        <f t="shared" si="5"/>
        <v>135</v>
      </c>
      <c r="B138" s="60">
        <f t="shared" si="5"/>
        <v>200611135</v>
      </c>
      <c r="C138" s="22" t="s">
        <v>13</v>
      </c>
      <c r="D138" s="45">
        <v>2850</v>
      </c>
      <c r="E138" s="52">
        <v>78.599999999999994</v>
      </c>
      <c r="F138" s="34">
        <v>135</v>
      </c>
      <c r="G138" s="73" t="str">
        <f>"*"&amp;Tabla1[[#This Row],[Codigo de barras]]&amp;"*"</f>
        <v>*200611135*</v>
      </c>
      <c r="H138" s="48"/>
      <c r="I138" s="48"/>
      <c r="J138" s="48"/>
      <c r="K138" s="12"/>
    </row>
    <row r="139" spans="1:11" ht="21">
      <c r="A139">
        <f t="shared" si="5"/>
        <v>136</v>
      </c>
      <c r="B139" s="60">
        <f t="shared" si="5"/>
        <v>200611136</v>
      </c>
      <c r="C139" s="22" t="s">
        <v>13</v>
      </c>
      <c r="D139" s="45">
        <v>2853</v>
      </c>
      <c r="E139" s="52">
        <v>83.5</v>
      </c>
      <c r="F139" s="34">
        <v>136</v>
      </c>
      <c r="G139" s="73" t="str">
        <f>"*"&amp;Tabla1[[#This Row],[Codigo de barras]]&amp;"*"</f>
        <v>*200611136*</v>
      </c>
      <c r="H139" s="48"/>
      <c r="I139" s="48"/>
      <c r="J139" s="48"/>
      <c r="K139" s="12"/>
    </row>
    <row r="140" spans="1:11" ht="21">
      <c r="A140">
        <f t="shared" si="5"/>
        <v>137</v>
      </c>
      <c r="B140" s="60">
        <f t="shared" si="5"/>
        <v>200611137</v>
      </c>
      <c r="C140" s="22" t="s">
        <v>13</v>
      </c>
      <c r="D140" s="45">
        <v>2815</v>
      </c>
      <c r="E140" s="52">
        <v>81.8</v>
      </c>
      <c r="F140" s="34">
        <v>137</v>
      </c>
      <c r="G140" s="73" t="str">
        <f>"*"&amp;Tabla1[[#This Row],[Codigo de barras]]&amp;"*"</f>
        <v>*200611137*</v>
      </c>
      <c r="H140" s="48"/>
      <c r="I140" s="48"/>
      <c r="J140" s="48"/>
      <c r="K140" s="12"/>
    </row>
    <row r="141" spans="1:11" ht="21">
      <c r="A141">
        <f t="shared" si="5"/>
        <v>138</v>
      </c>
      <c r="B141" s="60">
        <f t="shared" si="5"/>
        <v>200611138</v>
      </c>
      <c r="C141" s="22" t="s">
        <v>13</v>
      </c>
      <c r="D141" s="45">
        <v>2889</v>
      </c>
      <c r="E141" s="52">
        <v>84.3</v>
      </c>
      <c r="F141" s="34">
        <v>138</v>
      </c>
      <c r="G141" s="73" t="str">
        <f>"*"&amp;Tabla1[[#This Row],[Codigo de barras]]&amp;"*"</f>
        <v>*200611138*</v>
      </c>
      <c r="H141" s="48"/>
      <c r="I141" s="48"/>
      <c r="J141" s="48"/>
      <c r="K141" s="12"/>
    </row>
    <row r="142" spans="1:11" ht="21">
      <c r="A142">
        <f t="shared" si="5"/>
        <v>139</v>
      </c>
      <c r="B142" s="60">
        <f t="shared" si="5"/>
        <v>200611139</v>
      </c>
      <c r="C142" s="22" t="s">
        <v>13</v>
      </c>
      <c r="D142" s="45">
        <v>2821</v>
      </c>
      <c r="E142" s="52">
        <v>79.7</v>
      </c>
      <c r="F142" s="34">
        <v>139</v>
      </c>
      <c r="G142" s="73" t="str">
        <f>"*"&amp;Tabla1[[#This Row],[Codigo de barras]]&amp;"*"</f>
        <v>*200611139*</v>
      </c>
      <c r="H142" s="48"/>
      <c r="I142" s="48"/>
      <c r="J142" s="48"/>
      <c r="K142" s="12"/>
    </row>
    <row r="143" spans="1:11" ht="21">
      <c r="A143">
        <f t="shared" si="5"/>
        <v>140</v>
      </c>
      <c r="B143" s="60">
        <f t="shared" si="5"/>
        <v>200611140</v>
      </c>
      <c r="C143" s="22" t="s">
        <v>13</v>
      </c>
      <c r="D143" s="45">
        <v>2855</v>
      </c>
      <c r="E143" s="52">
        <v>80.3</v>
      </c>
      <c r="F143" s="34">
        <v>140</v>
      </c>
      <c r="G143" s="73" t="str">
        <f>"*"&amp;Tabla1[[#This Row],[Codigo de barras]]&amp;"*"</f>
        <v>*200611140*</v>
      </c>
      <c r="H143" s="48"/>
      <c r="I143" s="48"/>
      <c r="J143" s="48"/>
      <c r="K143" s="12"/>
    </row>
    <row r="144" spans="1:11" ht="21">
      <c r="A144">
        <f t="shared" si="5"/>
        <v>141</v>
      </c>
      <c r="B144" s="60">
        <f t="shared" si="5"/>
        <v>200611141</v>
      </c>
      <c r="C144" s="22" t="s">
        <v>13</v>
      </c>
      <c r="D144" s="45">
        <v>2879</v>
      </c>
      <c r="E144" s="52">
        <v>81.400000000000006</v>
      </c>
      <c r="F144" s="34">
        <v>141</v>
      </c>
      <c r="G144" s="73" t="str">
        <f>"*"&amp;Tabla1[[#This Row],[Codigo de barras]]&amp;"*"</f>
        <v>*200611141*</v>
      </c>
      <c r="H144" s="48"/>
      <c r="I144" s="48"/>
      <c r="J144" s="48"/>
      <c r="K144" s="12"/>
    </row>
    <row r="145" spans="1:11" ht="21">
      <c r="A145">
        <f t="shared" si="5"/>
        <v>142</v>
      </c>
      <c r="B145" s="60">
        <f t="shared" si="5"/>
        <v>200611142</v>
      </c>
      <c r="C145" s="22" t="s">
        <v>13</v>
      </c>
      <c r="D145" s="45">
        <v>2818</v>
      </c>
      <c r="E145" s="52">
        <v>78.599999999999994</v>
      </c>
      <c r="F145" s="34">
        <v>142</v>
      </c>
      <c r="G145" s="73" t="str">
        <f>"*"&amp;Tabla1[[#This Row],[Codigo de barras]]&amp;"*"</f>
        <v>*200611142*</v>
      </c>
      <c r="H145" s="48"/>
      <c r="I145" s="48"/>
      <c r="J145" s="48"/>
      <c r="K145" s="12"/>
    </row>
    <row r="146" spans="1:11" ht="21">
      <c r="A146">
        <f t="shared" si="5"/>
        <v>143</v>
      </c>
      <c r="B146" s="60">
        <f t="shared" si="5"/>
        <v>200611143</v>
      </c>
      <c r="C146" s="22" t="s">
        <v>13</v>
      </c>
      <c r="D146" s="45">
        <v>2889</v>
      </c>
      <c r="E146" s="52">
        <v>84.1</v>
      </c>
      <c r="F146" s="34">
        <v>143</v>
      </c>
      <c r="G146" s="73" t="str">
        <f>"*"&amp;Tabla1[[#This Row],[Codigo de barras]]&amp;"*"</f>
        <v>*200611143*</v>
      </c>
      <c r="H146" s="48"/>
      <c r="I146" s="48"/>
      <c r="J146" s="48"/>
      <c r="K146" s="12"/>
    </row>
    <row r="147" spans="1:11" ht="21">
      <c r="A147">
        <f t="shared" si="5"/>
        <v>144</v>
      </c>
      <c r="B147" s="60">
        <f t="shared" si="5"/>
        <v>200611144</v>
      </c>
      <c r="C147" s="22" t="s">
        <v>13</v>
      </c>
      <c r="D147" s="45">
        <v>2821</v>
      </c>
      <c r="E147" s="52">
        <v>80.3</v>
      </c>
      <c r="F147" s="34">
        <v>144</v>
      </c>
      <c r="G147" s="73" t="str">
        <f>"*"&amp;Tabla1[[#This Row],[Codigo de barras]]&amp;"*"</f>
        <v>*200611144*</v>
      </c>
      <c r="H147" s="48"/>
      <c r="I147" s="48"/>
      <c r="J147" s="48"/>
      <c r="K147" s="12"/>
    </row>
    <row r="148" spans="1:11" ht="21">
      <c r="A148">
        <f t="shared" si="5"/>
        <v>145</v>
      </c>
      <c r="B148" s="60">
        <f t="shared" si="5"/>
        <v>200611145</v>
      </c>
      <c r="C148" s="22" t="s">
        <v>13</v>
      </c>
      <c r="D148" s="45">
        <v>2838</v>
      </c>
      <c r="E148" s="52">
        <v>82.3</v>
      </c>
      <c r="F148" s="34">
        <v>145</v>
      </c>
      <c r="G148" s="73" t="str">
        <f>"*"&amp;Tabla1[[#This Row],[Codigo de barras]]&amp;"*"</f>
        <v>*200611145*</v>
      </c>
      <c r="H148" s="48"/>
      <c r="I148" s="48"/>
      <c r="J148" s="48"/>
      <c r="K148" s="12"/>
    </row>
    <row r="149" spans="1:11" ht="21">
      <c r="A149">
        <f t="shared" si="5"/>
        <v>146</v>
      </c>
      <c r="B149" s="60">
        <f t="shared" si="5"/>
        <v>200611146</v>
      </c>
      <c r="C149" s="22" t="s">
        <v>13</v>
      </c>
      <c r="D149" s="45">
        <v>2818</v>
      </c>
      <c r="E149" s="52">
        <v>79</v>
      </c>
      <c r="F149" s="34">
        <v>146</v>
      </c>
      <c r="G149" s="73" t="str">
        <f>"*"&amp;Tabla1[[#This Row],[Codigo de barras]]&amp;"*"</f>
        <v>*200611146*</v>
      </c>
      <c r="H149" s="48"/>
      <c r="I149" s="48"/>
      <c r="J149" s="48"/>
      <c r="K149" s="12"/>
    </row>
    <row r="150" spans="1:11" ht="21">
      <c r="A150">
        <f t="shared" si="5"/>
        <v>147</v>
      </c>
      <c r="B150" s="60">
        <f t="shared" si="5"/>
        <v>200611147</v>
      </c>
      <c r="C150" s="22" t="s">
        <v>13</v>
      </c>
      <c r="D150" s="45">
        <v>2822</v>
      </c>
      <c r="E150" s="52">
        <v>80.099999999999994</v>
      </c>
      <c r="F150" s="34">
        <v>147</v>
      </c>
      <c r="G150" s="73" t="str">
        <f>"*"&amp;Tabla1[[#This Row],[Codigo de barras]]&amp;"*"</f>
        <v>*200611147*</v>
      </c>
      <c r="H150" s="48"/>
      <c r="I150" s="48"/>
      <c r="J150" s="48"/>
      <c r="K150" s="12"/>
    </row>
    <row r="151" spans="1:11" ht="21">
      <c r="A151">
        <f t="shared" si="5"/>
        <v>148</v>
      </c>
      <c r="B151" s="60">
        <f t="shared" si="5"/>
        <v>200611148</v>
      </c>
      <c r="C151" s="22" t="s">
        <v>13</v>
      </c>
      <c r="D151" s="45">
        <v>2822</v>
      </c>
      <c r="E151" s="52">
        <v>80.7</v>
      </c>
      <c r="F151" s="34">
        <v>148</v>
      </c>
      <c r="G151" s="73" t="str">
        <f>"*"&amp;Tabla1[[#This Row],[Codigo de barras]]&amp;"*"</f>
        <v>*200611148*</v>
      </c>
      <c r="H151" s="48"/>
      <c r="I151" s="48"/>
      <c r="J151" s="48"/>
      <c r="K151" s="12"/>
    </row>
    <row r="152" spans="1:11" ht="21">
      <c r="A152">
        <f t="shared" si="5"/>
        <v>149</v>
      </c>
      <c r="B152" s="60">
        <f t="shared" si="5"/>
        <v>200611149</v>
      </c>
      <c r="C152" s="22" t="s">
        <v>13</v>
      </c>
      <c r="D152" s="45">
        <v>2813</v>
      </c>
      <c r="E152" s="52">
        <v>79.599999999999994</v>
      </c>
      <c r="F152" s="34">
        <v>149</v>
      </c>
      <c r="G152" s="73" t="str">
        <f>"*"&amp;Tabla1[[#This Row],[Codigo de barras]]&amp;"*"</f>
        <v>*200611149*</v>
      </c>
      <c r="H152" s="48"/>
      <c r="I152" s="48"/>
      <c r="J152" s="48"/>
      <c r="K152" s="12"/>
    </row>
    <row r="153" spans="1:11" ht="21">
      <c r="A153">
        <f t="shared" si="5"/>
        <v>150</v>
      </c>
      <c r="B153" s="60">
        <f t="shared" si="5"/>
        <v>200611150</v>
      </c>
      <c r="C153" s="22" t="s">
        <v>13</v>
      </c>
      <c r="D153" s="47">
        <v>2813</v>
      </c>
      <c r="E153" s="54">
        <v>80.900000000000006</v>
      </c>
      <c r="F153" s="34">
        <v>150</v>
      </c>
      <c r="G153" s="74" t="str">
        <f>"*"&amp;Tabla1[[#This Row],[Codigo de barras]]&amp;"*"</f>
        <v>*200611150*</v>
      </c>
      <c r="H153" s="48"/>
      <c r="I153" s="48"/>
      <c r="J153" s="48"/>
      <c r="K153" s="12"/>
    </row>
    <row r="154" spans="1:11" ht="21">
      <c r="A154">
        <f t="shared" si="5"/>
        <v>151</v>
      </c>
      <c r="B154" s="61">
        <v>200677001</v>
      </c>
      <c r="C154" s="46" t="s">
        <v>23</v>
      </c>
      <c r="D154" s="57">
        <v>2818</v>
      </c>
      <c r="E154" s="56">
        <v>89.3</v>
      </c>
      <c r="F154" s="34">
        <v>1</v>
      </c>
      <c r="G154" s="74" t="str">
        <f>"*"&amp;Tabla1[[#This Row],[Codigo de barras]]&amp;"*"</f>
        <v>*200677001*</v>
      </c>
    </row>
    <row r="155" spans="1:11" ht="21">
      <c r="A155">
        <f t="shared" si="5"/>
        <v>152</v>
      </c>
      <c r="B155" s="61">
        <f>+B154+1</f>
        <v>200677002</v>
      </c>
      <c r="C155" s="46" t="s">
        <v>23</v>
      </c>
      <c r="D155" s="57">
        <v>2818</v>
      </c>
      <c r="E155" s="56">
        <v>89.7</v>
      </c>
      <c r="F155" s="34">
        <v>2</v>
      </c>
      <c r="G155" s="74" t="str">
        <f>"*"&amp;Tabla1[[#This Row],[Codigo de barras]]&amp;"*"</f>
        <v>*200677002*</v>
      </c>
    </row>
    <row r="156" spans="1:11" ht="21">
      <c r="A156">
        <f t="shared" si="5"/>
        <v>153</v>
      </c>
      <c r="B156" s="61">
        <f t="shared" ref="B156:B158" si="6">+B155+1</f>
        <v>200677003</v>
      </c>
      <c r="C156" s="46" t="s">
        <v>23</v>
      </c>
      <c r="D156" s="57">
        <v>2867</v>
      </c>
      <c r="E156" s="56">
        <v>88.7</v>
      </c>
      <c r="F156" s="34">
        <v>3</v>
      </c>
      <c r="G156" s="74" t="str">
        <f>"*"&amp;Tabla1[[#This Row],[Codigo de barras]]&amp;"*"</f>
        <v>*200677003*</v>
      </c>
    </row>
    <row r="157" spans="1:11" ht="21">
      <c r="A157">
        <f t="shared" si="5"/>
        <v>154</v>
      </c>
      <c r="B157" s="61">
        <f t="shared" si="6"/>
        <v>200677004</v>
      </c>
      <c r="C157" s="46" t="s">
        <v>23</v>
      </c>
      <c r="D157" s="57">
        <v>2830</v>
      </c>
      <c r="E157" s="56">
        <v>91.3</v>
      </c>
      <c r="F157" s="34">
        <v>4</v>
      </c>
      <c r="G157" s="74" t="str">
        <f>"*"&amp;Tabla1[[#This Row],[Codigo de barras]]&amp;"*"</f>
        <v>*200677004*</v>
      </c>
    </row>
    <row r="158" spans="1:11" ht="21">
      <c r="A158">
        <f t="shared" si="5"/>
        <v>155</v>
      </c>
      <c r="B158" s="61">
        <f t="shared" si="6"/>
        <v>200677005</v>
      </c>
      <c r="C158" s="46" t="s">
        <v>23</v>
      </c>
      <c r="D158" s="45">
        <v>2856</v>
      </c>
      <c r="E158" s="56">
        <v>91.8</v>
      </c>
      <c r="F158" s="34">
        <v>5</v>
      </c>
      <c r="G158" s="74" t="str">
        <f>"*"&amp;Tabla1[[#This Row],[Codigo de barras]]&amp;"*"</f>
        <v>*200677005*</v>
      </c>
    </row>
    <row r="159" spans="1:11" ht="21">
      <c r="A159">
        <f t="shared" si="5"/>
        <v>156</v>
      </c>
      <c r="B159" s="61">
        <f t="shared" ref="B159:B222" si="7">+B158+1</f>
        <v>200677006</v>
      </c>
      <c r="C159" s="46" t="s">
        <v>23</v>
      </c>
      <c r="D159" s="45">
        <v>2897</v>
      </c>
      <c r="E159" s="56">
        <v>92.8</v>
      </c>
      <c r="F159" s="34">
        <v>6</v>
      </c>
      <c r="G159" s="74" t="str">
        <f>"*"&amp;Tabla1[[#This Row],[Codigo de barras]]&amp;"*"</f>
        <v>*200677006*</v>
      </c>
    </row>
    <row r="160" spans="1:11" ht="21">
      <c r="A160">
        <f t="shared" si="5"/>
        <v>157</v>
      </c>
      <c r="B160" s="61">
        <f t="shared" si="7"/>
        <v>200677007</v>
      </c>
      <c r="C160" s="46" t="s">
        <v>23</v>
      </c>
      <c r="D160" s="45">
        <v>2830</v>
      </c>
      <c r="E160" s="56">
        <v>96.1</v>
      </c>
      <c r="F160" s="34">
        <v>7</v>
      </c>
      <c r="G160" s="74" t="str">
        <f>"*"&amp;Tabla1[[#This Row],[Codigo de barras]]&amp;"*"</f>
        <v>*200677007*</v>
      </c>
    </row>
    <row r="161" spans="1:7" ht="21">
      <c r="A161">
        <f t="shared" si="5"/>
        <v>158</v>
      </c>
      <c r="B161" s="61">
        <f t="shared" si="7"/>
        <v>200677008</v>
      </c>
      <c r="C161" s="46" t="s">
        <v>23</v>
      </c>
      <c r="D161" s="45">
        <v>2818</v>
      </c>
      <c r="E161" s="56">
        <v>89.6</v>
      </c>
      <c r="F161" s="34">
        <v>8</v>
      </c>
      <c r="G161" s="74" t="str">
        <f>"*"&amp;Tabla1[[#This Row],[Codigo de barras]]&amp;"*"</f>
        <v>*200677008*</v>
      </c>
    </row>
    <row r="162" spans="1:7" ht="21">
      <c r="A162">
        <f t="shared" si="5"/>
        <v>159</v>
      </c>
      <c r="B162" s="61">
        <f t="shared" si="7"/>
        <v>200677009</v>
      </c>
      <c r="C162" s="46" t="s">
        <v>23</v>
      </c>
      <c r="D162" s="45">
        <v>2897</v>
      </c>
      <c r="E162" s="56">
        <v>92</v>
      </c>
      <c r="F162" s="34">
        <v>9</v>
      </c>
      <c r="G162" s="74" t="str">
        <f>"*"&amp;Tabla1[[#This Row],[Codigo de barras]]&amp;"*"</f>
        <v>*200677009*</v>
      </c>
    </row>
    <row r="163" spans="1:7" ht="21">
      <c r="A163">
        <f t="shared" si="5"/>
        <v>160</v>
      </c>
      <c r="B163" s="61">
        <f t="shared" si="7"/>
        <v>200677010</v>
      </c>
      <c r="C163" s="46" t="s">
        <v>23</v>
      </c>
      <c r="D163" s="45">
        <v>2813</v>
      </c>
      <c r="E163" s="56">
        <v>90.1</v>
      </c>
      <c r="F163" s="34">
        <v>10</v>
      </c>
      <c r="G163" s="74" t="str">
        <f>"*"&amp;Tabla1[[#This Row],[Codigo de barras]]&amp;"*"</f>
        <v>*200677010*</v>
      </c>
    </row>
    <row r="164" spans="1:7" ht="21">
      <c r="A164">
        <f t="shared" si="5"/>
        <v>161</v>
      </c>
      <c r="B164" s="61">
        <f t="shared" si="7"/>
        <v>200677011</v>
      </c>
      <c r="C164" s="46" t="s">
        <v>23</v>
      </c>
      <c r="D164" s="45">
        <v>2930</v>
      </c>
      <c r="E164" s="56">
        <v>93.4</v>
      </c>
      <c r="F164" s="34">
        <v>11</v>
      </c>
      <c r="G164" s="74" t="str">
        <f>"*"&amp;Tabla1[[#This Row],[Codigo de barras]]&amp;"*"</f>
        <v>*200677011*</v>
      </c>
    </row>
    <row r="165" spans="1:7" ht="21">
      <c r="A165">
        <f t="shared" si="5"/>
        <v>162</v>
      </c>
      <c r="B165" s="61">
        <f t="shared" si="7"/>
        <v>200677012</v>
      </c>
      <c r="C165" s="46" t="s">
        <v>23</v>
      </c>
      <c r="D165" s="45">
        <v>2833</v>
      </c>
      <c r="E165" s="34">
        <v>91.4</v>
      </c>
      <c r="F165" s="34">
        <v>12</v>
      </c>
      <c r="G165" s="74" t="str">
        <f>"*"&amp;Tabla1[[#This Row],[Codigo de barras]]&amp;"*"</f>
        <v>*200677012*</v>
      </c>
    </row>
    <row r="166" spans="1:7" ht="21">
      <c r="A166">
        <f t="shared" si="5"/>
        <v>163</v>
      </c>
      <c r="B166" s="61">
        <f t="shared" si="7"/>
        <v>200677013</v>
      </c>
      <c r="C166" s="46" t="s">
        <v>23</v>
      </c>
      <c r="D166" s="45">
        <v>2856</v>
      </c>
      <c r="E166" s="34">
        <v>91.9</v>
      </c>
      <c r="F166" s="34">
        <v>13</v>
      </c>
      <c r="G166" s="74" t="str">
        <f>"*"&amp;Tabla1[[#This Row],[Codigo de barras]]&amp;"*"</f>
        <v>*200677013*</v>
      </c>
    </row>
    <row r="167" spans="1:7" ht="21">
      <c r="A167">
        <f t="shared" si="5"/>
        <v>164</v>
      </c>
      <c r="B167" s="61">
        <f t="shared" si="7"/>
        <v>200677014</v>
      </c>
      <c r="C167" s="46" t="s">
        <v>23</v>
      </c>
      <c r="D167" s="45">
        <v>2785</v>
      </c>
      <c r="E167" s="56">
        <v>90</v>
      </c>
      <c r="F167" s="34">
        <v>14</v>
      </c>
      <c r="G167" s="74" t="str">
        <f>"*"&amp;Tabla1[[#This Row],[Codigo de barras]]&amp;"*"</f>
        <v>*200677014*</v>
      </c>
    </row>
    <row r="168" spans="1:7" ht="21">
      <c r="A168">
        <f t="shared" si="5"/>
        <v>165</v>
      </c>
      <c r="B168" s="61">
        <f t="shared" si="7"/>
        <v>200677015</v>
      </c>
      <c r="C168" s="46" t="s">
        <v>23</v>
      </c>
      <c r="D168" s="45">
        <v>2813</v>
      </c>
      <c r="E168" s="56">
        <v>90</v>
      </c>
      <c r="F168" s="34">
        <v>15</v>
      </c>
      <c r="G168" s="74" t="str">
        <f>"*"&amp;Tabla1[[#This Row],[Codigo de barras]]&amp;"*"</f>
        <v>*200677015*</v>
      </c>
    </row>
    <row r="169" spans="1:7" ht="21">
      <c r="A169">
        <f t="shared" si="5"/>
        <v>166</v>
      </c>
      <c r="B169" s="61">
        <f t="shared" si="7"/>
        <v>200677016</v>
      </c>
      <c r="C169" s="46" t="s">
        <v>23</v>
      </c>
      <c r="D169" s="45">
        <v>2813</v>
      </c>
      <c r="E169" s="56">
        <v>90</v>
      </c>
      <c r="F169" s="34">
        <v>16</v>
      </c>
      <c r="G169" s="74" t="str">
        <f>"*"&amp;Tabla1[[#This Row],[Codigo de barras]]&amp;"*"</f>
        <v>*200677016*</v>
      </c>
    </row>
    <row r="170" spans="1:7" ht="21">
      <c r="A170">
        <f t="shared" si="5"/>
        <v>167</v>
      </c>
      <c r="B170" s="61">
        <f t="shared" si="7"/>
        <v>200677017</v>
      </c>
      <c r="C170" s="46" t="s">
        <v>23</v>
      </c>
      <c r="D170" s="45">
        <v>2930</v>
      </c>
      <c r="E170" s="56">
        <v>93.7</v>
      </c>
      <c r="F170" s="34">
        <v>17</v>
      </c>
      <c r="G170" s="74" t="str">
        <f>"*"&amp;Tabla1[[#This Row],[Codigo de barras]]&amp;"*"</f>
        <v>*200677017*</v>
      </c>
    </row>
    <row r="171" spans="1:7" ht="21">
      <c r="A171">
        <f t="shared" si="5"/>
        <v>168</v>
      </c>
      <c r="B171" s="61">
        <f t="shared" si="7"/>
        <v>200677018</v>
      </c>
      <c r="C171" s="46" t="s">
        <v>23</v>
      </c>
      <c r="D171" s="45">
        <v>2833</v>
      </c>
      <c r="E171" s="56">
        <v>90.6</v>
      </c>
      <c r="F171" s="34">
        <v>18</v>
      </c>
      <c r="G171" s="74" t="str">
        <f>"*"&amp;Tabla1[[#This Row],[Codigo de barras]]&amp;"*"</f>
        <v>*200677018*</v>
      </c>
    </row>
    <row r="172" spans="1:7" ht="21">
      <c r="A172">
        <f t="shared" si="5"/>
        <v>169</v>
      </c>
      <c r="B172" s="61">
        <f t="shared" si="7"/>
        <v>200677019</v>
      </c>
      <c r="C172" s="46" t="s">
        <v>23</v>
      </c>
      <c r="D172" s="45">
        <v>2849</v>
      </c>
      <c r="E172" s="56">
        <v>91.7</v>
      </c>
      <c r="F172" s="34">
        <v>19</v>
      </c>
      <c r="G172" s="74" t="str">
        <f>"*"&amp;Tabla1[[#This Row],[Codigo de barras]]&amp;"*"</f>
        <v>*200677019*</v>
      </c>
    </row>
    <row r="173" spans="1:7" ht="21">
      <c r="A173">
        <f t="shared" si="5"/>
        <v>170</v>
      </c>
      <c r="B173" s="61">
        <f t="shared" si="7"/>
        <v>200677020</v>
      </c>
      <c r="C173" s="46" t="s">
        <v>23</v>
      </c>
      <c r="D173" s="45">
        <v>2631</v>
      </c>
      <c r="E173" s="56">
        <v>84.3</v>
      </c>
      <c r="F173" s="34">
        <v>20</v>
      </c>
      <c r="G173" s="74" t="str">
        <f>"*"&amp;Tabla1[[#This Row],[Codigo de barras]]&amp;"*"</f>
        <v>*200677020*</v>
      </c>
    </row>
    <row r="174" spans="1:7" ht="21">
      <c r="A174">
        <f t="shared" si="5"/>
        <v>171</v>
      </c>
      <c r="B174" s="61">
        <f t="shared" si="7"/>
        <v>200677021</v>
      </c>
      <c r="C174" s="46" t="s">
        <v>23</v>
      </c>
      <c r="D174" s="45">
        <v>2631</v>
      </c>
      <c r="E174" s="56">
        <v>84.3</v>
      </c>
      <c r="F174" s="34">
        <v>21</v>
      </c>
      <c r="G174" s="74" t="str">
        <f>"*"&amp;Tabla1[[#This Row],[Codigo de barras]]&amp;"*"</f>
        <v>*200677021*</v>
      </c>
    </row>
    <row r="175" spans="1:7" ht="21">
      <c r="A175">
        <f t="shared" si="5"/>
        <v>172</v>
      </c>
      <c r="B175" s="61">
        <f t="shared" si="7"/>
        <v>200677022</v>
      </c>
      <c r="C175" s="46" t="s">
        <v>23</v>
      </c>
      <c r="D175" s="45">
        <v>2940</v>
      </c>
      <c r="E175" s="56">
        <v>91.7</v>
      </c>
      <c r="F175" s="34">
        <v>22</v>
      </c>
      <c r="G175" s="74" t="str">
        <f>"*"&amp;Tabla1[[#This Row],[Codigo de barras]]&amp;"*"</f>
        <v>*200677022*</v>
      </c>
    </row>
    <row r="176" spans="1:7" ht="21">
      <c r="A176">
        <f t="shared" si="5"/>
        <v>173</v>
      </c>
      <c r="B176" s="61">
        <f t="shared" si="7"/>
        <v>200677023</v>
      </c>
      <c r="C176" s="46" t="s">
        <v>23</v>
      </c>
      <c r="D176" s="45">
        <v>2801</v>
      </c>
      <c r="E176" s="56">
        <v>84.3</v>
      </c>
      <c r="F176" s="34">
        <v>23</v>
      </c>
      <c r="G176" s="74" t="str">
        <f>"*"&amp;Tabla1[[#This Row],[Codigo de barras]]&amp;"*"</f>
        <v>*200677023*</v>
      </c>
    </row>
    <row r="177" spans="1:7" ht="21">
      <c r="A177">
        <f t="shared" si="5"/>
        <v>174</v>
      </c>
      <c r="B177" s="61">
        <f t="shared" si="7"/>
        <v>200677024</v>
      </c>
      <c r="C177" s="46" t="s">
        <v>23</v>
      </c>
      <c r="D177" s="45">
        <v>2800</v>
      </c>
      <c r="E177" s="56">
        <v>84.5</v>
      </c>
      <c r="F177" s="34">
        <v>24</v>
      </c>
      <c r="G177" s="74" t="str">
        <f>"*"&amp;Tabla1[[#This Row],[Codigo de barras]]&amp;"*"</f>
        <v>*200677024*</v>
      </c>
    </row>
    <row r="178" spans="1:7" ht="21">
      <c r="A178">
        <f t="shared" si="5"/>
        <v>175</v>
      </c>
      <c r="B178" s="61">
        <f t="shared" si="7"/>
        <v>200677025</v>
      </c>
      <c r="C178" s="46" t="s">
        <v>23</v>
      </c>
      <c r="D178" s="45">
        <v>2796</v>
      </c>
      <c r="E178" s="56">
        <v>88.5</v>
      </c>
      <c r="F178" s="34">
        <v>25</v>
      </c>
      <c r="G178" s="74" t="str">
        <f>"*"&amp;Tabla1[[#This Row],[Codigo de barras]]&amp;"*"</f>
        <v>*200677025*</v>
      </c>
    </row>
    <row r="179" spans="1:7" ht="21">
      <c r="A179">
        <f t="shared" si="5"/>
        <v>176</v>
      </c>
      <c r="B179" s="61">
        <f t="shared" si="7"/>
        <v>200677026</v>
      </c>
      <c r="C179" s="46" t="s">
        <v>23</v>
      </c>
      <c r="D179" s="45">
        <v>2826</v>
      </c>
      <c r="E179" s="56">
        <v>91.4</v>
      </c>
      <c r="F179" s="34">
        <v>26</v>
      </c>
      <c r="G179" s="74" t="str">
        <f>"*"&amp;Tabla1[[#This Row],[Codigo de barras]]&amp;"*"</f>
        <v>*200677026*</v>
      </c>
    </row>
    <row r="180" spans="1:7" ht="21">
      <c r="A180">
        <f t="shared" si="5"/>
        <v>177</v>
      </c>
      <c r="B180" s="61">
        <f t="shared" si="7"/>
        <v>200677027</v>
      </c>
      <c r="C180" s="46" t="s">
        <v>23</v>
      </c>
      <c r="D180" s="45">
        <v>2796</v>
      </c>
      <c r="E180" s="56">
        <v>88</v>
      </c>
      <c r="F180" s="34">
        <v>27</v>
      </c>
      <c r="G180" s="74" t="str">
        <f>"*"&amp;Tabla1[[#This Row],[Codigo de barras]]&amp;"*"</f>
        <v>*200677027*</v>
      </c>
    </row>
    <row r="181" spans="1:7" ht="21">
      <c r="A181">
        <f t="shared" si="5"/>
        <v>178</v>
      </c>
      <c r="B181" s="61">
        <f t="shared" si="7"/>
        <v>200677028</v>
      </c>
      <c r="C181" s="46" t="s">
        <v>23</v>
      </c>
      <c r="D181" s="45">
        <v>2680</v>
      </c>
      <c r="E181" s="56">
        <v>84</v>
      </c>
      <c r="F181" s="34">
        <v>28</v>
      </c>
      <c r="G181" s="74" t="str">
        <f>"*"&amp;Tabla1[[#This Row],[Codigo de barras]]&amp;"*"</f>
        <v>*200677028*</v>
      </c>
    </row>
    <row r="182" spans="1:7" ht="21">
      <c r="A182">
        <f t="shared" si="5"/>
        <v>179</v>
      </c>
      <c r="B182" s="61">
        <f t="shared" si="7"/>
        <v>200677029</v>
      </c>
      <c r="C182" s="46" t="s">
        <v>23</v>
      </c>
      <c r="D182" s="45">
        <v>2680</v>
      </c>
      <c r="E182" s="56">
        <v>84.5</v>
      </c>
      <c r="F182" s="34">
        <v>29</v>
      </c>
      <c r="G182" s="74" t="str">
        <f>"*"&amp;Tabla1[[#This Row],[Codigo de barras]]&amp;"*"</f>
        <v>*200677029*</v>
      </c>
    </row>
    <row r="183" spans="1:7" ht="21">
      <c r="A183">
        <f t="shared" si="5"/>
        <v>180</v>
      </c>
      <c r="B183" s="61">
        <f t="shared" si="7"/>
        <v>200677030</v>
      </c>
      <c r="C183" s="46" t="s">
        <v>23</v>
      </c>
      <c r="D183" s="45">
        <v>2846</v>
      </c>
      <c r="E183" s="56">
        <v>89.7</v>
      </c>
      <c r="F183" s="34">
        <v>30</v>
      </c>
      <c r="G183" s="74" t="str">
        <f>"*"&amp;Tabla1[[#This Row],[Codigo de barras]]&amp;"*"</f>
        <v>*200677030*</v>
      </c>
    </row>
    <row r="184" spans="1:7" ht="21">
      <c r="A184">
        <f t="shared" si="5"/>
        <v>181</v>
      </c>
      <c r="B184" s="61">
        <f t="shared" si="7"/>
        <v>200677031</v>
      </c>
      <c r="C184" s="46" t="s">
        <v>23</v>
      </c>
      <c r="D184" s="45">
        <v>2835</v>
      </c>
      <c r="E184" s="56">
        <v>89.6</v>
      </c>
      <c r="F184" s="34">
        <v>31</v>
      </c>
      <c r="G184" s="74" t="str">
        <f>"*"&amp;Tabla1[[#This Row],[Codigo de barras]]&amp;"*"</f>
        <v>*200677031*</v>
      </c>
    </row>
    <row r="185" spans="1:7" ht="21">
      <c r="A185">
        <f t="shared" si="5"/>
        <v>182</v>
      </c>
      <c r="B185" s="61">
        <f t="shared" si="7"/>
        <v>200677032</v>
      </c>
      <c r="C185" s="46" t="s">
        <v>23</v>
      </c>
      <c r="D185" s="45">
        <v>2913</v>
      </c>
      <c r="E185" s="56">
        <v>90</v>
      </c>
      <c r="F185" s="34">
        <v>32</v>
      </c>
      <c r="G185" s="74" t="str">
        <f>"*"&amp;Tabla1[[#This Row],[Codigo de barras]]&amp;"*"</f>
        <v>*200677032*</v>
      </c>
    </row>
    <row r="186" spans="1:7" ht="21">
      <c r="A186">
        <f t="shared" si="5"/>
        <v>183</v>
      </c>
      <c r="B186" s="61">
        <f t="shared" si="7"/>
        <v>200677033</v>
      </c>
      <c r="C186" s="46" t="s">
        <v>23</v>
      </c>
      <c r="D186" s="45">
        <v>2846</v>
      </c>
      <c r="E186" s="56">
        <v>89.7</v>
      </c>
      <c r="F186" s="34">
        <v>33</v>
      </c>
      <c r="G186" s="74" t="str">
        <f>"*"&amp;Tabla1[[#This Row],[Codigo de barras]]&amp;"*"</f>
        <v>*200677033*</v>
      </c>
    </row>
    <row r="187" spans="1:7" ht="21">
      <c r="A187">
        <f t="shared" si="5"/>
        <v>184</v>
      </c>
      <c r="B187" s="61">
        <f t="shared" si="7"/>
        <v>200677034</v>
      </c>
      <c r="C187" s="46" t="s">
        <v>23</v>
      </c>
      <c r="D187" s="45">
        <v>2813</v>
      </c>
      <c r="E187" s="56">
        <v>90.1</v>
      </c>
      <c r="F187" s="34">
        <v>34</v>
      </c>
      <c r="G187" s="74" t="str">
        <f>"*"&amp;Tabla1[[#This Row],[Codigo de barras]]&amp;"*"</f>
        <v>*200677034*</v>
      </c>
    </row>
    <row r="188" spans="1:7" ht="21">
      <c r="A188">
        <f t="shared" si="5"/>
        <v>185</v>
      </c>
      <c r="B188" s="61">
        <f t="shared" si="7"/>
        <v>200677035</v>
      </c>
      <c r="C188" s="46" t="s">
        <v>23</v>
      </c>
      <c r="D188" s="45">
        <v>2913</v>
      </c>
      <c r="E188" s="56">
        <v>90.2</v>
      </c>
      <c r="F188" s="34">
        <v>35</v>
      </c>
      <c r="G188" s="74" t="str">
        <f>"*"&amp;Tabla1[[#This Row],[Codigo de barras]]&amp;"*"</f>
        <v>*200677035*</v>
      </c>
    </row>
    <row r="189" spans="1:7" ht="21">
      <c r="A189">
        <f t="shared" si="5"/>
        <v>186</v>
      </c>
      <c r="B189" s="61">
        <f t="shared" si="7"/>
        <v>200677036</v>
      </c>
      <c r="C189" s="46" t="s">
        <v>23</v>
      </c>
      <c r="D189" s="45">
        <v>2850</v>
      </c>
      <c r="E189" s="56">
        <v>90.6</v>
      </c>
      <c r="F189" s="34">
        <v>36</v>
      </c>
      <c r="G189" s="74" t="str">
        <f>"*"&amp;Tabla1[[#This Row],[Codigo de barras]]&amp;"*"</f>
        <v>*200677036*</v>
      </c>
    </row>
    <row r="190" spans="1:7" ht="21">
      <c r="A190">
        <f t="shared" si="5"/>
        <v>187</v>
      </c>
      <c r="B190" s="61">
        <f t="shared" si="7"/>
        <v>200677037</v>
      </c>
      <c r="C190" s="46" t="s">
        <v>23</v>
      </c>
      <c r="D190" s="45">
        <v>2850</v>
      </c>
      <c r="E190" s="56">
        <v>90.2</v>
      </c>
      <c r="F190" s="34">
        <v>37</v>
      </c>
      <c r="G190" s="74" t="str">
        <f>"*"&amp;Tabla1[[#This Row],[Codigo de barras]]&amp;"*"</f>
        <v>*200677037*</v>
      </c>
    </row>
    <row r="191" spans="1:7" ht="21">
      <c r="A191">
        <f t="shared" si="5"/>
        <v>188</v>
      </c>
      <c r="B191" s="61">
        <f t="shared" si="7"/>
        <v>200677038</v>
      </c>
      <c r="C191" s="46" t="s">
        <v>23</v>
      </c>
      <c r="D191" s="45">
        <v>3012</v>
      </c>
      <c r="E191" s="56">
        <v>92.3</v>
      </c>
      <c r="F191" s="34">
        <v>38</v>
      </c>
      <c r="G191" s="74" t="str">
        <f>"*"&amp;Tabla1[[#This Row],[Codigo de barras]]&amp;"*"</f>
        <v>*200677038*</v>
      </c>
    </row>
    <row r="192" spans="1:7" ht="21">
      <c r="A192">
        <f t="shared" si="5"/>
        <v>189</v>
      </c>
      <c r="B192" s="61">
        <f t="shared" si="7"/>
        <v>200677039</v>
      </c>
      <c r="C192" s="46" t="s">
        <v>23</v>
      </c>
      <c r="D192" s="45">
        <v>2845</v>
      </c>
      <c r="E192" s="56">
        <v>92.5</v>
      </c>
      <c r="F192" s="34">
        <v>39</v>
      </c>
      <c r="G192" s="74" t="str">
        <f>"*"&amp;Tabla1[[#This Row],[Codigo de barras]]&amp;"*"</f>
        <v>*200677039*</v>
      </c>
    </row>
    <row r="193" spans="1:7" ht="21">
      <c r="A193">
        <f t="shared" si="5"/>
        <v>190</v>
      </c>
      <c r="B193" s="61">
        <f t="shared" si="7"/>
        <v>200677040</v>
      </c>
      <c r="C193" s="46" t="s">
        <v>23</v>
      </c>
      <c r="D193" s="45">
        <v>2826</v>
      </c>
      <c r="E193" s="56">
        <v>88.6</v>
      </c>
      <c r="F193" s="34">
        <v>40</v>
      </c>
      <c r="G193" s="74" t="str">
        <f>"*"&amp;Tabla1[[#This Row],[Codigo de barras]]&amp;"*"</f>
        <v>*200677040*</v>
      </c>
    </row>
    <row r="194" spans="1:7" ht="21">
      <c r="A194">
        <f t="shared" si="5"/>
        <v>191</v>
      </c>
      <c r="B194" s="61">
        <f t="shared" si="7"/>
        <v>200677041</v>
      </c>
      <c r="C194" s="46" t="s">
        <v>23</v>
      </c>
      <c r="D194" s="45">
        <v>2840</v>
      </c>
      <c r="E194" s="56">
        <v>87</v>
      </c>
      <c r="F194" s="34">
        <v>41</v>
      </c>
      <c r="G194" s="74" t="str">
        <f>"*"&amp;Tabla1[[#This Row],[Codigo de barras]]&amp;"*"</f>
        <v>*200677041*</v>
      </c>
    </row>
    <row r="195" spans="1:7" ht="21">
      <c r="A195">
        <f t="shared" si="5"/>
        <v>192</v>
      </c>
      <c r="B195" s="61">
        <f t="shared" si="7"/>
        <v>200677042</v>
      </c>
      <c r="C195" s="46" t="s">
        <v>23</v>
      </c>
      <c r="D195" s="45">
        <v>2826</v>
      </c>
      <c r="E195" s="56">
        <v>88.8</v>
      </c>
      <c r="F195" s="34">
        <v>42</v>
      </c>
      <c r="G195" s="74" t="str">
        <f>"*"&amp;Tabla1[[#This Row],[Codigo de barras]]&amp;"*"</f>
        <v>*200677042*</v>
      </c>
    </row>
    <row r="196" spans="1:7" ht="21">
      <c r="A196">
        <f t="shared" si="5"/>
        <v>193</v>
      </c>
      <c r="B196" s="61">
        <f t="shared" si="7"/>
        <v>200677043</v>
      </c>
      <c r="C196" s="46" t="s">
        <v>23</v>
      </c>
      <c r="D196" s="45">
        <v>2864</v>
      </c>
      <c r="E196" s="56">
        <v>91.4</v>
      </c>
      <c r="F196" s="34">
        <v>43</v>
      </c>
      <c r="G196" s="74" t="str">
        <f>"*"&amp;Tabla1[[#This Row],[Codigo de barras]]&amp;"*"</f>
        <v>*200677043*</v>
      </c>
    </row>
    <row r="197" spans="1:7" ht="21">
      <c r="A197">
        <f t="shared" si="5"/>
        <v>194</v>
      </c>
      <c r="B197" s="61">
        <f t="shared" si="7"/>
        <v>200677044</v>
      </c>
      <c r="C197" s="46" t="s">
        <v>23</v>
      </c>
      <c r="D197" s="45">
        <v>2864</v>
      </c>
      <c r="E197" s="56">
        <v>91.1</v>
      </c>
      <c r="F197" s="34">
        <v>44</v>
      </c>
      <c r="G197" s="74" t="str">
        <f>"*"&amp;Tabla1[[#This Row],[Codigo de barras]]&amp;"*"</f>
        <v>*200677044*</v>
      </c>
    </row>
    <row r="198" spans="1:7" ht="21">
      <c r="A198">
        <f t="shared" ref="A198:A261" si="8">+A197+1</f>
        <v>195</v>
      </c>
      <c r="B198" s="61">
        <f t="shared" si="7"/>
        <v>200677045</v>
      </c>
      <c r="C198" s="46" t="s">
        <v>23</v>
      </c>
      <c r="D198" s="45">
        <v>2840</v>
      </c>
      <c r="E198" s="56">
        <v>86.8</v>
      </c>
      <c r="F198" s="34">
        <v>45</v>
      </c>
      <c r="G198" s="74" t="str">
        <f>"*"&amp;Tabla1[[#This Row],[Codigo de barras]]&amp;"*"</f>
        <v>*200677045*</v>
      </c>
    </row>
    <row r="199" spans="1:7" ht="21">
      <c r="A199">
        <f t="shared" si="8"/>
        <v>196</v>
      </c>
      <c r="B199" s="61">
        <f t="shared" si="7"/>
        <v>200677046</v>
      </c>
      <c r="C199" s="46" t="s">
        <v>23</v>
      </c>
      <c r="D199" s="45">
        <v>2855</v>
      </c>
      <c r="E199" s="56">
        <v>90.6</v>
      </c>
      <c r="F199" s="34">
        <v>46</v>
      </c>
      <c r="G199" s="74" t="str">
        <f>"*"&amp;Tabla1[[#This Row],[Codigo de barras]]&amp;"*"</f>
        <v>*200677046*</v>
      </c>
    </row>
    <row r="200" spans="1:7" ht="21">
      <c r="A200">
        <f t="shared" si="8"/>
        <v>197</v>
      </c>
      <c r="B200" s="61">
        <f t="shared" si="7"/>
        <v>200677047</v>
      </c>
      <c r="C200" s="46" t="s">
        <v>23</v>
      </c>
      <c r="D200" s="45">
        <v>2849</v>
      </c>
      <c r="E200" s="56">
        <v>91.3</v>
      </c>
      <c r="F200" s="34">
        <v>47</v>
      </c>
      <c r="G200" s="74" t="str">
        <f>"*"&amp;Tabla1[[#This Row],[Codigo de barras]]&amp;"*"</f>
        <v>*200677047*</v>
      </c>
    </row>
    <row r="201" spans="1:7" ht="21">
      <c r="A201">
        <f t="shared" si="8"/>
        <v>198</v>
      </c>
      <c r="B201" s="61">
        <f t="shared" si="7"/>
        <v>200677048</v>
      </c>
      <c r="C201" s="46" t="s">
        <v>23</v>
      </c>
      <c r="D201" s="45">
        <v>2831</v>
      </c>
      <c r="E201" s="56">
        <v>90</v>
      </c>
      <c r="F201" s="34">
        <v>48</v>
      </c>
      <c r="G201" s="74" t="str">
        <f>"*"&amp;Tabla1[[#This Row],[Codigo de barras]]&amp;"*"</f>
        <v>*200677048*</v>
      </c>
    </row>
    <row r="202" spans="1:7" ht="21">
      <c r="A202">
        <f t="shared" si="8"/>
        <v>199</v>
      </c>
      <c r="B202" s="61">
        <f t="shared" si="7"/>
        <v>200677049</v>
      </c>
      <c r="C202" s="46" t="s">
        <v>23</v>
      </c>
      <c r="D202" s="45">
        <v>2840</v>
      </c>
      <c r="E202" s="56">
        <v>90.2</v>
      </c>
      <c r="F202" s="34">
        <v>49</v>
      </c>
      <c r="G202" s="74" t="str">
        <f>"*"&amp;Tabla1[[#This Row],[Codigo de barras]]&amp;"*"</f>
        <v>*200677049*</v>
      </c>
    </row>
    <row r="203" spans="1:7" ht="21">
      <c r="A203">
        <f t="shared" si="8"/>
        <v>200</v>
      </c>
      <c r="B203" s="61">
        <f t="shared" si="7"/>
        <v>200677050</v>
      </c>
      <c r="C203" s="46" t="s">
        <v>23</v>
      </c>
      <c r="D203" s="45">
        <v>2840</v>
      </c>
      <c r="E203" s="56">
        <v>90</v>
      </c>
      <c r="F203" s="34">
        <v>50</v>
      </c>
      <c r="G203" s="74" t="str">
        <f>"*"&amp;Tabla1[[#This Row],[Codigo de barras]]&amp;"*"</f>
        <v>*200677050*</v>
      </c>
    </row>
    <row r="204" spans="1:7" ht="21">
      <c r="A204">
        <f t="shared" si="8"/>
        <v>201</v>
      </c>
      <c r="B204" s="61">
        <f t="shared" si="7"/>
        <v>200677051</v>
      </c>
      <c r="C204" s="46" t="s">
        <v>23</v>
      </c>
      <c r="D204" s="45">
        <v>2680</v>
      </c>
      <c r="E204" s="56">
        <v>83.9</v>
      </c>
      <c r="F204" s="34">
        <v>51</v>
      </c>
      <c r="G204" s="74" t="str">
        <f>"*"&amp;Tabla1[[#This Row],[Codigo de barras]]&amp;"*"</f>
        <v>*200677051*</v>
      </c>
    </row>
    <row r="205" spans="1:7" ht="21">
      <c r="A205">
        <f t="shared" si="8"/>
        <v>202</v>
      </c>
      <c r="B205" s="61">
        <f t="shared" si="7"/>
        <v>200677052</v>
      </c>
      <c r="C205" s="46" t="s">
        <v>23</v>
      </c>
      <c r="D205" s="45">
        <v>2850</v>
      </c>
      <c r="E205" s="56">
        <v>90.5</v>
      </c>
      <c r="F205" s="34">
        <v>52</v>
      </c>
      <c r="G205" s="74" t="str">
        <f>"*"&amp;Tabla1[[#This Row],[Codigo de barras]]&amp;"*"</f>
        <v>*200677052*</v>
      </c>
    </row>
    <row r="206" spans="1:7" ht="21">
      <c r="A206">
        <f t="shared" si="8"/>
        <v>203</v>
      </c>
      <c r="B206" s="61">
        <f t="shared" si="7"/>
        <v>200677053</v>
      </c>
      <c r="C206" s="46" t="s">
        <v>23</v>
      </c>
      <c r="D206" s="45">
        <v>2831</v>
      </c>
      <c r="E206" s="56">
        <v>88.7</v>
      </c>
      <c r="F206" s="34">
        <v>53</v>
      </c>
      <c r="G206" s="74" t="str">
        <f>"*"&amp;Tabla1[[#This Row],[Codigo de barras]]&amp;"*"</f>
        <v>*200677053*</v>
      </c>
    </row>
    <row r="207" spans="1:7" ht="21">
      <c r="A207">
        <f t="shared" si="8"/>
        <v>204</v>
      </c>
      <c r="B207" s="61">
        <f t="shared" si="7"/>
        <v>200677054</v>
      </c>
      <c r="C207" s="46" t="s">
        <v>23</v>
      </c>
      <c r="D207" s="45">
        <v>2855</v>
      </c>
      <c r="E207" s="56">
        <v>90.4</v>
      </c>
      <c r="F207" s="34">
        <v>54</v>
      </c>
      <c r="G207" s="74" t="str">
        <f>"*"&amp;Tabla1[[#This Row],[Codigo de barras]]&amp;"*"</f>
        <v>*200677054*</v>
      </c>
    </row>
    <row r="208" spans="1:7" ht="21">
      <c r="A208">
        <f t="shared" si="8"/>
        <v>205</v>
      </c>
      <c r="B208" s="61">
        <f t="shared" si="7"/>
        <v>200677055</v>
      </c>
      <c r="C208" s="46" t="s">
        <v>23</v>
      </c>
      <c r="D208" s="45">
        <v>2862</v>
      </c>
      <c r="E208" s="56">
        <v>88.3</v>
      </c>
      <c r="F208" s="34">
        <v>55</v>
      </c>
      <c r="G208" s="74" t="str">
        <f>"*"&amp;Tabla1[[#This Row],[Codigo de barras]]&amp;"*"</f>
        <v>*200677055*</v>
      </c>
    </row>
    <row r="209" spans="1:7" ht="21">
      <c r="A209">
        <f t="shared" si="8"/>
        <v>206</v>
      </c>
      <c r="B209" s="61">
        <f t="shared" si="7"/>
        <v>200677056</v>
      </c>
      <c r="C209" s="46" t="s">
        <v>23</v>
      </c>
      <c r="D209" s="45">
        <v>2831</v>
      </c>
      <c r="E209" s="56">
        <v>92</v>
      </c>
      <c r="F209" s="34">
        <v>56</v>
      </c>
      <c r="G209" s="74" t="str">
        <f>"*"&amp;Tabla1[[#This Row],[Codigo de barras]]&amp;"*"</f>
        <v>*200677056*</v>
      </c>
    </row>
    <row r="210" spans="1:7" ht="21">
      <c r="A210">
        <f t="shared" si="8"/>
        <v>207</v>
      </c>
      <c r="B210" s="61">
        <f t="shared" si="7"/>
        <v>200677057</v>
      </c>
      <c r="C210" s="46" t="s">
        <v>23</v>
      </c>
      <c r="D210" s="45">
        <v>2813</v>
      </c>
      <c r="E210" s="56">
        <v>89.8</v>
      </c>
      <c r="F210" s="34">
        <v>57</v>
      </c>
      <c r="G210" s="74" t="str">
        <f>"*"&amp;Tabla1[[#This Row],[Codigo de barras]]&amp;"*"</f>
        <v>*200677057*</v>
      </c>
    </row>
    <row r="211" spans="1:7" ht="21">
      <c r="A211">
        <f t="shared" si="8"/>
        <v>208</v>
      </c>
      <c r="B211" s="61">
        <f t="shared" si="7"/>
        <v>200677058</v>
      </c>
      <c r="C211" s="46" t="s">
        <v>23</v>
      </c>
      <c r="D211" s="45">
        <v>2820</v>
      </c>
      <c r="E211" s="56">
        <v>90.1</v>
      </c>
      <c r="F211" s="34">
        <v>58</v>
      </c>
      <c r="G211" s="74" t="str">
        <f>"*"&amp;Tabla1[[#This Row],[Codigo de barras]]&amp;"*"</f>
        <v>*200677058*</v>
      </c>
    </row>
    <row r="212" spans="1:7" ht="21">
      <c r="A212">
        <f t="shared" si="8"/>
        <v>209</v>
      </c>
      <c r="B212" s="61">
        <f t="shared" si="7"/>
        <v>200677059</v>
      </c>
      <c r="C212" s="46" t="s">
        <v>23</v>
      </c>
      <c r="D212" s="45">
        <v>2840</v>
      </c>
      <c r="E212" s="56">
        <v>91</v>
      </c>
      <c r="F212" s="34">
        <v>59</v>
      </c>
      <c r="G212" s="74" t="str">
        <f>"*"&amp;Tabla1[[#This Row],[Codigo de barras]]&amp;"*"</f>
        <v>*200677059*</v>
      </c>
    </row>
    <row r="213" spans="1:7" ht="21">
      <c r="A213">
        <f t="shared" si="8"/>
        <v>210</v>
      </c>
      <c r="B213" s="61">
        <f t="shared" si="7"/>
        <v>200677060</v>
      </c>
      <c r="C213" s="46" t="s">
        <v>23</v>
      </c>
      <c r="D213" s="45">
        <v>2840</v>
      </c>
      <c r="E213" s="56">
        <v>91.4</v>
      </c>
      <c r="F213" s="34">
        <v>60</v>
      </c>
      <c r="G213" s="74" t="str">
        <f>"*"&amp;Tabla1[[#This Row],[Codigo de barras]]&amp;"*"</f>
        <v>*200677060*</v>
      </c>
    </row>
    <row r="214" spans="1:7" ht="21">
      <c r="A214">
        <f t="shared" si="8"/>
        <v>211</v>
      </c>
      <c r="B214" s="61">
        <f t="shared" si="7"/>
        <v>200677061</v>
      </c>
      <c r="C214" s="46" t="s">
        <v>23</v>
      </c>
      <c r="D214" s="45">
        <v>2820</v>
      </c>
      <c r="E214" s="56">
        <v>90.3</v>
      </c>
      <c r="F214" s="34">
        <v>61</v>
      </c>
      <c r="G214" s="74" t="str">
        <f>"*"&amp;Tabla1[[#This Row],[Codigo de barras]]&amp;"*"</f>
        <v>*200677061*</v>
      </c>
    </row>
    <row r="215" spans="1:7" ht="21">
      <c r="A215">
        <f t="shared" si="8"/>
        <v>212</v>
      </c>
      <c r="B215" s="61">
        <f t="shared" si="7"/>
        <v>200677062</v>
      </c>
      <c r="C215" s="46" t="s">
        <v>23</v>
      </c>
      <c r="D215" s="45">
        <v>2831</v>
      </c>
      <c r="E215" s="56">
        <v>91.5</v>
      </c>
      <c r="F215" s="34">
        <v>62</v>
      </c>
      <c r="G215" s="74" t="str">
        <f>"*"&amp;Tabla1[[#This Row],[Codigo de barras]]&amp;"*"</f>
        <v>*200677062*</v>
      </c>
    </row>
    <row r="216" spans="1:7" ht="21">
      <c r="A216">
        <f t="shared" si="8"/>
        <v>213</v>
      </c>
      <c r="B216" s="61">
        <f t="shared" si="7"/>
        <v>200677063</v>
      </c>
      <c r="C216" s="46" t="s">
        <v>23</v>
      </c>
      <c r="D216" s="45">
        <v>2845</v>
      </c>
      <c r="E216" s="56">
        <v>92.2</v>
      </c>
      <c r="F216" s="34">
        <v>63</v>
      </c>
      <c r="G216" s="74" t="str">
        <f>"*"&amp;Tabla1[[#This Row],[Codigo de barras]]&amp;"*"</f>
        <v>*200677063*</v>
      </c>
    </row>
    <row r="217" spans="1:7" ht="21">
      <c r="A217">
        <f t="shared" si="8"/>
        <v>214</v>
      </c>
      <c r="B217" s="61">
        <f t="shared" si="7"/>
        <v>200677064</v>
      </c>
      <c r="C217" s="46" t="s">
        <v>23</v>
      </c>
      <c r="D217" s="45">
        <v>2835</v>
      </c>
      <c r="E217" s="56">
        <v>89.4</v>
      </c>
      <c r="F217" s="34">
        <v>64</v>
      </c>
      <c r="G217" s="74" t="str">
        <f>"*"&amp;Tabla1[[#This Row],[Codigo de barras]]&amp;"*"</f>
        <v>*200677064*</v>
      </c>
    </row>
    <row r="218" spans="1:7" ht="21">
      <c r="A218">
        <f t="shared" si="8"/>
        <v>215</v>
      </c>
      <c r="B218" s="61">
        <f t="shared" si="7"/>
        <v>200677065</v>
      </c>
      <c r="C218" s="46" t="s">
        <v>23</v>
      </c>
      <c r="D218" s="45">
        <v>2837</v>
      </c>
      <c r="E218" s="34">
        <v>89</v>
      </c>
      <c r="F218" s="34">
        <v>65</v>
      </c>
      <c r="G218" s="74" t="str">
        <f>"*"&amp;Tabla1[[#This Row],[Codigo de barras]]&amp;"*"</f>
        <v>*200677065*</v>
      </c>
    </row>
    <row r="219" spans="1:7" ht="21">
      <c r="A219">
        <f t="shared" si="8"/>
        <v>216</v>
      </c>
      <c r="B219" s="61">
        <f t="shared" si="7"/>
        <v>200677066</v>
      </c>
      <c r="C219" s="46" t="s">
        <v>23</v>
      </c>
      <c r="D219" s="45">
        <v>2830</v>
      </c>
      <c r="E219" s="34">
        <v>90</v>
      </c>
      <c r="F219" s="34">
        <v>66</v>
      </c>
      <c r="G219" s="74" t="str">
        <f>"*"&amp;Tabla1[[#This Row],[Codigo de barras]]&amp;"*"</f>
        <v>*200677066*</v>
      </c>
    </row>
    <row r="220" spans="1:7" ht="21">
      <c r="A220">
        <f t="shared" si="8"/>
        <v>217</v>
      </c>
      <c r="B220" s="61">
        <f t="shared" si="7"/>
        <v>200677067</v>
      </c>
      <c r="C220" s="46" t="s">
        <v>23</v>
      </c>
      <c r="D220" s="45">
        <v>2818</v>
      </c>
      <c r="E220" s="34">
        <v>89.6</v>
      </c>
      <c r="F220" s="34">
        <v>67</v>
      </c>
      <c r="G220" s="74" t="str">
        <f>"*"&amp;Tabla1[[#This Row],[Codigo de barras]]&amp;"*"</f>
        <v>*200677067*</v>
      </c>
    </row>
    <row r="221" spans="1:7" ht="21">
      <c r="A221">
        <f t="shared" si="8"/>
        <v>218</v>
      </c>
      <c r="B221" s="61">
        <f t="shared" si="7"/>
        <v>200677068</v>
      </c>
      <c r="C221" s="46" t="s">
        <v>23</v>
      </c>
      <c r="D221" s="45">
        <v>2890</v>
      </c>
      <c r="E221" s="56">
        <v>90.4</v>
      </c>
      <c r="F221" s="34">
        <v>68</v>
      </c>
      <c r="G221" s="74" t="str">
        <f>"*"&amp;Tabla1[[#This Row],[Codigo de barras]]&amp;"*"</f>
        <v>*200677068*</v>
      </c>
    </row>
    <row r="222" spans="1:7" ht="21">
      <c r="A222">
        <f t="shared" si="8"/>
        <v>219</v>
      </c>
      <c r="B222" s="61">
        <f t="shared" si="7"/>
        <v>200677069</v>
      </c>
      <c r="C222" s="46" t="s">
        <v>23</v>
      </c>
      <c r="D222" s="45">
        <v>2990</v>
      </c>
      <c r="E222" s="56">
        <v>91.2</v>
      </c>
      <c r="F222" s="34">
        <v>69</v>
      </c>
      <c r="G222" s="74" t="str">
        <f>"*"&amp;Tabla1[[#This Row],[Codigo de barras]]&amp;"*"</f>
        <v>*200677069*</v>
      </c>
    </row>
    <row r="223" spans="1:7" ht="21">
      <c r="A223">
        <f t="shared" si="8"/>
        <v>220</v>
      </c>
      <c r="B223" s="61">
        <f t="shared" ref="B223:B229" si="9">+B222+1</f>
        <v>200677070</v>
      </c>
      <c r="C223" s="46" t="s">
        <v>23</v>
      </c>
      <c r="D223" s="45">
        <v>2848</v>
      </c>
      <c r="E223" s="56">
        <v>92.2</v>
      </c>
      <c r="F223" s="34">
        <v>70</v>
      </c>
      <c r="G223" s="74" t="str">
        <f>"*"&amp;Tabla1[[#This Row],[Codigo de barras]]&amp;"*"</f>
        <v>*200677070*</v>
      </c>
    </row>
    <row r="224" spans="1:7" ht="21">
      <c r="A224">
        <f t="shared" si="8"/>
        <v>221</v>
      </c>
      <c r="B224" s="61">
        <f t="shared" si="9"/>
        <v>200677071</v>
      </c>
      <c r="C224" s="46" t="s">
        <v>23</v>
      </c>
      <c r="D224" s="45">
        <v>2848</v>
      </c>
      <c r="E224" s="56">
        <v>92.2</v>
      </c>
      <c r="F224" s="34">
        <v>71</v>
      </c>
      <c r="G224" s="74" t="str">
        <f>"*"&amp;Tabla1[[#This Row],[Codigo de barras]]&amp;"*"</f>
        <v>*200677071*</v>
      </c>
    </row>
    <row r="225" spans="1:7" ht="21">
      <c r="A225">
        <f t="shared" si="8"/>
        <v>222</v>
      </c>
      <c r="B225" s="61">
        <f t="shared" si="9"/>
        <v>200677072</v>
      </c>
      <c r="C225" s="46" t="s">
        <v>23</v>
      </c>
      <c r="D225" s="45">
        <v>2990</v>
      </c>
      <c r="E225" s="56">
        <v>91.4</v>
      </c>
      <c r="F225" s="34">
        <v>72</v>
      </c>
      <c r="G225" s="74" t="str">
        <f>"*"&amp;Tabla1[[#This Row],[Codigo de barras]]&amp;"*"</f>
        <v>*200677072*</v>
      </c>
    </row>
    <row r="226" spans="1:7" ht="21">
      <c r="A226">
        <f t="shared" si="8"/>
        <v>223</v>
      </c>
      <c r="B226" s="61">
        <f t="shared" si="9"/>
        <v>200677073</v>
      </c>
      <c r="C226" s="46" t="s">
        <v>23</v>
      </c>
      <c r="D226" s="45">
        <v>2940</v>
      </c>
      <c r="E226" s="56">
        <v>92.1</v>
      </c>
      <c r="F226" s="34">
        <v>73</v>
      </c>
      <c r="G226" s="74" t="str">
        <f>"*"&amp;Tabla1[[#This Row],[Codigo de barras]]&amp;"*"</f>
        <v>*200677073*</v>
      </c>
    </row>
    <row r="227" spans="1:7" ht="21">
      <c r="A227">
        <f t="shared" si="8"/>
        <v>224</v>
      </c>
      <c r="B227" s="61">
        <f t="shared" si="9"/>
        <v>200677074</v>
      </c>
      <c r="C227" s="46" t="s">
        <v>23</v>
      </c>
      <c r="D227" s="45">
        <v>2835</v>
      </c>
      <c r="E227" s="56">
        <v>89.3</v>
      </c>
      <c r="F227" s="34">
        <v>74</v>
      </c>
      <c r="G227" s="74" t="str">
        <f>"*"&amp;Tabla1[[#This Row],[Codigo de barras]]&amp;"*"</f>
        <v>*200677074*</v>
      </c>
    </row>
    <row r="228" spans="1:7" ht="21">
      <c r="A228">
        <f t="shared" si="8"/>
        <v>225</v>
      </c>
      <c r="B228" s="61">
        <f t="shared" si="9"/>
        <v>200677075</v>
      </c>
      <c r="C228" s="46" t="s">
        <v>23</v>
      </c>
      <c r="D228" s="45">
        <v>2835</v>
      </c>
      <c r="E228" s="56">
        <v>89.3</v>
      </c>
      <c r="F228" s="34">
        <v>75</v>
      </c>
      <c r="G228" s="74" t="str">
        <f>"*"&amp;Tabla1[[#This Row],[Codigo de barras]]&amp;"*"</f>
        <v>*200677075*</v>
      </c>
    </row>
    <row r="229" spans="1:7" ht="21">
      <c r="A229">
        <f t="shared" si="8"/>
        <v>226</v>
      </c>
      <c r="B229" s="61">
        <f t="shared" si="9"/>
        <v>200677076</v>
      </c>
      <c r="C229" s="46" t="s">
        <v>23</v>
      </c>
      <c r="D229" s="45">
        <v>2907</v>
      </c>
      <c r="E229" s="56">
        <v>92.7</v>
      </c>
      <c r="F229" s="34">
        <v>76</v>
      </c>
      <c r="G229" s="74" t="str">
        <f>"*"&amp;Tabla1[[#This Row],[Codigo de barras]]&amp;"*"</f>
        <v>*200677076*</v>
      </c>
    </row>
    <row r="230" spans="1:7" ht="21">
      <c r="A230">
        <f t="shared" si="8"/>
        <v>227</v>
      </c>
      <c r="B230" s="61">
        <v>200700001</v>
      </c>
      <c r="C230" s="46" t="s">
        <v>24</v>
      </c>
      <c r="D230" s="34">
        <v>2271</v>
      </c>
      <c r="E230" s="34">
        <v>92.5</v>
      </c>
      <c r="F230" s="34">
        <v>1</v>
      </c>
      <c r="G230" s="74" t="str">
        <f>"*"&amp;Tabla1[[#This Row],[Codigo de barras]]&amp;"*"</f>
        <v>*200700001*</v>
      </c>
    </row>
    <row r="231" spans="1:7" ht="21">
      <c r="A231">
        <f t="shared" si="8"/>
        <v>228</v>
      </c>
      <c r="B231" s="61">
        <f>+B230+1</f>
        <v>200700002</v>
      </c>
      <c r="C231" s="46" t="s">
        <v>24</v>
      </c>
      <c r="D231" s="34">
        <v>2245</v>
      </c>
      <c r="E231" s="34">
        <v>91</v>
      </c>
      <c r="F231" s="34">
        <v>2</v>
      </c>
      <c r="G231" s="73" t="str">
        <f>"*"&amp;Tabla1[[#This Row],[Codigo de barras]]&amp;"*"</f>
        <v>*200700002*</v>
      </c>
    </row>
    <row r="232" spans="1:7" ht="21">
      <c r="A232">
        <f t="shared" si="8"/>
        <v>229</v>
      </c>
      <c r="B232" s="61">
        <f t="shared" ref="B232:B236" si="10">+B231+1</f>
        <v>200700003</v>
      </c>
      <c r="C232" s="46" t="s">
        <v>24</v>
      </c>
      <c r="D232" s="34">
        <v>2271</v>
      </c>
      <c r="E232" s="34">
        <v>93.2</v>
      </c>
      <c r="F232" s="34">
        <v>3</v>
      </c>
      <c r="G232" s="73" t="str">
        <f>"*"&amp;Tabla1[[#This Row],[Codigo de barras]]&amp;"*"</f>
        <v>*200700003*</v>
      </c>
    </row>
    <row r="233" spans="1:7" ht="21">
      <c r="A233">
        <f t="shared" si="8"/>
        <v>230</v>
      </c>
      <c r="B233" s="61">
        <f t="shared" si="10"/>
        <v>200700004</v>
      </c>
      <c r="C233" s="46" t="s">
        <v>24</v>
      </c>
      <c r="D233" s="34">
        <v>2176</v>
      </c>
      <c r="E233" s="34">
        <v>89.1</v>
      </c>
      <c r="F233" s="34">
        <v>4</v>
      </c>
      <c r="G233" s="74" t="str">
        <f>"*"&amp;Tabla1[[#This Row],[Codigo de barras]]&amp;"*"</f>
        <v>*200700004*</v>
      </c>
    </row>
    <row r="234" spans="1:7" ht="21">
      <c r="A234">
        <f t="shared" si="8"/>
        <v>231</v>
      </c>
      <c r="B234" s="61">
        <f t="shared" si="10"/>
        <v>200700005</v>
      </c>
      <c r="C234" s="46" t="s">
        <v>24</v>
      </c>
      <c r="D234" s="34">
        <v>2246</v>
      </c>
      <c r="E234" s="34">
        <v>91.7</v>
      </c>
      <c r="F234" s="34">
        <v>5</v>
      </c>
      <c r="G234" s="73" t="str">
        <f>"*"&amp;Tabla1[[#This Row],[Codigo de barras]]&amp;"*"</f>
        <v>*200700005*</v>
      </c>
    </row>
    <row r="235" spans="1:7" ht="21">
      <c r="A235">
        <f t="shared" si="8"/>
        <v>232</v>
      </c>
      <c r="B235" s="61">
        <f t="shared" si="10"/>
        <v>200700006</v>
      </c>
      <c r="C235" s="46" t="s">
        <v>24</v>
      </c>
      <c r="D235" s="34">
        <v>2246</v>
      </c>
      <c r="E235" s="34">
        <v>90.7</v>
      </c>
      <c r="F235" s="34">
        <v>6</v>
      </c>
      <c r="G235" s="74" t="str">
        <f>"*"&amp;Tabla1[[#This Row],[Codigo de barras]]&amp;"*"</f>
        <v>*200700006*</v>
      </c>
    </row>
    <row r="236" spans="1:7" ht="21">
      <c r="A236">
        <f t="shared" si="8"/>
        <v>233</v>
      </c>
      <c r="B236" s="61">
        <f t="shared" si="10"/>
        <v>200700007</v>
      </c>
      <c r="C236" s="46" t="s">
        <v>24</v>
      </c>
      <c r="D236" s="34">
        <v>2272</v>
      </c>
      <c r="E236" s="34">
        <v>92.2</v>
      </c>
      <c r="F236" s="34">
        <v>7</v>
      </c>
      <c r="G236" s="74" t="str">
        <f>"*"&amp;Tabla1[[#This Row],[Codigo de barras]]&amp;"*"</f>
        <v>*200700007*</v>
      </c>
    </row>
    <row r="237" spans="1:7" ht="21">
      <c r="A237">
        <f t="shared" si="8"/>
        <v>234</v>
      </c>
      <c r="B237" s="61">
        <f t="shared" ref="B237:B261" si="11">+B236+1</f>
        <v>200700008</v>
      </c>
      <c r="C237" s="46" t="s">
        <v>24</v>
      </c>
      <c r="D237" s="34">
        <v>2248</v>
      </c>
      <c r="E237" s="34">
        <v>91.6</v>
      </c>
      <c r="F237" s="34">
        <v>8</v>
      </c>
      <c r="G237" s="73" t="str">
        <f>"*"&amp;Tabla1[[#This Row],[Codigo de barras]]&amp;"*"</f>
        <v>*200700008*</v>
      </c>
    </row>
    <row r="238" spans="1:7" ht="21">
      <c r="A238">
        <f t="shared" si="8"/>
        <v>235</v>
      </c>
      <c r="B238" s="61">
        <f t="shared" si="11"/>
        <v>200700009</v>
      </c>
      <c r="C238" s="46" t="s">
        <v>24</v>
      </c>
      <c r="D238" s="34">
        <v>2248</v>
      </c>
      <c r="E238" s="34">
        <v>92.4</v>
      </c>
      <c r="F238" s="34">
        <v>9</v>
      </c>
      <c r="G238" s="74" t="str">
        <f>"*"&amp;Tabla1[[#This Row],[Codigo de barras]]&amp;"*"</f>
        <v>*200700009*</v>
      </c>
    </row>
    <row r="239" spans="1:7" ht="21">
      <c r="A239">
        <f t="shared" si="8"/>
        <v>236</v>
      </c>
      <c r="B239" s="61">
        <f t="shared" si="11"/>
        <v>200700010</v>
      </c>
      <c r="C239" s="46" t="s">
        <v>24</v>
      </c>
      <c r="D239" s="34">
        <v>2230</v>
      </c>
      <c r="E239" s="34">
        <v>90.5</v>
      </c>
      <c r="F239" s="34">
        <v>10</v>
      </c>
      <c r="G239" s="74" t="str">
        <f>"*"&amp;Tabla1[[#This Row],[Codigo de barras]]&amp;"*"</f>
        <v>*200700010*</v>
      </c>
    </row>
    <row r="240" spans="1:7" ht="21">
      <c r="A240">
        <f t="shared" si="8"/>
        <v>237</v>
      </c>
      <c r="B240" s="61">
        <f t="shared" si="11"/>
        <v>200700011</v>
      </c>
      <c r="C240" s="46" t="s">
        <v>24</v>
      </c>
      <c r="D240" s="34">
        <v>2230</v>
      </c>
      <c r="E240" s="34">
        <v>91.1</v>
      </c>
      <c r="F240" s="34">
        <v>11</v>
      </c>
      <c r="G240" s="74" t="str">
        <f>"*"&amp;Tabla1[[#This Row],[Codigo de barras]]&amp;"*"</f>
        <v>*200700011*</v>
      </c>
    </row>
    <row r="241" spans="1:7" ht="21">
      <c r="A241">
        <f t="shared" si="8"/>
        <v>238</v>
      </c>
      <c r="B241" s="61">
        <f t="shared" si="11"/>
        <v>200700012</v>
      </c>
      <c r="C241" s="46" t="s">
        <v>24</v>
      </c>
      <c r="D241" s="34">
        <v>2258</v>
      </c>
      <c r="E241" s="34">
        <v>91.4</v>
      </c>
      <c r="F241" s="34">
        <v>12</v>
      </c>
      <c r="G241" s="74" t="str">
        <f>"*"&amp;Tabla1[[#This Row],[Codigo de barras]]&amp;"*"</f>
        <v>*200700012*</v>
      </c>
    </row>
    <row r="242" spans="1:7" ht="21">
      <c r="A242">
        <f t="shared" si="8"/>
        <v>239</v>
      </c>
      <c r="B242" s="61">
        <f t="shared" si="11"/>
        <v>200700013</v>
      </c>
      <c r="C242" s="46" t="s">
        <v>24</v>
      </c>
      <c r="D242" s="34">
        <v>2210</v>
      </c>
      <c r="E242" s="34">
        <v>89</v>
      </c>
      <c r="F242" s="34">
        <v>13</v>
      </c>
      <c r="G242" s="74" t="str">
        <f>"*"&amp;Tabla1[[#This Row],[Codigo de barras]]&amp;"*"</f>
        <v>*200700013*</v>
      </c>
    </row>
    <row r="243" spans="1:7" ht="21">
      <c r="A243">
        <f t="shared" si="8"/>
        <v>240</v>
      </c>
      <c r="B243" s="61">
        <f t="shared" si="11"/>
        <v>200700014</v>
      </c>
      <c r="C243" s="46" t="s">
        <v>24</v>
      </c>
      <c r="D243" s="34">
        <v>2271</v>
      </c>
      <c r="E243" s="34">
        <v>92.8</v>
      </c>
      <c r="F243" s="34">
        <v>14</v>
      </c>
      <c r="G243" s="74" t="str">
        <f>"*"&amp;Tabla1[[#This Row],[Codigo de barras]]&amp;"*"</f>
        <v>*200700014*</v>
      </c>
    </row>
    <row r="244" spans="1:7" ht="21">
      <c r="A244">
        <f t="shared" si="8"/>
        <v>241</v>
      </c>
      <c r="B244" s="61">
        <f t="shared" si="11"/>
        <v>200700015</v>
      </c>
      <c r="C244" s="46" t="s">
        <v>24</v>
      </c>
      <c r="D244" s="34">
        <v>2253</v>
      </c>
      <c r="E244" s="34">
        <v>91.5</v>
      </c>
      <c r="F244" s="34">
        <v>15</v>
      </c>
      <c r="G244" s="74" t="str">
        <f>"*"&amp;Tabla1[[#This Row],[Codigo de barras]]&amp;"*"</f>
        <v>*200700015*</v>
      </c>
    </row>
    <row r="245" spans="1:7" ht="21">
      <c r="A245">
        <f t="shared" si="8"/>
        <v>242</v>
      </c>
      <c r="B245" s="61">
        <f t="shared" si="11"/>
        <v>200700016</v>
      </c>
      <c r="C245" s="46" t="s">
        <v>24</v>
      </c>
      <c r="D245" s="34">
        <v>2245</v>
      </c>
      <c r="E245" s="34">
        <v>92.4</v>
      </c>
      <c r="F245" s="34">
        <v>16</v>
      </c>
      <c r="G245" s="74" t="str">
        <f>"*"&amp;Tabla1[[#This Row],[Codigo de barras]]&amp;"*"</f>
        <v>*200700016*</v>
      </c>
    </row>
    <row r="246" spans="1:7" ht="21">
      <c r="A246">
        <f t="shared" si="8"/>
        <v>243</v>
      </c>
      <c r="B246" s="61">
        <f t="shared" si="11"/>
        <v>200700017</v>
      </c>
      <c r="C246" s="46" t="s">
        <v>24</v>
      </c>
      <c r="D246" s="34">
        <v>2272</v>
      </c>
      <c r="E246" s="34">
        <v>93.3</v>
      </c>
      <c r="F246" s="34">
        <v>17</v>
      </c>
      <c r="G246" s="74" t="str">
        <f>"*"&amp;Tabla1[[#This Row],[Codigo de barras]]&amp;"*"</f>
        <v>*200700017*</v>
      </c>
    </row>
    <row r="247" spans="1:7" ht="21">
      <c r="A247">
        <f t="shared" si="8"/>
        <v>244</v>
      </c>
      <c r="B247" s="61">
        <f t="shared" si="11"/>
        <v>200700018</v>
      </c>
      <c r="C247" s="46" t="s">
        <v>24</v>
      </c>
      <c r="D247" s="34">
        <v>2271</v>
      </c>
      <c r="E247" s="34">
        <v>93.8</v>
      </c>
      <c r="F247" s="34">
        <v>18</v>
      </c>
      <c r="G247" s="74" t="str">
        <f>"*"&amp;Tabla1[[#This Row],[Codigo de barras]]&amp;"*"</f>
        <v>*200700018*</v>
      </c>
    </row>
    <row r="248" spans="1:7" ht="21">
      <c r="A248">
        <f t="shared" si="8"/>
        <v>245</v>
      </c>
      <c r="B248" s="61">
        <f t="shared" si="11"/>
        <v>200700019</v>
      </c>
      <c r="C248" s="46" t="s">
        <v>24</v>
      </c>
      <c r="D248" s="34">
        <v>2250</v>
      </c>
      <c r="E248" s="34">
        <v>92</v>
      </c>
      <c r="F248" s="34">
        <v>19</v>
      </c>
      <c r="G248" s="74" t="str">
        <f>"*"&amp;Tabla1[[#This Row],[Codigo de barras]]&amp;"*"</f>
        <v>*200700019*</v>
      </c>
    </row>
    <row r="249" spans="1:7" ht="21">
      <c r="A249">
        <f t="shared" si="8"/>
        <v>246</v>
      </c>
      <c r="B249" s="61">
        <f t="shared" si="11"/>
        <v>200700020</v>
      </c>
      <c r="C249" s="46" t="s">
        <v>24</v>
      </c>
      <c r="D249" s="34">
        <v>2350</v>
      </c>
      <c r="E249" s="34">
        <v>97.5</v>
      </c>
      <c r="F249" s="34">
        <v>20</v>
      </c>
      <c r="G249" s="74" t="str">
        <f>"*"&amp;Tabla1[[#This Row],[Codigo de barras]]&amp;"*"</f>
        <v>*200700020*</v>
      </c>
    </row>
    <row r="250" spans="1:7" ht="21">
      <c r="A250">
        <f t="shared" si="8"/>
        <v>247</v>
      </c>
      <c r="B250" s="61">
        <f t="shared" si="11"/>
        <v>200700021</v>
      </c>
      <c r="C250" s="46" t="s">
        <v>24</v>
      </c>
      <c r="D250" s="34">
        <v>2176</v>
      </c>
      <c r="E250" s="34">
        <v>88.1</v>
      </c>
      <c r="F250" s="34">
        <v>21</v>
      </c>
      <c r="G250" s="74" t="str">
        <f>"*"&amp;Tabla1[[#This Row],[Codigo de barras]]&amp;"*"</f>
        <v>*200700021*</v>
      </c>
    </row>
    <row r="251" spans="1:7" ht="21">
      <c r="A251">
        <f t="shared" si="8"/>
        <v>248</v>
      </c>
      <c r="B251" s="61">
        <f t="shared" si="11"/>
        <v>200700022</v>
      </c>
      <c r="C251" s="46" t="s">
        <v>24</v>
      </c>
      <c r="D251" s="34">
        <v>2231</v>
      </c>
      <c r="E251" s="34">
        <v>90.6</v>
      </c>
      <c r="F251" s="34">
        <v>22</v>
      </c>
      <c r="G251" s="74" t="str">
        <f>"*"&amp;Tabla1[[#This Row],[Codigo de barras]]&amp;"*"</f>
        <v>*200700022*</v>
      </c>
    </row>
    <row r="252" spans="1:7" ht="21">
      <c r="A252">
        <f t="shared" si="8"/>
        <v>249</v>
      </c>
      <c r="B252" s="61">
        <f t="shared" si="11"/>
        <v>200700023</v>
      </c>
      <c r="C252" s="46" t="s">
        <v>24</v>
      </c>
      <c r="D252" s="34">
        <v>2210</v>
      </c>
      <c r="E252" s="34">
        <v>89.5</v>
      </c>
      <c r="F252" s="34">
        <v>23</v>
      </c>
      <c r="G252" s="74" t="str">
        <f>"*"&amp;Tabla1[[#This Row],[Codigo de barras]]&amp;"*"</f>
        <v>*200700023*</v>
      </c>
    </row>
    <row r="253" spans="1:7" ht="21">
      <c r="A253">
        <f t="shared" si="8"/>
        <v>250</v>
      </c>
      <c r="B253" s="61">
        <f t="shared" si="11"/>
        <v>200700024</v>
      </c>
      <c r="C253" s="46" t="s">
        <v>24</v>
      </c>
      <c r="D253" s="34">
        <v>2258</v>
      </c>
      <c r="E253" s="34">
        <v>91.7</v>
      </c>
      <c r="F253" s="34">
        <v>24</v>
      </c>
      <c r="G253" s="74" t="str">
        <f>"*"&amp;Tabla1[[#This Row],[Codigo de barras]]&amp;"*"</f>
        <v>*200700024*</v>
      </c>
    </row>
    <row r="254" spans="1:7" ht="21">
      <c r="A254">
        <f t="shared" si="8"/>
        <v>251</v>
      </c>
      <c r="B254" s="61">
        <f t="shared" si="11"/>
        <v>200700025</v>
      </c>
      <c r="C254" s="46" t="s">
        <v>24</v>
      </c>
      <c r="D254" s="34">
        <v>2350</v>
      </c>
      <c r="E254" s="34">
        <v>92.5</v>
      </c>
      <c r="F254" s="34">
        <v>25</v>
      </c>
      <c r="G254" s="74" t="str">
        <f>"*"&amp;Tabla1[[#This Row],[Codigo de barras]]&amp;"*"</f>
        <v>*200700025*</v>
      </c>
    </row>
    <row r="255" spans="1:7" ht="21">
      <c r="A255">
        <f t="shared" si="8"/>
        <v>252</v>
      </c>
      <c r="B255" s="61">
        <f t="shared" si="11"/>
        <v>200700026</v>
      </c>
      <c r="C255" s="46" t="s">
        <v>24</v>
      </c>
      <c r="D255" s="34">
        <v>2251</v>
      </c>
      <c r="E255" s="34">
        <v>92.4</v>
      </c>
      <c r="F255" s="34">
        <v>26</v>
      </c>
      <c r="G255" s="74" t="str">
        <f>"*"&amp;Tabla1[[#This Row],[Codigo de barras]]&amp;"*"</f>
        <v>*200700026*</v>
      </c>
    </row>
    <row r="256" spans="1:7" ht="21">
      <c r="A256">
        <f t="shared" si="8"/>
        <v>253</v>
      </c>
      <c r="B256" s="61">
        <f t="shared" si="11"/>
        <v>200700027</v>
      </c>
      <c r="C256" s="46" t="s">
        <v>24</v>
      </c>
      <c r="D256" s="34">
        <v>2150</v>
      </c>
      <c r="E256" s="34">
        <v>88.5</v>
      </c>
      <c r="F256" s="34">
        <v>27</v>
      </c>
      <c r="G256" s="74" t="str">
        <f>"*"&amp;Tabla1[[#This Row],[Codigo de barras]]&amp;"*"</f>
        <v>*200700027*</v>
      </c>
    </row>
    <row r="257" spans="1:7" ht="21">
      <c r="A257">
        <f t="shared" si="8"/>
        <v>254</v>
      </c>
      <c r="B257" s="61">
        <f t="shared" si="11"/>
        <v>200700028</v>
      </c>
      <c r="C257" s="46" t="s">
        <v>24</v>
      </c>
      <c r="D257" s="34">
        <v>2234</v>
      </c>
      <c r="E257" s="34">
        <v>91.4</v>
      </c>
      <c r="F257" s="34">
        <v>28</v>
      </c>
      <c r="G257" s="74" t="str">
        <f>"*"&amp;Tabla1[[#This Row],[Codigo de barras]]&amp;"*"</f>
        <v>*200700028*</v>
      </c>
    </row>
    <row r="258" spans="1:7" ht="21">
      <c r="A258">
        <f t="shared" si="8"/>
        <v>255</v>
      </c>
      <c r="B258" s="61">
        <f t="shared" si="11"/>
        <v>200700029</v>
      </c>
      <c r="C258" s="46" t="s">
        <v>24</v>
      </c>
      <c r="D258" s="34">
        <v>2103</v>
      </c>
      <c r="E258" s="34">
        <v>83.4</v>
      </c>
      <c r="F258" s="34">
        <v>29</v>
      </c>
      <c r="G258" s="74" t="str">
        <f>"*"&amp;Tabla1[[#This Row],[Codigo de barras]]&amp;"*"</f>
        <v>*200700029*</v>
      </c>
    </row>
    <row r="259" spans="1:7" ht="21">
      <c r="A259">
        <f t="shared" si="8"/>
        <v>256</v>
      </c>
      <c r="B259" s="61">
        <f t="shared" si="11"/>
        <v>200700030</v>
      </c>
      <c r="C259" s="46" t="s">
        <v>24</v>
      </c>
      <c r="D259" s="34">
        <v>2150</v>
      </c>
      <c r="E259" s="34">
        <v>87.4</v>
      </c>
      <c r="F259" s="34">
        <v>30</v>
      </c>
      <c r="G259" s="74" t="str">
        <f>"*"&amp;Tabla1[[#This Row],[Codigo de barras]]&amp;"*"</f>
        <v>*200700030*</v>
      </c>
    </row>
    <row r="260" spans="1:7" ht="21">
      <c r="A260">
        <f t="shared" si="8"/>
        <v>257</v>
      </c>
      <c r="B260" s="61">
        <f t="shared" si="11"/>
        <v>200700031</v>
      </c>
      <c r="C260" s="46" t="s">
        <v>24</v>
      </c>
      <c r="D260" s="34">
        <v>2103</v>
      </c>
      <c r="E260" s="34">
        <v>84.3</v>
      </c>
      <c r="F260" s="34">
        <v>31</v>
      </c>
      <c r="G260" s="74" t="str">
        <f>"*"&amp;Tabla1[[#This Row],[Codigo de barras]]&amp;"*"</f>
        <v>*200700031*</v>
      </c>
    </row>
    <row r="261" spans="1:7" ht="21">
      <c r="A261">
        <f t="shared" si="8"/>
        <v>258</v>
      </c>
      <c r="B261" s="61">
        <f t="shared" si="11"/>
        <v>200700032</v>
      </c>
      <c r="C261" s="46" t="s">
        <v>24</v>
      </c>
      <c r="D261" s="34">
        <v>2231</v>
      </c>
      <c r="E261" s="34">
        <v>91.2</v>
      </c>
      <c r="F261" s="34">
        <v>32</v>
      </c>
      <c r="G261" s="74" t="str">
        <f>"*"&amp;Tabla1[[#This Row],[Codigo de barras]]&amp;"*"</f>
        <v>*200700032*</v>
      </c>
    </row>
    <row r="262" spans="1:7" ht="21">
      <c r="A262">
        <f t="shared" ref="A262:B323" si="12">+A261+1</f>
        <v>259</v>
      </c>
      <c r="B262" s="61">
        <f>+B261+1</f>
        <v>200700033</v>
      </c>
      <c r="C262" s="46" t="s">
        <v>24</v>
      </c>
      <c r="D262" s="34">
        <v>2234</v>
      </c>
      <c r="E262" s="34">
        <v>92.3</v>
      </c>
      <c r="F262" s="34">
        <v>33</v>
      </c>
      <c r="G262" s="74" t="str">
        <f>"*"&amp;Tabla1[[#This Row],[Codigo de barras]]&amp;"*"</f>
        <v>*200700033*</v>
      </c>
    </row>
    <row r="263" spans="1:7" ht="21">
      <c r="A263">
        <f t="shared" si="12"/>
        <v>260</v>
      </c>
      <c r="B263" s="62">
        <v>300670001</v>
      </c>
      <c r="C263" s="46" t="s">
        <v>25</v>
      </c>
      <c r="D263" s="34">
        <v>2200</v>
      </c>
      <c r="E263" s="34">
        <v>77</v>
      </c>
      <c r="F263" s="34">
        <v>1</v>
      </c>
      <c r="G263" s="74" t="str">
        <f>"*"&amp;Tabla1[[#This Row],[Codigo de barras]]&amp;"*"</f>
        <v>*300670001*</v>
      </c>
    </row>
    <row r="264" spans="1:7" ht="21">
      <c r="A264">
        <f t="shared" si="12"/>
        <v>261</v>
      </c>
      <c r="B264" s="62">
        <f>+B263+1</f>
        <v>300670002</v>
      </c>
      <c r="C264" s="46" t="s">
        <v>25</v>
      </c>
      <c r="D264" s="34">
        <v>2200</v>
      </c>
      <c r="E264" s="34">
        <v>77</v>
      </c>
      <c r="F264" s="34">
        <v>2</v>
      </c>
      <c r="G264" s="74" t="str">
        <f>"*"&amp;Tabla1[[#This Row],[Codigo de barras]]&amp;"*"</f>
        <v>*300670002*</v>
      </c>
    </row>
    <row r="265" spans="1:7" ht="21">
      <c r="A265">
        <f t="shared" si="12"/>
        <v>262</v>
      </c>
      <c r="B265" s="62">
        <f>+B264+1</f>
        <v>300670003</v>
      </c>
      <c r="C265" s="46" t="s">
        <v>25</v>
      </c>
      <c r="D265" s="34">
        <v>2200</v>
      </c>
      <c r="E265" s="34">
        <v>77</v>
      </c>
      <c r="F265" s="34">
        <v>3</v>
      </c>
      <c r="G265" s="74" t="str">
        <f>"*"&amp;Tabla1[[#This Row],[Codigo de barras]]&amp;"*"</f>
        <v>*300670003*</v>
      </c>
    </row>
    <row r="266" spans="1:7" ht="21">
      <c r="A266">
        <f t="shared" si="12"/>
        <v>263</v>
      </c>
      <c r="B266" s="62">
        <f>+B265+1</f>
        <v>300670004</v>
      </c>
      <c r="C266" s="46" t="s">
        <v>25</v>
      </c>
      <c r="D266" s="34">
        <v>2200</v>
      </c>
      <c r="E266" s="34">
        <v>77</v>
      </c>
      <c r="F266" s="34">
        <v>4</v>
      </c>
      <c r="G266" s="74" t="str">
        <f>"*"&amp;Tabla1[[#This Row],[Codigo de barras]]&amp;"*"</f>
        <v>*300670004*</v>
      </c>
    </row>
    <row r="267" spans="1:7" ht="21">
      <c r="A267">
        <f t="shared" si="12"/>
        <v>264</v>
      </c>
      <c r="B267" s="62">
        <f>+B266+1</f>
        <v>300670005</v>
      </c>
      <c r="C267" s="46" t="s">
        <v>25</v>
      </c>
      <c r="D267" s="34">
        <v>2200</v>
      </c>
      <c r="E267" s="34">
        <v>77</v>
      </c>
      <c r="F267" s="34">
        <v>5</v>
      </c>
      <c r="G267" s="74" t="str">
        <f>"*"&amp;Tabla1[[#This Row],[Codigo de barras]]&amp;"*"</f>
        <v>*300670005*</v>
      </c>
    </row>
    <row r="268" spans="1:7" ht="21">
      <c r="A268">
        <f t="shared" si="12"/>
        <v>265</v>
      </c>
      <c r="B268" s="62">
        <f t="shared" si="12"/>
        <v>300670006</v>
      </c>
      <c r="C268" s="46" t="s">
        <v>25</v>
      </c>
      <c r="D268" s="34">
        <v>2200</v>
      </c>
      <c r="E268" s="34">
        <v>77</v>
      </c>
      <c r="F268" s="34">
        <v>6</v>
      </c>
      <c r="G268" s="74" t="str">
        <f>"*"&amp;Tabla1[[#This Row],[Codigo de barras]]&amp;"*"</f>
        <v>*300670006*</v>
      </c>
    </row>
    <row r="269" spans="1:7" ht="21">
      <c r="A269">
        <f t="shared" si="12"/>
        <v>266</v>
      </c>
      <c r="B269" s="62">
        <f t="shared" si="12"/>
        <v>300670007</v>
      </c>
      <c r="C269" s="46" t="s">
        <v>25</v>
      </c>
      <c r="D269" s="34">
        <v>2200</v>
      </c>
      <c r="E269" s="34">
        <v>77</v>
      </c>
      <c r="F269" s="34">
        <v>7</v>
      </c>
      <c r="G269" s="74" t="str">
        <f>"*"&amp;Tabla1[[#This Row],[Codigo de barras]]&amp;"*"</f>
        <v>*300670007*</v>
      </c>
    </row>
    <row r="270" spans="1:7" ht="21">
      <c r="A270">
        <f t="shared" si="12"/>
        <v>267</v>
      </c>
      <c r="B270" s="62">
        <f t="shared" si="12"/>
        <v>300670008</v>
      </c>
      <c r="C270" s="46" t="s">
        <v>25</v>
      </c>
      <c r="D270" s="34">
        <v>2200</v>
      </c>
      <c r="E270" s="34">
        <v>77</v>
      </c>
      <c r="F270" s="34">
        <v>8</v>
      </c>
      <c r="G270" s="74" t="str">
        <f>"*"&amp;Tabla1[[#This Row],[Codigo de barras]]&amp;"*"</f>
        <v>*300670008*</v>
      </c>
    </row>
    <row r="271" spans="1:7" ht="21">
      <c r="A271">
        <f t="shared" si="12"/>
        <v>268</v>
      </c>
      <c r="B271" s="62">
        <f t="shared" si="12"/>
        <v>300670009</v>
      </c>
      <c r="C271" s="46" t="s">
        <v>25</v>
      </c>
      <c r="D271" s="34">
        <v>2200</v>
      </c>
      <c r="E271" s="34">
        <v>77</v>
      </c>
      <c r="F271" s="34">
        <v>9</v>
      </c>
      <c r="G271" s="74" t="str">
        <f>"*"&amp;Tabla1[[#This Row],[Codigo de barras]]&amp;"*"</f>
        <v>*300670009*</v>
      </c>
    </row>
    <row r="272" spans="1:7" ht="21">
      <c r="A272">
        <f t="shared" si="12"/>
        <v>269</v>
      </c>
      <c r="B272" s="62">
        <f t="shared" si="12"/>
        <v>300670010</v>
      </c>
      <c r="C272" s="46" t="s">
        <v>25</v>
      </c>
      <c r="D272" s="34">
        <v>2200</v>
      </c>
      <c r="E272" s="34">
        <v>77</v>
      </c>
      <c r="F272" s="34">
        <v>10</v>
      </c>
      <c r="G272" s="74" t="str">
        <f>"*"&amp;Tabla1[[#This Row],[Codigo de barras]]&amp;"*"</f>
        <v>*300670010*</v>
      </c>
    </row>
    <row r="273" spans="1:7" ht="21">
      <c r="A273">
        <f t="shared" si="12"/>
        <v>270</v>
      </c>
      <c r="B273" s="62">
        <f t="shared" si="12"/>
        <v>300670011</v>
      </c>
      <c r="C273" s="46" t="s">
        <v>25</v>
      </c>
      <c r="D273" s="34">
        <v>2200</v>
      </c>
      <c r="E273" s="34">
        <v>77</v>
      </c>
      <c r="F273" s="34">
        <v>11</v>
      </c>
      <c r="G273" s="74" t="str">
        <f>"*"&amp;Tabla1[[#This Row],[Codigo de barras]]&amp;"*"</f>
        <v>*300670011*</v>
      </c>
    </row>
    <row r="274" spans="1:7" ht="21">
      <c r="A274">
        <f t="shared" si="12"/>
        <v>271</v>
      </c>
      <c r="B274" s="62">
        <f t="shared" si="12"/>
        <v>300670012</v>
      </c>
      <c r="C274" s="46" t="s">
        <v>25</v>
      </c>
      <c r="D274" s="34">
        <v>2200</v>
      </c>
      <c r="E274" s="34">
        <v>77</v>
      </c>
      <c r="F274" s="34">
        <v>12</v>
      </c>
      <c r="G274" s="74" t="str">
        <f>"*"&amp;Tabla1[[#This Row],[Codigo de barras]]&amp;"*"</f>
        <v>*300670012*</v>
      </c>
    </row>
    <row r="275" spans="1:7" ht="21">
      <c r="A275">
        <f t="shared" si="12"/>
        <v>272</v>
      </c>
      <c r="B275" s="62">
        <f t="shared" si="12"/>
        <v>300670013</v>
      </c>
      <c r="C275" s="46" t="s">
        <v>25</v>
      </c>
      <c r="D275" s="34">
        <v>2200</v>
      </c>
      <c r="E275" s="34">
        <v>77</v>
      </c>
      <c r="F275" s="34">
        <v>13</v>
      </c>
      <c r="G275" s="74" t="str">
        <f>"*"&amp;Tabla1[[#This Row],[Codigo de barras]]&amp;"*"</f>
        <v>*300670013*</v>
      </c>
    </row>
    <row r="276" spans="1:7" ht="21">
      <c r="A276">
        <f t="shared" si="12"/>
        <v>273</v>
      </c>
      <c r="B276" s="62">
        <f t="shared" si="12"/>
        <v>300670014</v>
      </c>
      <c r="C276" s="46" t="s">
        <v>25</v>
      </c>
      <c r="D276" s="34">
        <v>2200</v>
      </c>
      <c r="E276" s="34">
        <v>77</v>
      </c>
      <c r="F276" s="34">
        <v>14</v>
      </c>
      <c r="G276" s="74" t="str">
        <f>"*"&amp;Tabla1[[#This Row],[Codigo de barras]]&amp;"*"</f>
        <v>*300670014*</v>
      </c>
    </row>
    <row r="277" spans="1:7" ht="21">
      <c r="A277">
        <f t="shared" si="12"/>
        <v>274</v>
      </c>
      <c r="B277" s="62">
        <f t="shared" si="12"/>
        <v>300670015</v>
      </c>
      <c r="C277" s="46" t="s">
        <v>25</v>
      </c>
      <c r="D277" s="34">
        <v>2200</v>
      </c>
      <c r="E277" s="34">
        <v>77</v>
      </c>
      <c r="F277" s="34">
        <v>15</v>
      </c>
      <c r="G277" s="74" t="str">
        <f>"*"&amp;Tabla1[[#This Row],[Codigo de barras]]&amp;"*"</f>
        <v>*300670015*</v>
      </c>
    </row>
    <row r="278" spans="1:7" ht="21">
      <c r="A278">
        <f t="shared" si="12"/>
        <v>275</v>
      </c>
      <c r="B278" s="62">
        <f t="shared" si="12"/>
        <v>300670016</v>
      </c>
      <c r="C278" s="46" t="s">
        <v>25</v>
      </c>
      <c r="D278" s="34">
        <v>2200</v>
      </c>
      <c r="E278" s="34">
        <v>77</v>
      </c>
      <c r="F278" s="34">
        <v>16</v>
      </c>
      <c r="G278" s="74" t="str">
        <f>"*"&amp;Tabla1[[#This Row],[Codigo de barras]]&amp;"*"</f>
        <v>*300670016*</v>
      </c>
    </row>
    <row r="279" spans="1:7" ht="21">
      <c r="A279">
        <f t="shared" si="12"/>
        <v>276</v>
      </c>
      <c r="B279" s="62">
        <f t="shared" si="12"/>
        <v>300670017</v>
      </c>
      <c r="C279" s="46" t="s">
        <v>25</v>
      </c>
      <c r="D279" s="34">
        <v>2200</v>
      </c>
      <c r="E279" s="34">
        <v>77</v>
      </c>
      <c r="F279" s="34">
        <v>17</v>
      </c>
      <c r="G279" s="74" t="str">
        <f>"*"&amp;Tabla1[[#This Row],[Codigo de barras]]&amp;"*"</f>
        <v>*300670017*</v>
      </c>
    </row>
    <row r="280" spans="1:7" ht="21">
      <c r="A280">
        <f t="shared" si="12"/>
        <v>277</v>
      </c>
      <c r="B280" s="62">
        <f t="shared" si="12"/>
        <v>300670018</v>
      </c>
      <c r="C280" s="46" t="s">
        <v>25</v>
      </c>
      <c r="D280" s="34">
        <v>2200</v>
      </c>
      <c r="E280" s="34">
        <v>77</v>
      </c>
      <c r="F280" s="34">
        <v>18</v>
      </c>
      <c r="G280" s="74" t="str">
        <f>"*"&amp;Tabla1[[#This Row],[Codigo de barras]]&amp;"*"</f>
        <v>*300670018*</v>
      </c>
    </row>
    <row r="281" spans="1:7" ht="21">
      <c r="A281">
        <f t="shared" si="12"/>
        <v>278</v>
      </c>
      <c r="B281" s="62">
        <f t="shared" si="12"/>
        <v>300670019</v>
      </c>
      <c r="C281" s="46" t="s">
        <v>25</v>
      </c>
      <c r="D281" s="34">
        <v>2200</v>
      </c>
      <c r="E281" s="34">
        <v>77</v>
      </c>
      <c r="F281" s="34">
        <v>19</v>
      </c>
      <c r="G281" s="74" t="str">
        <f>"*"&amp;Tabla1[[#This Row],[Codigo de barras]]&amp;"*"</f>
        <v>*300670019*</v>
      </c>
    </row>
    <row r="282" spans="1:7" ht="21">
      <c r="A282">
        <f t="shared" si="12"/>
        <v>279</v>
      </c>
      <c r="B282" s="62">
        <f t="shared" si="12"/>
        <v>300670020</v>
      </c>
      <c r="C282" s="46" t="s">
        <v>25</v>
      </c>
      <c r="D282" s="34">
        <v>2200</v>
      </c>
      <c r="E282" s="34">
        <v>77</v>
      </c>
      <c r="F282" s="34">
        <v>20</v>
      </c>
      <c r="G282" s="74" t="str">
        <f>"*"&amp;Tabla1[[#This Row],[Codigo de barras]]&amp;"*"</f>
        <v>*300670020*</v>
      </c>
    </row>
    <row r="283" spans="1:7" ht="21">
      <c r="A283">
        <f t="shared" si="12"/>
        <v>280</v>
      </c>
      <c r="B283" s="62">
        <f t="shared" si="12"/>
        <v>300670021</v>
      </c>
      <c r="C283" s="46" t="s">
        <v>25</v>
      </c>
      <c r="D283" s="34">
        <v>2200</v>
      </c>
      <c r="E283" s="34">
        <v>77</v>
      </c>
      <c r="F283" s="34">
        <v>21</v>
      </c>
      <c r="G283" s="74" t="str">
        <f>"*"&amp;Tabla1[[#This Row],[Codigo de barras]]&amp;"*"</f>
        <v>*300670021*</v>
      </c>
    </row>
    <row r="284" spans="1:7" ht="21">
      <c r="A284">
        <f t="shared" si="12"/>
        <v>281</v>
      </c>
      <c r="B284" s="62">
        <f t="shared" si="12"/>
        <v>300670022</v>
      </c>
      <c r="C284" s="46" t="s">
        <v>25</v>
      </c>
      <c r="D284" s="34">
        <v>2200</v>
      </c>
      <c r="E284" s="34">
        <v>77</v>
      </c>
      <c r="F284" s="34">
        <v>22</v>
      </c>
      <c r="G284" s="74" t="str">
        <f>"*"&amp;Tabla1[[#This Row],[Codigo de barras]]&amp;"*"</f>
        <v>*300670022*</v>
      </c>
    </row>
    <row r="285" spans="1:7" ht="21">
      <c r="A285">
        <f t="shared" si="12"/>
        <v>282</v>
      </c>
      <c r="B285" s="62">
        <f t="shared" si="12"/>
        <v>300670023</v>
      </c>
      <c r="C285" s="46" t="s">
        <v>25</v>
      </c>
      <c r="D285" s="34">
        <v>2200</v>
      </c>
      <c r="E285" s="34">
        <v>77</v>
      </c>
      <c r="F285" s="34">
        <v>23</v>
      </c>
      <c r="G285" s="74" t="str">
        <f>"*"&amp;Tabla1[[#This Row],[Codigo de barras]]&amp;"*"</f>
        <v>*300670023*</v>
      </c>
    </row>
    <row r="286" spans="1:7" ht="21">
      <c r="A286">
        <f t="shared" si="12"/>
        <v>283</v>
      </c>
      <c r="B286" s="62">
        <f t="shared" si="12"/>
        <v>300670024</v>
      </c>
      <c r="C286" s="46" t="s">
        <v>25</v>
      </c>
      <c r="D286" s="34">
        <v>2200</v>
      </c>
      <c r="E286" s="34">
        <v>77</v>
      </c>
      <c r="F286" s="34">
        <v>24</v>
      </c>
      <c r="G286" s="74" t="str">
        <f>"*"&amp;Tabla1[[#This Row],[Codigo de barras]]&amp;"*"</f>
        <v>*300670024*</v>
      </c>
    </row>
    <row r="287" spans="1:7" ht="21">
      <c r="A287">
        <f t="shared" si="12"/>
        <v>284</v>
      </c>
      <c r="B287" s="62">
        <f t="shared" si="12"/>
        <v>300670025</v>
      </c>
      <c r="C287" s="46" t="s">
        <v>25</v>
      </c>
      <c r="D287" s="34">
        <v>2200</v>
      </c>
      <c r="E287" s="34">
        <v>77</v>
      </c>
      <c r="F287" s="34">
        <v>25</v>
      </c>
      <c r="G287" s="74" t="str">
        <f>"*"&amp;Tabla1[[#This Row],[Codigo de barras]]&amp;"*"</f>
        <v>*300670025*</v>
      </c>
    </row>
    <row r="288" spans="1:7" ht="21">
      <c r="A288">
        <f t="shared" si="12"/>
        <v>285</v>
      </c>
      <c r="B288" s="62">
        <f t="shared" si="12"/>
        <v>300670026</v>
      </c>
      <c r="C288" s="46" t="s">
        <v>25</v>
      </c>
      <c r="D288" s="34">
        <v>2200</v>
      </c>
      <c r="E288" s="34">
        <v>77</v>
      </c>
      <c r="F288" s="34">
        <v>26</v>
      </c>
      <c r="G288" s="74" t="str">
        <f>"*"&amp;Tabla1[[#This Row],[Codigo de barras]]&amp;"*"</f>
        <v>*300670026*</v>
      </c>
    </row>
    <row r="289" spans="1:7" ht="21">
      <c r="A289">
        <f t="shared" si="12"/>
        <v>286</v>
      </c>
      <c r="B289" s="62">
        <f t="shared" si="12"/>
        <v>300670027</v>
      </c>
      <c r="C289" s="46" t="s">
        <v>25</v>
      </c>
      <c r="D289" s="34">
        <v>2200</v>
      </c>
      <c r="E289" s="34">
        <v>77</v>
      </c>
      <c r="F289" s="34">
        <v>27</v>
      </c>
      <c r="G289" s="74" t="str">
        <f>"*"&amp;Tabla1[[#This Row],[Codigo de barras]]&amp;"*"</f>
        <v>*300670027*</v>
      </c>
    </row>
    <row r="290" spans="1:7" ht="21">
      <c r="A290">
        <f t="shared" si="12"/>
        <v>287</v>
      </c>
      <c r="B290" s="62">
        <f t="shared" si="12"/>
        <v>300670028</v>
      </c>
      <c r="C290" s="46" t="s">
        <v>25</v>
      </c>
      <c r="D290" s="34">
        <v>2200</v>
      </c>
      <c r="E290" s="34">
        <v>77</v>
      </c>
      <c r="F290" s="34">
        <v>28</v>
      </c>
      <c r="G290" s="74" t="str">
        <f>"*"&amp;Tabla1[[#This Row],[Codigo de barras]]&amp;"*"</f>
        <v>*300670028*</v>
      </c>
    </row>
    <row r="291" spans="1:7" ht="21">
      <c r="A291">
        <f t="shared" si="12"/>
        <v>288</v>
      </c>
      <c r="B291" s="62">
        <f t="shared" si="12"/>
        <v>300670029</v>
      </c>
      <c r="C291" s="46" t="s">
        <v>25</v>
      </c>
      <c r="D291" s="34">
        <v>2200</v>
      </c>
      <c r="E291" s="34">
        <v>77</v>
      </c>
      <c r="F291" s="34">
        <v>29</v>
      </c>
      <c r="G291" s="74" t="str">
        <f>"*"&amp;Tabla1[[#This Row],[Codigo de barras]]&amp;"*"</f>
        <v>*300670029*</v>
      </c>
    </row>
    <row r="292" spans="1:7" ht="21">
      <c r="A292">
        <f t="shared" si="12"/>
        <v>289</v>
      </c>
      <c r="B292" s="62">
        <f t="shared" si="12"/>
        <v>300670030</v>
      </c>
      <c r="C292" s="46" t="s">
        <v>25</v>
      </c>
      <c r="D292" s="34">
        <v>2200</v>
      </c>
      <c r="E292" s="34">
        <v>77</v>
      </c>
      <c r="F292" s="34">
        <v>30</v>
      </c>
      <c r="G292" s="74" t="str">
        <f>"*"&amp;Tabla1[[#This Row],[Codigo de barras]]&amp;"*"</f>
        <v>*300670030*</v>
      </c>
    </row>
    <row r="293" spans="1:7" ht="21">
      <c r="A293">
        <f t="shared" si="12"/>
        <v>290</v>
      </c>
      <c r="B293" s="62">
        <f t="shared" si="12"/>
        <v>300670031</v>
      </c>
      <c r="C293" s="46" t="s">
        <v>25</v>
      </c>
      <c r="D293" s="34">
        <v>2200</v>
      </c>
      <c r="E293" s="34">
        <v>77</v>
      </c>
      <c r="F293" s="34">
        <v>31</v>
      </c>
      <c r="G293" s="74" t="str">
        <f>"*"&amp;Tabla1[[#This Row],[Codigo de barras]]&amp;"*"</f>
        <v>*300670031*</v>
      </c>
    </row>
    <row r="294" spans="1:7" ht="21">
      <c r="A294">
        <f t="shared" si="12"/>
        <v>291</v>
      </c>
      <c r="B294" s="62">
        <f t="shared" si="12"/>
        <v>300670032</v>
      </c>
      <c r="C294" s="46" t="s">
        <v>25</v>
      </c>
      <c r="D294" s="34">
        <v>2200</v>
      </c>
      <c r="E294" s="34">
        <v>77</v>
      </c>
      <c r="F294" s="34">
        <v>32</v>
      </c>
      <c r="G294" s="74" t="str">
        <f>"*"&amp;Tabla1[[#This Row],[Codigo de barras]]&amp;"*"</f>
        <v>*300670032*</v>
      </c>
    </row>
    <row r="295" spans="1:7" ht="21">
      <c r="A295">
        <f t="shared" si="12"/>
        <v>292</v>
      </c>
      <c r="B295" s="62">
        <f t="shared" si="12"/>
        <v>300670033</v>
      </c>
      <c r="C295" s="46" t="s">
        <v>25</v>
      </c>
      <c r="D295" s="34">
        <v>2200</v>
      </c>
      <c r="E295" s="34">
        <v>77</v>
      </c>
      <c r="F295" s="34">
        <v>33</v>
      </c>
      <c r="G295" s="74" t="str">
        <f>"*"&amp;Tabla1[[#This Row],[Codigo de barras]]&amp;"*"</f>
        <v>*300670033*</v>
      </c>
    </row>
    <row r="296" spans="1:7" ht="21">
      <c r="A296">
        <f t="shared" si="12"/>
        <v>293</v>
      </c>
      <c r="B296" s="62">
        <f t="shared" si="12"/>
        <v>300670034</v>
      </c>
      <c r="C296" s="46" t="s">
        <v>25</v>
      </c>
      <c r="D296" s="34">
        <v>2200</v>
      </c>
      <c r="E296" s="34">
        <v>77</v>
      </c>
      <c r="F296" s="34">
        <v>34</v>
      </c>
      <c r="G296" s="74" t="str">
        <f>"*"&amp;Tabla1[[#This Row],[Codigo de barras]]&amp;"*"</f>
        <v>*300670034*</v>
      </c>
    </row>
    <row r="297" spans="1:7" ht="21">
      <c r="A297">
        <f t="shared" si="12"/>
        <v>294</v>
      </c>
      <c r="B297" s="62">
        <f t="shared" si="12"/>
        <v>300670035</v>
      </c>
      <c r="C297" s="46" t="s">
        <v>25</v>
      </c>
      <c r="D297" s="34">
        <v>2200</v>
      </c>
      <c r="E297" s="34">
        <v>77</v>
      </c>
      <c r="F297" s="34">
        <v>35</v>
      </c>
      <c r="G297" s="74" t="str">
        <f>"*"&amp;Tabla1[[#This Row],[Codigo de barras]]&amp;"*"</f>
        <v>*300670035*</v>
      </c>
    </row>
    <row r="298" spans="1:7" ht="21">
      <c r="A298">
        <f t="shared" si="12"/>
        <v>295</v>
      </c>
      <c r="B298" s="62">
        <f t="shared" si="12"/>
        <v>300670036</v>
      </c>
      <c r="C298" s="46" t="s">
        <v>25</v>
      </c>
      <c r="D298" s="34">
        <v>2200</v>
      </c>
      <c r="E298" s="34">
        <v>77</v>
      </c>
      <c r="F298" s="34">
        <v>36</v>
      </c>
      <c r="G298" s="74" t="str">
        <f>"*"&amp;Tabla1[[#This Row],[Codigo de barras]]&amp;"*"</f>
        <v>*300670036*</v>
      </c>
    </row>
    <row r="299" spans="1:7" ht="21">
      <c r="A299">
        <f t="shared" si="12"/>
        <v>296</v>
      </c>
      <c r="B299" s="62">
        <f t="shared" si="12"/>
        <v>300670037</v>
      </c>
      <c r="C299" s="46" t="s">
        <v>25</v>
      </c>
      <c r="D299" s="34">
        <v>2200</v>
      </c>
      <c r="E299" s="34">
        <v>77</v>
      </c>
      <c r="F299" s="34">
        <v>37</v>
      </c>
      <c r="G299" s="74" t="str">
        <f>"*"&amp;Tabla1[[#This Row],[Codigo de barras]]&amp;"*"</f>
        <v>*300670037*</v>
      </c>
    </row>
    <row r="300" spans="1:7" ht="21">
      <c r="A300">
        <f t="shared" si="12"/>
        <v>297</v>
      </c>
      <c r="B300" s="62">
        <f t="shared" si="12"/>
        <v>300670038</v>
      </c>
      <c r="C300" s="46" t="s">
        <v>25</v>
      </c>
      <c r="D300" s="34">
        <v>2200</v>
      </c>
      <c r="E300" s="34">
        <v>77</v>
      </c>
      <c r="F300" s="34">
        <v>38</v>
      </c>
      <c r="G300" s="74" t="str">
        <f>"*"&amp;Tabla1[[#This Row],[Codigo de barras]]&amp;"*"</f>
        <v>*300670038*</v>
      </c>
    </row>
    <row r="301" spans="1:7" ht="21">
      <c r="A301">
        <f t="shared" si="12"/>
        <v>298</v>
      </c>
      <c r="B301" s="62">
        <f t="shared" si="12"/>
        <v>300670039</v>
      </c>
      <c r="C301" s="46" t="s">
        <v>25</v>
      </c>
      <c r="D301" s="34">
        <v>2200</v>
      </c>
      <c r="E301" s="34">
        <v>77</v>
      </c>
      <c r="F301" s="34">
        <v>39</v>
      </c>
      <c r="G301" s="74" t="str">
        <f>"*"&amp;Tabla1[[#This Row],[Codigo de barras]]&amp;"*"</f>
        <v>*300670039*</v>
      </c>
    </row>
    <row r="302" spans="1:7" ht="21">
      <c r="A302">
        <f t="shared" si="12"/>
        <v>299</v>
      </c>
      <c r="B302" s="62">
        <f t="shared" si="12"/>
        <v>300670040</v>
      </c>
      <c r="C302" s="46" t="s">
        <v>25</v>
      </c>
      <c r="D302" s="34">
        <v>2200</v>
      </c>
      <c r="E302" s="34">
        <v>77</v>
      </c>
      <c r="F302" s="34">
        <v>40</v>
      </c>
      <c r="G302" s="74" t="str">
        <f>"*"&amp;Tabla1[[#This Row],[Codigo de barras]]&amp;"*"</f>
        <v>*300670040*</v>
      </c>
    </row>
    <row r="303" spans="1:7" ht="21">
      <c r="A303">
        <f t="shared" si="12"/>
        <v>300</v>
      </c>
      <c r="B303" s="62">
        <f t="shared" si="12"/>
        <v>300670041</v>
      </c>
      <c r="C303" s="46" t="s">
        <v>25</v>
      </c>
      <c r="D303" s="34">
        <v>2200</v>
      </c>
      <c r="E303" s="34">
        <v>77</v>
      </c>
      <c r="F303" s="34">
        <v>41</v>
      </c>
      <c r="G303" s="74" t="str">
        <f>"*"&amp;Tabla1[[#This Row],[Codigo de barras]]&amp;"*"</f>
        <v>*300670041*</v>
      </c>
    </row>
    <row r="304" spans="1:7" ht="21">
      <c r="A304">
        <f t="shared" si="12"/>
        <v>301</v>
      </c>
      <c r="B304" s="62">
        <f t="shared" si="12"/>
        <v>300670042</v>
      </c>
      <c r="C304" s="46" t="s">
        <v>25</v>
      </c>
      <c r="D304" s="34">
        <v>2200</v>
      </c>
      <c r="E304" s="34">
        <v>77</v>
      </c>
      <c r="F304" s="34">
        <v>42</v>
      </c>
      <c r="G304" s="74" t="str">
        <f>"*"&amp;Tabla1[[#This Row],[Codigo de barras]]&amp;"*"</f>
        <v>*300670042*</v>
      </c>
    </row>
    <row r="305" spans="1:7" ht="21">
      <c r="A305">
        <f t="shared" si="12"/>
        <v>302</v>
      </c>
      <c r="B305" s="62">
        <f t="shared" si="12"/>
        <v>300670043</v>
      </c>
      <c r="C305" s="46" t="s">
        <v>25</v>
      </c>
      <c r="D305" s="34">
        <v>2200</v>
      </c>
      <c r="E305" s="34">
        <v>77</v>
      </c>
      <c r="F305" s="34">
        <v>43</v>
      </c>
      <c r="G305" s="74" t="str">
        <f>"*"&amp;Tabla1[[#This Row],[Codigo de barras]]&amp;"*"</f>
        <v>*300670043*</v>
      </c>
    </row>
    <row r="306" spans="1:7" ht="21">
      <c r="A306">
        <f t="shared" si="12"/>
        <v>303</v>
      </c>
      <c r="B306" s="62">
        <f t="shared" si="12"/>
        <v>300670044</v>
      </c>
      <c r="C306" s="46" t="s">
        <v>25</v>
      </c>
      <c r="D306" s="34">
        <v>2200</v>
      </c>
      <c r="E306" s="34">
        <v>77</v>
      </c>
      <c r="F306" s="34">
        <v>44</v>
      </c>
      <c r="G306" s="74" t="str">
        <f>"*"&amp;Tabla1[[#This Row],[Codigo de barras]]&amp;"*"</f>
        <v>*300670044*</v>
      </c>
    </row>
    <row r="307" spans="1:7" ht="21">
      <c r="A307">
        <f t="shared" si="12"/>
        <v>304</v>
      </c>
      <c r="B307" s="62">
        <f t="shared" si="12"/>
        <v>300670045</v>
      </c>
      <c r="C307" s="46" t="s">
        <v>25</v>
      </c>
      <c r="D307" s="34">
        <v>2200</v>
      </c>
      <c r="E307" s="34">
        <v>77</v>
      </c>
      <c r="F307" s="34">
        <v>45</v>
      </c>
      <c r="G307" s="74" t="str">
        <f>"*"&amp;Tabla1[[#This Row],[Codigo de barras]]&amp;"*"</f>
        <v>*300670045*</v>
      </c>
    </row>
    <row r="308" spans="1:7" ht="21">
      <c r="A308">
        <f t="shared" si="12"/>
        <v>305</v>
      </c>
      <c r="B308" s="62">
        <f t="shared" si="12"/>
        <v>300670046</v>
      </c>
      <c r="C308" s="46" t="s">
        <v>25</v>
      </c>
      <c r="D308" s="34">
        <v>2200</v>
      </c>
      <c r="E308" s="34">
        <v>77</v>
      </c>
      <c r="F308" s="34">
        <v>46</v>
      </c>
      <c r="G308" s="74" t="str">
        <f>"*"&amp;Tabla1[[#This Row],[Codigo de barras]]&amp;"*"</f>
        <v>*300670046*</v>
      </c>
    </row>
    <row r="309" spans="1:7" ht="21">
      <c r="A309">
        <f t="shared" si="12"/>
        <v>306</v>
      </c>
      <c r="B309" s="62">
        <f t="shared" si="12"/>
        <v>300670047</v>
      </c>
      <c r="C309" s="46" t="s">
        <v>25</v>
      </c>
      <c r="D309" s="34">
        <v>2200</v>
      </c>
      <c r="E309" s="34">
        <v>77</v>
      </c>
      <c r="F309" s="34">
        <v>47</v>
      </c>
      <c r="G309" s="74" t="str">
        <f>"*"&amp;Tabla1[[#This Row],[Codigo de barras]]&amp;"*"</f>
        <v>*300670047*</v>
      </c>
    </row>
    <row r="310" spans="1:7" ht="21">
      <c r="A310">
        <f t="shared" si="12"/>
        <v>307</v>
      </c>
      <c r="B310" s="62">
        <f t="shared" si="12"/>
        <v>300670048</v>
      </c>
      <c r="C310" s="46" t="s">
        <v>25</v>
      </c>
      <c r="D310" s="34">
        <v>2200</v>
      </c>
      <c r="E310" s="34">
        <v>77</v>
      </c>
      <c r="F310" s="34">
        <v>48</v>
      </c>
      <c r="G310" s="74" t="str">
        <f>"*"&amp;Tabla1[[#This Row],[Codigo de barras]]&amp;"*"</f>
        <v>*300670048*</v>
      </c>
    </row>
    <row r="311" spans="1:7" ht="21">
      <c r="A311">
        <f t="shared" si="12"/>
        <v>308</v>
      </c>
      <c r="B311" s="62">
        <f t="shared" si="12"/>
        <v>300670049</v>
      </c>
      <c r="C311" s="46" t="s">
        <v>25</v>
      </c>
      <c r="D311" s="34">
        <v>2200</v>
      </c>
      <c r="E311" s="34">
        <v>77</v>
      </c>
      <c r="F311" s="34">
        <v>49</v>
      </c>
      <c r="G311" s="74" t="str">
        <f>"*"&amp;Tabla1[[#This Row],[Codigo de barras]]&amp;"*"</f>
        <v>*300670049*</v>
      </c>
    </row>
    <row r="312" spans="1:7" ht="21">
      <c r="A312">
        <f t="shared" si="12"/>
        <v>309</v>
      </c>
      <c r="B312" s="62">
        <f t="shared" si="12"/>
        <v>300670050</v>
      </c>
      <c r="C312" s="46" t="s">
        <v>25</v>
      </c>
      <c r="D312" s="34">
        <v>2200</v>
      </c>
      <c r="E312" s="34">
        <v>77</v>
      </c>
      <c r="F312" s="34">
        <v>50</v>
      </c>
      <c r="G312" s="74" t="str">
        <f>"*"&amp;Tabla1[[#This Row],[Codigo de barras]]&amp;"*"</f>
        <v>*300670050*</v>
      </c>
    </row>
    <row r="313" spans="1:7" ht="21">
      <c r="A313">
        <f t="shared" si="12"/>
        <v>310</v>
      </c>
      <c r="B313" s="62">
        <f t="shared" si="12"/>
        <v>300670051</v>
      </c>
      <c r="C313" s="46" t="s">
        <v>25</v>
      </c>
      <c r="D313" s="34">
        <v>2200</v>
      </c>
      <c r="E313" s="34">
        <v>77</v>
      </c>
      <c r="F313" s="34">
        <v>51</v>
      </c>
      <c r="G313" s="74" t="str">
        <f>"*"&amp;Tabla1[[#This Row],[Codigo de barras]]&amp;"*"</f>
        <v>*300670051*</v>
      </c>
    </row>
    <row r="314" spans="1:7" ht="21">
      <c r="A314">
        <f t="shared" si="12"/>
        <v>311</v>
      </c>
      <c r="B314" s="62">
        <f t="shared" si="12"/>
        <v>300670052</v>
      </c>
      <c r="C314" s="46" t="s">
        <v>25</v>
      </c>
      <c r="D314" s="34">
        <v>2200</v>
      </c>
      <c r="E314" s="34">
        <v>77</v>
      </c>
      <c r="F314" s="34">
        <v>52</v>
      </c>
      <c r="G314" s="74" t="str">
        <f>"*"&amp;Tabla1[[#This Row],[Codigo de barras]]&amp;"*"</f>
        <v>*300670052*</v>
      </c>
    </row>
    <row r="315" spans="1:7" ht="21">
      <c r="A315">
        <f t="shared" si="12"/>
        <v>312</v>
      </c>
      <c r="B315" s="62">
        <f t="shared" si="12"/>
        <v>300670053</v>
      </c>
      <c r="C315" s="46" t="s">
        <v>25</v>
      </c>
      <c r="D315" s="34">
        <v>2200</v>
      </c>
      <c r="E315" s="34">
        <v>77</v>
      </c>
      <c r="F315" s="34">
        <v>53</v>
      </c>
      <c r="G315" s="74" t="str">
        <f>"*"&amp;Tabla1[[#This Row],[Codigo de barras]]&amp;"*"</f>
        <v>*300670053*</v>
      </c>
    </row>
    <row r="316" spans="1:7" ht="21">
      <c r="A316">
        <f t="shared" si="12"/>
        <v>313</v>
      </c>
      <c r="B316" s="62">
        <f t="shared" si="12"/>
        <v>300670054</v>
      </c>
      <c r="C316" s="46" t="s">
        <v>25</v>
      </c>
      <c r="D316" s="34">
        <v>2200</v>
      </c>
      <c r="E316" s="34">
        <v>77</v>
      </c>
      <c r="F316" s="34">
        <v>54</v>
      </c>
      <c r="G316" s="74" t="str">
        <f>"*"&amp;Tabla1[[#This Row],[Codigo de barras]]&amp;"*"</f>
        <v>*300670054*</v>
      </c>
    </row>
    <row r="317" spans="1:7" ht="21">
      <c r="A317">
        <f t="shared" si="12"/>
        <v>314</v>
      </c>
      <c r="B317" s="62">
        <f t="shared" si="12"/>
        <v>300670055</v>
      </c>
      <c r="C317" s="46" t="s">
        <v>25</v>
      </c>
      <c r="D317" s="34">
        <v>2200</v>
      </c>
      <c r="E317" s="34">
        <v>77</v>
      </c>
      <c r="F317" s="34">
        <v>55</v>
      </c>
      <c r="G317" s="74" t="str">
        <f>"*"&amp;Tabla1[[#This Row],[Codigo de barras]]&amp;"*"</f>
        <v>*300670055*</v>
      </c>
    </row>
    <row r="318" spans="1:7" ht="21">
      <c r="A318">
        <f t="shared" si="12"/>
        <v>315</v>
      </c>
      <c r="B318" s="62">
        <f t="shared" si="12"/>
        <v>300670056</v>
      </c>
      <c r="C318" s="46" t="s">
        <v>25</v>
      </c>
      <c r="D318" s="34">
        <v>2200</v>
      </c>
      <c r="E318" s="34">
        <v>77</v>
      </c>
      <c r="F318" s="34">
        <v>56</v>
      </c>
      <c r="G318" s="74" t="str">
        <f>"*"&amp;Tabla1[[#This Row],[Codigo de barras]]&amp;"*"</f>
        <v>*300670056*</v>
      </c>
    </row>
    <row r="319" spans="1:7" ht="21">
      <c r="A319">
        <f t="shared" si="12"/>
        <v>316</v>
      </c>
      <c r="B319" s="62">
        <f t="shared" si="12"/>
        <v>300670057</v>
      </c>
      <c r="C319" s="46" t="s">
        <v>25</v>
      </c>
      <c r="D319" s="34">
        <v>2200</v>
      </c>
      <c r="E319" s="34">
        <v>77</v>
      </c>
      <c r="F319" s="34">
        <v>57</v>
      </c>
      <c r="G319" s="74" t="str">
        <f>"*"&amp;Tabla1[[#This Row],[Codigo de barras]]&amp;"*"</f>
        <v>*300670057*</v>
      </c>
    </row>
    <row r="320" spans="1:7" ht="21">
      <c r="A320">
        <f t="shared" si="12"/>
        <v>317</v>
      </c>
      <c r="B320" s="62">
        <f t="shared" si="12"/>
        <v>300670058</v>
      </c>
      <c r="C320" s="46" t="s">
        <v>25</v>
      </c>
      <c r="D320" s="34">
        <v>2200</v>
      </c>
      <c r="E320" s="34">
        <v>77</v>
      </c>
      <c r="F320" s="34">
        <v>58</v>
      </c>
      <c r="G320" s="74" t="str">
        <f>"*"&amp;Tabla1[[#This Row],[Codigo de barras]]&amp;"*"</f>
        <v>*300670058*</v>
      </c>
    </row>
    <row r="321" spans="1:7" ht="21">
      <c r="A321">
        <f t="shared" si="12"/>
        <v>318</v>
      </c>
      <c r="B321" s="62">
        <f t="shared" si="12"/>
        <v>300670059</v>
      </c>
      <c r="C321" s="46" t="s">
        <v>25</v>
      </c>
      <c r="D321" s="34">
        <v>2200</v>
      </c>
      <c r="E321" s="34">
        <v>77</v>
      </c>
      <c r="F321" s="34">
        <v>59</v>
      </c>
      <c r="G321" s="74" t="str">
        <f>"*"&amp;Tabla1[[#This Row],[Codigo de barras]]&amp;"*"</f>
        <v>*300670059*</v>
      </c>
    </row>
    <row r="322" spans="1:7" ht="21">
      <c r="A322">
        <f t="shared" si="12"/>
        <v>319</v>
      </c>
      <c r="B322" s="62">
        <f t="shared" si="12"/>
        <v>300670060</v>
      </c>
      <c r="C322" s="46" t="s">
        <v>25</v>
      </c>
      <c r="D322" s="34">
        <v>2200</v>
      </c>
      <c r="E322" s="34">
        <v>77</v>
      </c>
      <c r="F322" s="34">
        <v>60</v>
      </c>
      <c r="G322" s="74" t="str">
        <f>"*"&amp;Tabla1[[#This Row],[Codigo de barras]]&amp;"*"</f>
        <v>*300670060*</v>
      </c>
    </row>
    <row r="323" spans="1:7" ht="21">
      <c r="A323">
        <f t="shared" si="12"/>
        <v>320</v>
      </c>
      <c r="B323" s="62">
        <f t="shared" si="12"/>
        <v>300670061</v>
      </c>
      <c r="C323" s="46" t="s">
        <v>25</v>
      </c>
      <c r="D323" s="34">
        <v>2200</v>
      </c>
      <c r="E323" s="34">
        <v>77</v>
      </c>
      <c r="F323" s="34">
        <v>61</v>
      </c>
      <c r="G323" s="74" t="str">
        <f>"*"&amp;Tabla1[[#This Row],[Codigo de barras]]&amp;"*"</f>
        <v>*300670061*</v>
      </c>
    </row>
    <row r="324" spans="1:7" ht="21">
      <c r="A324">
        <f t="shared" ref="A324:B387" si="13">+A323+1</f>
        <v>321</v>
      </c>
      <c r="B324" s="62">
        <f t="shared" si="13"/>
        <v>300670062</v>
      </c>
      <c r="C324" s="46" t="s">
        <v>25</v>
      </c>
      <c r="D324" s="34">
        <v>2200</v>
      </c>
      <c r="E324" s="34">
        <v>77</v>
      </c>
      <c r="F324" s="34">
        <v>62</v>
      </c>
      <c r="G324" s="74" t="str">
        <f>"*"&amp;Tabla1[[#This Row],[Codigo de barras]]&amp;"*"</f>
        <v>*300670062*</v>
      </c>
    </row>
    <row r="325" spans="1:7" ht="21">
      <c r="A325">
        <f t="shared" si="13"/>
        <v>322</v>
      </c>
      <c r="B325" s="62">
        <f t="shared" si="13"/>
        <v>300670063</v>
      </c>
      <c r="C325" s="46" t="s">
        <v>25</v>
      </c>
      <c r="D325" s="34">
        <v>2200</v>
      </c>
      <c r="E325" s="34">
        <v>77</v>
      </c>
      <c r="F325" s="34">
        <v>63</v>
      </c>
      <c r="G325" s="74" t="str">
        <f>"*"&amp;Tabla1[[#This Row],[Codigo de barras]]&amp;"*"</f>
        <v>*300670063*</v>
      </c>
    </row>
    <row r="326" spans="1:7" ht="21">
      <c r="A326">
        <f t="shared" si="13"/>
        <v>323</v>
      </c>
      <c r="B326" s="62">
        <f t="shared" si="13"/>
        <v>300670064</v>
      </c>
      <c r="C326" s="46" t="s">
        <v>25</v>
      </c>
      <c r="D326" s="34">
        <v>2200</v>
      </c>
      <c r="E326" s="34">
        <v>77</v>
      </c>
      <c r="F326" s="34">
        <v>64</v>
      </c>
      <c r="G326" s="74" t="str">
        <f>"*"&amp;Tabla1[[#This Row],[Codigo de barras]]&amp;"*"</f>
        <v>*300670064*</v>
      </c>
    </row>
    <row r="327" spans="1:7" ht="21">
      <c r="A327">
        <f t="shared" si="13"/>
        <v>324</v>
      </c>
      <c r="B327" s="62">
        <f t="shared" si="13"/>
        <v>300670065</v>
      </c>
      <c r="C327" s="46" t="s">
        <v>25</v>
      </c>
      <c r="D327" s="34">
        <v>2200</v>
      </c>
      <c r="E327" s="34">
        <v>77</v>
      </c>
      <c r="F327" s="34">
        <v>65</v>
      </c>
      <c r="G327" s="74" t="str">
        <f>"*"&amp;Tabla1[[#This Row],[Codigo de barras]]&amp;"*"</f>
        <v>*300670065*</v>
      </c>
    </row>
    <row r="328" spans="1:7" ht="21">
      <c r="A328">
        <f t="shared" si="13"/>
        <v>325</v>
      </c>
      <c r="B328" s="62">
        <f t="shared" si="13"/>
        <v>300670066</v>
      </c>
      <c r="C328" s="46" t="s">
        <v>25</v>
      </c>
      <c r="D328" s="34">
        <v>2200</v>
      </c>
      <c r="E328" s="34">
        <v>77</v>
      </c>
      <c r="F328" s="34">
        <v>66</v>
      </c>
      <c r="G328" s="74" t="str">
        <f>"*"&amp;Tabla1[[#This Row],[Codigo de barras]]&amp;"*"</f>
        <v>*300670066*</v>
      </c>
    </row>
    <row r="329" spans="1:7" ht="21">
      <c r="A329">
        <f t="shared" si="13"/>
        <v>326</v>
      </c>
      <c r="B329" s="62">
        <f t="shared" si="13"/>
        <v>300670067</v>
      </c>
      <c r="C329" s="46" t="s">
        <v>25</v>
      </c>
      <c r="D329" s="34">
        <v>2200</v>
      </c>
      <c r="E329" s="34">
        <v>77</v>
      </c>
      <c r="F329" s="34">
        <v>67</v>
      </c>
      <c r="G329" s="74" t="str">
        <f>"*"&amp;Tabla1[[#This Row],[Codigo de barras]]&amp;"*"</f>
        <v>*300670067*</v>
      </c>
    </row>
    <row r="330" spans="1:7" ht="21">
      <c r="A330">
        <f t="shared" si="13"/>
        <v>327</v>
      </c>
      <c r="B330" s="62">
        <f t="shared" si="13"/>
        <v>300670068</v>
      </c>
      <c r="C330" s="46" t="s">
        <v>25</v>
      </c>
      <c r="D330" s="34">
        <v>2200</v>
      </c>
      <c r="E330" s="34">
        <v>77</v>
      </c>
      <c r="F330" s="34">
        <v>68</v>
      </c>
      <c r="G330" s="74" t="str">
        <f>"*"&amp;Tabla1[[#This Row],[Codigo de barras]]&amp;"*"</f>
        <v>*300670068*</v>
      </c>
    </row>
    <row r="331" spans="1:7" ht="21">
      <c r="A331">
        <f t="shared" si="13"/>
        <v>328</v>
      </c>
      <c r="B331" s="62">
        <f t="shared" si="13"/>
        <v>300670069</v>
      </c>
      <c r="C331" s="46" t="s">
        <v>25</v>
      </c>
      <c r="D331" s="34">
        <v>2200</v>
      </c>
      <c r="E331" s="34">
        <v>77</v>
      </c>
      <c r="F331" s="34">
        <v>69</v>
      </c>
      <c r="G331" s="74" t="str">
        <f>"*"&amp;Tabla1[[#This Row],[Codigo de barras]]&amp;"*"</f>
        <v>*300670069*</v>
      </c>
    </row>
    <row r="332" spans="1:7" ht="21">
      <c r="A332">
        <f t="shared" si="13"/>
        <v>329</v>
      </c>
      <c r="B332" s="62">
        <f t="shared" si="13"/>
        <v>300670070</v>
      </c>
      <c r="C332" s="46" t="s">
        <v>25</v>
      </c>
      <c r="D332" s="34">
        <v>2200</v>
      </c>
      <c r="E332" s="34">
        <v>77</v>
      </c>
      <c r="F332" s="34">
        <v>70</v>
      </c>
      <c r="G332" s="74" t="str">
        <f>"*"&amp;Tabla1[[#This Row],[Codigo de barras]]&amp;"*"</f>
        <v>*300670070*</v>
      </c>
    </row>
    <row r="333" spans="1:7" ht="21">
      <c r="A333">
        <f t="shared" si="13"/>
        <v>330</v>
      </c>
      <c r="B333" s="62">
        <f t="shared" si="13"/>
        <v>300670071</v>
      </c>
      <c r="C333" s="46" t="s">
        <v>25</v>
      </c>
      <c r="D333" s="34">
        <v>2200</v>
      </c>
      <c r="E333" s="34">
        <v>77</v>
      </c>
      <c r="F333" s="34">
        <v>71</v>
      </c>
      <c r="G333" s="74" t="str">
        <f>"*"&amp;Tabla1[[#This Row],[Codigo de barras]]&amp;"*"</f>
        <v>*300670071*</v>
      </c>
    </row>
    <row r="334" spans="1:7" ht="21">
      <c r="A334">
        <f t="shared" si="13"/>
        <v>331</v>
      </c>
      <c r="B334" s="62">
        <f t="shared" si="13"/>
        <v>300670072</v>
      </c>
      <c r="C334" s="46" t="s">
        <v>25</v>
      </c>
      <c r="D334" s="34">
        <v>2200</v>
      </c>
      <c r="E334" s="34">
        <v>77</v>
      </c>
      <c r="F334" s="34">
        <v>72</v>
      </c>
      <c r="G334" s="74" t="str">
        <f>"*"&amp;Tabla1[[#This Row],[Codigo de barras]]&amp;"*"</f>
        <v>*300670072*</v>
      </c>
    </row>
    <row r="335" spans="1:7" ht="21">
      <c r="A335">
        <f t="shared" si="13"/>
        <v>332</v>
      </c>
      <c r="B335" s="62">
        <f t="shared" si="13"/>
        <v>300670073</v>
      </c>
      <c r="C335" s="46" t="s">
        <v>25</v>
      </c>
      <c r="D335" s="34">
        <v>2200</v>
      </c>
      <c r="E335" s="34">
        <v>77</v>
      </c>
      <c r="F335" s="34">
        <v>73</v>
      </c>
      <c r="G335" s="74" t="str">
        <f>"*"&amp;Tabla1[[#This Row],[Codigo de barras]]&amp;"*"</f>
        <v>*300670073*</v>
      </c>
    </row>
    <row r="336" spans="1:7" ht="21">
      <c r="A336">
        <f t="shared" si="13"/>
        <v>333</v>
      </c>
      <c r="B336" s="62">
        <f t="shared" si="13"/>
        <v>300670074</v>
      </c>
      <c r="C336" s="46" t="s">
        <v>25</v>
      </c>
      <c r="D336" s="34">
        <v>2200</v>
      </c>
      <c r="E336" s="34">
        <v>77</v>
      </c>
      <c r="F336" s="34">
        <v>74</v>
      </c>
      <c r="G336" s="74" t="str">
        <f>"*"&amp;Tabla1[[#This Row],[Codigo de barras]]&amp;"*"</f>
        <v>*300670074*</v>
      </c>
    </row>
    <row r="337" spans="1:7" ht="21">
      <c r="A337">
        <f t="shared" si="13"/>
        <v>334</v>
      </c>
      <c r="B337" s="62">
        <f t="shared" si="13"/>
        <v>300670075</v>
      </c>
      <c r="C337" s="46" t="s">
        <v>25</v>
      </c>
      <c r="D337" s="34">
        <v>2200</v>
      </c>
      <c r="E337" s="34">
        <v>77</v>
      </c>
      <c r="F337" s="34">
        <v>75</v>
      </c>
      <c r="G337" s="74" t="str">
        <f>"*"&amp;Tabla1[[#This Row],[Codigo de barras]]&amp;"*"</f>
        <v>*300670075*</v>
      </c>
    </row>
    <row r="338" spans="1:7" ht="21">
      <c r="A338">
        <f t="shared" si="13"/>
        <v>335</v>
      </c>
      <c r="B338" s="62">
        <f t="shared" si="13"/>
        <v>300670076</v>
      </c>
      <c r="C338" s="46" t="s">
        <v>25</v>
      </c>
      <c r="D338" s="34">
        <v>2200</v>
      </c>
      <c r="E338" s="34">
        <v>77</v>
      </c>
      <c r="F338" s="34">
        <v>76</v>
      </c>
      <c r="G338" s="74" t="str">
        <f>"*"&amp;Tabla1[[#This Row],[Codigo de barras]]&amp;"*"</f>
        <v>*300670076*</v>
      </c>
    </row>
    <row r="339" spans="1:7" ht="21">
      <c r="A339">
        <f t="shared" si="13"/>
        <v>336</v>
      </c>
      <c r="B339" s="62">
        <f t="shared" si="13"/>
        <v>300670077</v>
      </c>
      <c r="C339" s="46" t="s">
        <v>25</v>
      </c>
      <c r="D339" s="34">
        <v>2200</v>
      </c>
      <c r="E339" s="34">
        <v>77</v>
      </c>
      <c r="F339" s="34">
        <v>77</v>
      </c>
      <c r="G339" s="74" t="str">
        <f>"*"&amp;Tabla1[[#This Row],[Codigo de barras]]&amp;"*"</f>
        <v>*300670077*</v>
      </c>
    </row>
    <row r="340" spans="1:7" ht="21">
      <c r="A340">
        <f t="shared" si="13"/>
        <v>337</v>
      </c>
      <c r="B340" s="62">
        <f t="shared" si="13"/>
        <v>300670078</v>
      </c>
      <c r="C340" s="46" t="s">
        <v>25</v>
      </c>
      <c r="D340" s="34">
        <v>2200</v>
      </c>
      <c r="E340" s="34">
        <v>77</v>
      </c>
      <c r="F340" s="34">
        <v>78</v>
      </c>
      <c r="G340" s="74" t="str">
        <f>"*"&amp;Tabla1[[#This Row],[Codigo de barras]]&amp;"*"</f>
        <v>*300670078*</v>
      </c>
    </row>
    <row r="341" spans="1:7" ht="21">
      <c r="A341">
        <f t="shared" si="13"/>
        <v>338</v>
      </c>
      <c r="B341" s="62">
        <f t="shared" si="13"/>
        <v>300670079</v>
      </c>
      <c r="C341" s="46" t="s">
        <v>25</v>
      </c>
      <c r="D341" s="34">
        <v>2200</v>
      </c>
      <c r="E341" s="34">
        <v>77</v>
      </c>
      <c r="F341" s="34">
        <v>79</v>
      </c>
      <c r="G341" s="74" t="str">
        <f>"*"&amp;Tabla1[[#This Row],[Codigo de barras]]&amp;"*"</f>
        <v>*300670079*</v>
      </c>
    </row>
    <row r="342" spans="1:7" ht="21">
      <c r="A342">
        <f t="shared" si="13"/>
        <v>339</v>
      </c>
      <c r="B342" s="62">
        <f t="shared" si="13"/>
        <v>300670080</v>
      </c>
      <c r="C342" s="46" t="s">
        <v>25</v>
      </c>
      <c r="D342" s="34">
        <v>2200</v>
      </c>
      <c r="E342" s="34">
        <v>77</v>
      </c>
      <c r="F342" s="34">
        <v>80</v>
      </c>
      <c r="G342" s="74" t="str">
        <f>"*"&amp;Tabla1[[#This Row],[Codigo de barras]]&amp;"*"</f>
        <v>*300670080*</v>
      </c>
    </row>
    <row r="343" spans="1:7" ht="21">
      <c r="A343">
        <f t="shared" si="13"/>
        <v>340</v>
      </c>
      <c r="B343" s="62">
        <f t="shared" si="13"/>
        <v>300670081</v>
      </c>
      <c r="C343" s="46" t="s">
        <v>25</v>
      </c>
      <c r="D343" s="34">
        <v>2200</v>
      </c>
      <c r="E343" s="34">
        <v>77</v>
      </c>
      <c r="F343" s="34">
        <v>81</v>
      </c>
      <c r="G343" s="74" t="str">
        <f>"*"&amp;Tabla1[[#This Row],[Codigo de barras]]&amp;"*"</f>
        <v>*300670081*</v>
      </c>
    </row>
    <row r="344" spans="1:7" ht="21">
      <c r="A344">
        <f t="shared" si="13"/>
        <v>341</v>
      </c>
      <c r="B344" s="62">
        <f t="shared" si="13"/>
        <v>300670082</v>
      </c>
      <c r="C344" s="46" t="s">
        <v>25</v>
      </c>
      <c r="D344" s="34">
        <v>2200</v>
      </c>
      <c r="E344" s="34">
        <v>77</v>
      </c>
      <c r="F344" s="34">
        <v>82</v>
      </c>
      <c r="G344" s="74" t="str">
        <f>"*"&amp;Tabla1[[#This Row],[Codigo de barras]]&amp;"*"</f>
        <v>*300670082*</v>
      </c>
    </row>
    <row r="345" spans="1:7" ht="21">
      <c r="A345">
        <f t="shared" si="13"/>
        <v>342</v>
      </c>
      <c r="B345" s="62">
        <f t="shared" si="13"/>
        <v>300670083</v>
      </c>
      <c r="C345" s="46" t="s">
        <v>25</v>
      </c>
      <c r="D345" s="34">
        <v>2200</v>
      </c>
      <c r="E345" s="34">
        <v>77</v>
      </c>
      <c r="F345" s="34">
        <v>83</v>
      </c>
      <c r="G345" s="74" t="str">
        <f>"*"&amp;Tabla1[[#This Row],[Codigo de barras]]&amp;"*"</f>
        <v>*300670083*</v>
      </c>
    </row>
    <row r="346" spans="1:7" ht="21">
      <c r="A346">
        <f t="shared" si="13"/>
        <v>343</v>
      </c>
      <c r="B346" s="62">
        <f t="shared" si="13"/>
        <v>300670084</v>
      </c>
      <c r="C346" s="46" t="s">
        <v>25</v>
      </c>
      <c r="D346" s="34">
        <v>2200</v>
      </c>
      <c r="E346" s="34">
        <v>77</v>
      </c>
      <c r="F346" s="34">
        <v>84</v>
      </c>
      <c r="G346" s="74" t="str">
        <f>"*"&amp;Tabla1[[#This Row],[Codigo de barras]]&amp;"*"</f>
        <v>*300670084*</v>
      </c>
    </row>
    <row r="347" spans="1:7" ht="21">
      <c r="A347">
        <f t="shared" si="13"/>
        <v>344</v>
      </c>
      <c r="B347" s="62">
        <f t="shared" si="13"/>
        <v>300670085</v>
      </c>
      <c r="C347" s="46" t="s">
        <v>25</v>
      </c>
      <c r="D347" s="34">
        <v>2200</v>
      </c>
      <c r="E347" s="34">
        <v>77</v>
      </c>
      <c r="F347" s="34">
        <v>85</v>
      </c>
      <c r="G347" s="74" t="str">
        <f>"*"&amp;Tabla1[[#This Row],[Codigo de barras]]&amp;"*"</f>
        <v>*300670085*</v>
      </c>
    </row>
    <row r="348" spans="1:7" ht="21">
      <c r="A348">
        <f t="shared" si="13"/>
        <v>345</v>
      </c>
      <c r="B348" s="62">
        <f t="shared" si="13"/>
        <v>300670086</v>
      </c>
      <c r="C348" s="46" t="s">
        <v>25</v>
      </c>
      <c r="D348" s="34">
        <v>2200</v>
      </c>
      <c r="E348" s="34">
        <v>77</v>
      </c>
      <c r="F348" s="34">
        <v>86</v>
      </c>
      <c r="G348" s="74" t="str">
        <f>"*"&amp;Tabla1[[#This Row],[Codigo de barras]]&amp;"*"</f>
        <v>*300670086*</v>
      </c>
    </row>
    <row r="349" spans="1:7" ht="21">
      <c r="A349">
        <f t="shared" si="13"/>
        <v>346</v>
      </c>
      <c r="B349" s="62">
        <f t="shared" si="13"/>
        <v>300670087</v>
      </c>
      <c r="C349" s="46" t="s">
        <v>25</v>
      </c>
      <c r="D349" s="34">
        <v>2200</v>
      </c>
      <c r="E349" s="34">
        <v>77</v>
      </c>
      <c r="F349" s="34">
        <v>87</v>
      </c>
      <c r="G349" s="74" t="str">
        <f>"*"&amp;Tabla1[[#This Row],[Codigo de barras]]&amp;"*"</f>
        <v>*300670087*</v>
      </c>
    </row>
    <row r="350" spans="1:7" ht="21">
      <c r="A350">
        <f t="shared" si="13"/>
        <v>347</v>
      </c>
      <c r="B350" s="62">
        <f t="shared" si="13"/>
        <v>300670088</v>
      </c>
      <c r="C350" s="46" t="s">
        <v>25</v>
      </c>
      <c r="D350" s="34">
        <v>2200</v>
      </c>
      <c r="E350" s="34">
        <v>77</v>
      </c>
      <c r="F350" s="34">
        <v>88</v>
      </c>
      <c r="G350" s="74" t="str">
        <f>"*"&amp;Tabla1[[#This Row],[Codigo de barras]]&amp;"*"</f>
        <v>*300670088*</v>
      </c>
    </row>
    <row r="351" spans="1:7" ht="21">
      <c r="A351">
        <f t="shared" si="13"/>
        <v>348</v>
      </c>
      <c r="B351" s="62">
        <f t="shared" si="13"/>
        <v>300670089</v>
      </c>
      <c r="C351" s="46" t="s">
        <v>25</v>
      </c>
      <c r="D351" s="34">
        <v>2200</v>
      </c>
      <c r="E351" s="34">
        <v>77</v>
      </c>
      <c r="F351" s="34">
        <v>89</v>
      </c>
      <c r="G351" s="74" t="str">
        <f>"*"&amp;Tabla1[[#This Row],[Codigo de barras]]&amp;"*"</f>
        <v>*300670089*</v>
      </c>
    </row>
    <row r="352" spans="1:7" ht="21">
      <c r="A352">
        <f t="shared" si="13"/>
        <v>349</v>
      </c>
      <c r="B352" s="62">
        <f t="shared" si="13"/>
        <v>300670090</v>
      </c>
      <c r="C352" s="46" t="s">
        <v>25</v>
      </c>
      <c r="D352" s="34">
        <v>2200</v>
      </c>
      <c r="E352" s="34">
        <v>77</v>
      </c>
      <c r="F352" s="34">
        <v>90</v>
      </c>
      <c r="G352" s="74" t="str">
        <f>"*"&amp;Tabla1[[#This Row],[Codigo de barras]]&amp;"*"</f>
        <v>*300670090*</v>
      </c>
    </row>
    <row r="353" spans="1:7" ht="21">
      <c r="A353">
        <f t="shared" si="13"/>
        <v>350</v>
      </c>
      <c r="B353" s="62">
        <f t="shared" si="13"/>
        <v>300670091</v>
      </c>
      <c r="C353" s="46" t="s">
        <v>25</v>
      </c>
      <c r="D353" s="34">
        <v>2200</v>
      </c>
      <c r="E353" s="34">
        <v>77</v>
      </c>
      <c r="F353" s="34">
        <v>91</v>
      </c>
      <c r="G353" s="74" t="str">
        <f>"*"&amp;Tabla1[[#This Row],[Codigo de barras]]&amp;"*"</f>
        <v>*300670091*</v>
      </c>
    </row>
    <row r="354" spans="1:7" ht="21">
      <c r="A354">
        <f t="shared" si="13"/>
        <v>351</v>
      </c>
      <c r="B354" s="62">
        <f t="shared" si="13"/>
        <v>300670092</v>
      </c>
      <c r="C354" s="46" t="s">
        <v>25</v>
      </c>
      <c r="D354" s="34">
        <v>2200</v>
      </c>
      <c r="E354" s="34">
        <v>77</v>
      </c>
      <c r="F354" s="34">
        <v>92</v>
      </c>
      <c r="G354" s="74" t="str">
        <f>"*"&amp;Tabla1[[#This Row],[Codigo de barras]]&amp;"*"</f>
        <v>*300670092*</v>
      </c>
    </row>
    <row r="355" spans="1:7" ht="21">
      <c r="A355">
        <f t="shared" si="13"/>
        <v>352</v>
      </c>
      <c r="B355" s="62">
        <f t="shared" si="13"/>
        <v>300670093</v>
      </c>
      <c r="C355" s="46" t="s">
        <v>25</v>
      </c>
      <c r="D355" s="34">
        <v>2200</v>
      </c>
      <c r="E355" s="34">
        <v>77</v>
      </c>
      <c r="F355" s="34">
        <v>93</v>
      </c>
      <c r="G355" s="74" t="str">
        <f>"*"&amp;Tabla1[[#This Row],[Codigo de barras]]&amp;"*"</f>
        <v>*300670093*</v>
      </c>
    </row>
    <row r="356" spans="1:7" ht="21">
      <c r="A356">
        <f t="shared" si="13"/>
        <v>353</v>
      </c>
      <c r="B356" s="62">
        <f t="shared" si="13"/>
        <v>300670094</v>
      </c>
      <c r="C356" s="46" t="s">
        <v>25</v>
      </c>
      <c r="D356" s="34">
        <v>2200</v>
      </c>
      <c r="E356" s="34">
        <v>77</v>
      </c>
      <c r="F356" s="34">
        <v>94</v>
      </c>
      <c r="G356" s="74" t="str">
        <f>"*"&amp;Tabla1[[#This Row],[Codigo de barras]]&amp;"*"</f>
        <v>*300670094*</v>
      </c>
    </row>
    <row r="357" spans="1:7" ht="21">
      <c r="A357">
        <f t="shared" si="13"/>
        <v>354</v>
      </c>
      <c r="B357" s="62">
        <f t="shared" si="13"/>
        <v>300670095</v>
      </c>
      <c r="C357" s="46" t="s">
        <v>25</v>
      </c>
      <c r="D357" s="34">
        <v>2200</v>
      </c>
      <c r="E357" s="34">
        <v>77</v>
      </c>
      <c r="F357" s="34">
        <v>95</v>
      </c>
      <c r="G357" s="74" t="str">
        <f>"*"&amp;Tabla1[[#This Row],[Codigo de barras]]&amp;"*"</f>
        <v>*300670095*</v>
      </c>
    </row>
    <row r="358" spans="1:7" ht="21">
      <c r="A358">
        <f t="shared" si="13"/>
        <v>355</v>
      </c>
      <c r="B358" s="62">
        <f t="shared" si="13"/>
        <v>300670096</v>
      </c>
      <c r="C358" s="46" t="s">
        <v>25</v>
      </c>
      <c r="D358" s="34">
        <v>2200</v>
      </c>
      <c r="E358" s="34">
        <v>77</v>
      </c>
      <c r="F358" s="34">
        <v>96</v>
      </c>
      <c r="G358" s="74" t="str">
        <f>"*"&amp;Tabla1[[#This Row],[Codigo de barras]]&amp;"*"</f>
        <v>*300670096*</v>
      </c>
    </row>
    <row r="359" spans="1:7" ht="21">
      <c r="A359">
        <f t="shared" si="13"/>
        <v>356</v>
      </c>
      <c r="B359" s="62">
        <f t="shared" si="13"/>
        <v>300670097</v>
      </c>
      <c r="C359" s="46" t="s">
        <v>25</v>
      </c>
      <c r="D359" s="34">
        <v>2200</v>
      </c>
      <c r="E359" s="34">
        <v>77</v>
      </c>
      <c r="F359" s="34">
        <v>97</v>
      </c>
      <c r="G359" s="74" t="str">
        <f>"*"&amp;Tabla1[[#This Row],[Codigo de barras]]&amp;"*"</f>
        <v>*300670097*</v>
      </c>
    </row>
    <row r="360" spans="1:7" ht="21">
      <c r="A360">
        <f t="shared" si="13"/>
        <v>357</v>
      </c>
      <c r="B360" s="62">
        <f t="shared" si="13"/>
        <v>300670098</v>
      </c>
      <c r="C360" s="46" t="s">
        <v>25</v>
      </c>
      <c r="D360" s="34">
        <v>2200</v>
      </c>
      <c r="E360" s="34">
        <v>77</v>
      </c>
      <c r="F360" s="34">
        <v>98</v>
      </c>
      <c r="G360" s="74" t="str">
        <f>"*"&amp;Tabla1[[#This Row],[Codigo de barras]]&amp;"*"</f>
        <v>*300670098*</v>
      </c>
    </row>
    <row r="361" spans="1:7" ht="21">
      <c r="A361">
        <f t="shared" si="13"/>
        <v>358</v>
      </c>
      <c r="B361" s="62">
        <f t="shared" si="13"/>
        <v>300670099</v>
      </c>
      <c r="C361" s="46" t="s">
        <v>25</v>
      </c>
      <c r="D361" s="34">
        <v>2200</v>
      </c>
      <c r="E361" s="34">
        <v>77</v>
      </c>
      <c r="F361" s="34">
        <v>99</v>
      </c>
      <c r="G361" s="74" t="str">
        <f>"*"&amp;Tabla1[[#This Row],[Codigo de barras]]&amp;"*"</f>
        <v>*300670099*</v>
      </c>
    </row>
    <row r="362" spans="1:7" ht="21">
      <c r="A362">
        <f t="shared" si="13"/>
        <v>359</v>
      </c>
      <c r="B362" s="62">
        <f t="shared" si="13"/>
        <v>300670100</v>
      </c>
      <c r="C362" s="46" t="s">
        <v>25</v>
      </c>
      <c r="D362" s="34">
        <v>2200</v>
      </c>
      <c r="E362" s="34">
        <v>77</v>
      </c>
      <c r="F362" s="34">
        <v>100</v>
      </c>
      <c r="G362" s="74" t="str">
        <f>"*"&amp;Tabla1[[#This Row],[Codigo de barras]]&amp;"*"</f>
        <v>*300670100*</v>
      </c>
    </row>
    <row r="363" spans="1:7" ht="21">
      <c r="A363">
        <f t="shared" si="13"/>
        <v>360</v>
      </c>
      <c r="B363" s="62">
        <f t="shared" si="13"/>
        <v>300670101</v>
      </c>
      <c r="C363" s="46" t="s">
        <v>25</v>
      </c>
      <c r="D363" s="34">
        <v>2200</v>
      </c>
      <c r="E363" s="34">
        <v>77</v>
      </c>
      <c r="F363" s="34">
        <v>101</v>
      </c>
      <c r="G363" s="74" t="str">
        <f>"*"&amp;Tabla1[[#This Row],[Codigo de barras]]&amp;"*"</f>
        <v>*300670101*</v>
      </c>
    </row>
    <row r="364" spans="1:7" ht="21">
      <c r="A364">
        <f t="shared" si="13"/>
        <v>361</v>
      </c>
      <c r="B364" s="62">
        <f t="shared" si="13"/>
        <v>300670102</v>
      </c>
      <c r="C364" s="46" t="s">
        <v>25</v>
      </c>
      <c r="D364" s="34">
        <v>2200</v>
      </c>
      <c r="E364" s="34">
        <v>77</v>
      </c>
      <c r="F364" s="34">
        <v>102</v>
      </c>
      <c r="G364" s="74" t="str">
        <f>"*"&amp;Tabla1[[#This Row],[Codigo de barras]]&amp;"*"</f>
        <v>*300670102*</v>
      </c>
    </row>
    <row r="365" spans="1:7" ht="21">
      <c r="A365">
        <f t="shared" si="13"/>
        <v>362</v>
      </c>
      <c r="B365" s="62">
        <f t="shared" si="13"/>
        <v>300670103</v>
      </c>
      <c r="C365" s="46" t="s">
        <v>25</v>
      </c>
      <c r="D365" s="34">
        <v>2200</v>
      </c>
      <c r="E365" s="34">
        <v>77</v>
      </c>
      <c r="F365" s="34">
        <v>103</v>
      </c>
      <c r="G365" s="74" t="str">
        <f>"*"&amp;Tabla1[[#This Row],[Codigo de barras]]&amp;"*"</f>
        <v>*300670103*</v>
      </c>
    </row>
    <row r="366" spans="1:7" ht="21">
      <c r="A366">
        <f t="shared" si="13"/>
        <v>363</v>
      </c>
      <c r="B366" s="62">
        <f t="shared" si="13"/>
        <v>300670104</v>
      </c>
      <c r="C366" s="46" t="s">
        <v>25</v>
      </c>
      <c r="D366" s="34">
        <v>2200</v>
      </c>
      <c r="E366" s="34">
        <v>77</v>
      </c>
      <c r="F366" s="34">
        <v>104</v>
      </c>
      <c r="G366" s="74" t="str">
        <f>"*"&amp;Tabla1[[#This Row],[Codigo de barras]]&amp;"*"</f>
        <v>*300670104*</v>
      </c>
    </row>
    <row r="367" spans="1:7" ht="21">
      <c r="A367">
        <f t="shared" si="13"/>
        <v>364</v>
      </c>
      <c r="B367" s="62">
        <f t="shared" si="13"/>
        <v>300670105</v>
      </c>
      <c r="C367" s="46" t="s">
        <v>25</v>
      </c>
      <c r="D367" s="34">
        <v>2200</v>
      </c>
      <c r="E367" s="34">
        <v>77</v>
      </c>
      <c r="F367" s="34">
        <v>105</v>
      </c>
      <c r="G367" s="74" t="str">
        <f>"*"&amp;Tabla1[[#This Row],[Codigo de barras]]&amp;"*"</f>
        <v>*300670105*</v>
      </c>
    </row>
    <row r="368" spans="1:7" ht="21">
      <c r="A368">
        <f t="shared" si="13"/>
        <v>365</v>
      </c>
      <c r="B368" s="62">
        <f t="shared" si="13"/>
        <v>300670106</v>
      </c>
      <c r="C368" s="46" t="s">
        <v>25</v>
      </c>
      <c r="D368" s="34">
        <v>2200</v>
      </c>
      <c r="E368" s="34">
        <v>77</v>
      </c>
      <c r="F368" s="34">
        <v>106</v>
      </c>
      <c r="G368" s="74" t="str">
        <f>"*"&amp;Tabla1[[#This Row],[Codigo de barras]]&amp;"*"</f>
        <v>*300670106*</v>
      </c>
    </row>
    <row r="369" spans="1:7" ht="21">
      <c r="A369">
        <f t="shared" si="13"/>
        <v>366</v>
      </c>
      <c r="B369" s="62">
        <f t="shared" si="13"/>
        <v>300670107</v>
      </c>
      <c r="C369" s="46" t="s">
        <v>25</v>
      </c>
      <c r="D369" s="34">
        <v>2200</v>
      </c>
      <c r="E369" s="34">
        <v>77</v>
      </c>
      <c r="F369" s="34">
        <v>107</v>
      </c>
      <c r="G369" s="74" t="str">
        <f>"*"&amp;Tabla1[[#This Row],[Codigo de barras]]&amp;"*"</f>
        <v>*300670107*</v>
      </c>
    </row>
    <row r="370" spans="1:7" ht="21">
      <c r="A370">
        <f t="shared" si="13"/>
        <v>367</v>
      </c>
      <c r="B370" s="62">
        <f t="shared" si="13"/>
        <v>300670108</v>
      </c>
      <c r="C370" s="46" t="s">
        <v>25</v>
      </c>
      <c r="D370" s="34">
        <v>2200</v>
      </c>
      <c r="E370" s="34">
        <v>77</v>
      </c>
      <c r="F370" s="34">
        <v>108</v>
      </c>
      <c r="G370" s="74" t="str">
        <f>"*"&amp;Tabla1[[#This Row],[Codigo de barras]]&amp;"*"</f>
        <v>*300670108*</v>
      </c>
    </row>
    <row r="371" spans="1:7" ht="21">
      <c r="A371">
        <f t="shared" si="13"/>
        <v>368</v>
      </c>
      <c r="B371" s="62">
        <f t="shared" si="13"/>
        <v>300670109</v>
      </c>
      <c r="C371" s="46" t="s">
        <v>25</v>
      </c>
      <c r="D371" s="34">
        <v>2200</v>
      </c>
      <c r="E371" s="34">
        <v>77</v>
      </c>
      <c r="F371" s="34">
        <v>109</v>
      </c>
      <c r="G371" s="74" t="str">
        <f>"*"&amp;Tabla1[[#This Row],[Codigo de barras]]&amp;"*"</f>
        <v>*300670109*</v>
      </c>
    </row>
    <row r="372" spans="1:7" ht="21">
      <c r="A372">
        <f t="shared" si="13"/>
        <v>369</v>
      </c>
      <c r="B372" s="62">
        <f t="shared" si="13"/>
        <v>300670110</v>
      </c>
      <c r="C372" s="46" t="s">
        <v>25</v>
      </c>
      <c r="D372" s="34">
        <v>2200</v>
      </c>
      <c r="E372" s="34">
        <v>77</v>
      </c>
      <c r="F372" s="34">
        <v>110</v>
      </c>
      <c r="G372" s="74" t="str">
        <f>"*"&amp;Tabla1[[#This Row],[Codigo de barras]]&amp;"*"</f>
        <v>*300670110*</v>
      </c>
    </row>
    <row r="373" spans="1:7" ht="21">
      <c r="A373">
        <f t="shared" si="13"/>
        <v>370</v>
      </c>
      <c r="B373" s="62">
        <f t="shared" si="13"/>
        <v>300670111</v>
      </c>
      <c r="C373" s="46" t="s">
        <v>25</v>
      </c>
      <c r="D373" s="34">
        <v>2200</v>
      </c>
      <c r="E373" s="34">
        <v>77</v>
      </c>
      <c r="F373" s="34">
        <v>111</v>
      </c>
      <c r="G373" s="74" t="str">
        <f>"*"&amp;Tabla1[[#This Row],[Codigo de barras]]&amp;"*"</f>
        <v>*300670111*</v>
      </c>
    </row>
    <row r="374" spans="1:7" ht="21">
      <c r="A374">
        <f t="shared" si="13"/>
        <v>371</v>
      </c>
      <c r="B374" s="62">
        <f t="shared" si="13"/>
        <v>300670112</v>
      </c>
      <c r="C374" s="46" t="s">
        <v>25</v>
      </c>
      <c r="D374" s="34">
        <v>2200</v>
      </c>
      <c r="E374" s="34">
        <v>77</v>
      </c>
      <c r="F374" s="34">
        <v>112</v>
      </c>
      <c r="G374" s="74" t="str">
        <f>"*"&amp;Tabla1[[#This Row],[Codigo de barras]]&amp;"*"</f>
        <v>*300670112*</v>
      </c>
    </row>
    <row r="375" spans="1:7" ht="21">
      <c r="A375">
        <f t="shared" si="13"/>
        <v>372</v>
      </c>
      <c r="B375" s="62">
        <f t="shared" si="13"/>
        <v>300670113</v>
      </c>
      <c r="C375" s="46" t="s">
        <v>25</v>
      </c>
      <c r="D375" s="34">
        <v>2200</v>
      </c>
      <c r="E375" s="34">
        <v>77</v>
      </c>
      <c r="F375" s="34">
        <v>113</v>
      </c>
      <c r="G375" s="74" t="str">
        <f>"*"&amp;Tabla1[[#This Row],[Codigo de barras]]&amp;"*"</f>
        <v>*300670113*</v>
      </c>
    </row>
    <row r="376" spans="1:7" ht="21">
      <c r="A376">
        <f t="shared" si="13"/>
        <v>373</v>
      </c>
      <c r="B376" s="62">
        <f t="shared" si="13"/>
        <v>300670114</v>
      </c>
      <c r="C376" s="46" t="s">
        <v>25</v>
      </c>
      <c r="D376" s="34">
        <v>2200</v>
      </c>
      <c r="E376" s="34">
        <v>77</v>
      </c>
      <c r="F376" s="34">
        <v>114</v>
      </c>
      <c r="G376" s="74" t="str">
        <f>"*"&amp;Tabla1[[#This Row],[Codigo de barras]]&amp;"*"</f>
        <v>*300670114*</v>
      </c>
    </row>
    <row r="377" spans="1:7" ht="21">
      <c r="A377">
        <f t="shared" si="13"/>
        <v>374</v>
      </c>
      <c r="B377" s="62">
        <f t="shared" si="13"/>
        <v>300670115</v>
      </c>
      <c r="C377" s="46" t="s">
        <v>25</v>
      </c>
      <c r="D377" s="34">
        <v>2200</v>
      </c>
      <c r="E377" s="34">
        <v>77</v>
      </c>
      <c r="F377" s="34">
        <v>115</v>
      </c>
      <c r="G377" s="74" t="str">
        <f>"*"&amp;Tabla1[[#This Row],[Codigo de barras]]&amp;"*"</f>
        <v>*300670115*</v>
      </c>
    </row>
    <row r="378" spans="1:7" ht="21">
      <c r="A378">
        <f t="shared" si="13"/>
        <v>375</v>
      </c>
      <c r="B378" s="62">
        <f t="shared" si="13"/>
        <v>300670116</v>
      </c>
      <c r="C378" s="46" t="s">
        <v>25</v>
      </c>
      <c r="D378" s="34">
        <v>2200</v>
      </c>
      <c r="E378" s="34">
        <v>77</v>
      </c>
      <c r="F378" s="34">
        <v>116</v>
      </c>
      <c r="G378" s="74" t="str">
        <f>"*"&amp;Tabla1[[#This Row],[Codigo de barras]]&amp;"*"</f>
        <v>*300670116*</v>
      </c>
    </row>
    <row r="379" spans="1:7" ht="21">
      <c r="A379">
        <f t="shared" si="13"/>
        <v>376</v>
      </c>
      <c r="B379" s="62">
        <f t="shared" si="13"/>
        <v>300670117</v>
      </c>
      <c r="C379" s="46" t="s">
        <v>25</v>
      </c>
      <c r="D379" s="34">
        <v>2200</v>
      </c>
      <c r="E379" s="34">
        <v>77</v>
      </c>
      <c r="F379" s="34">
        <v>117</v>
      </c>
      <c r="G379" s="74" t="str">
        <f>"*"&amp;Tabla1[[#This Row],[Codigo de barras]]&amp;"*"</f>
        <v>*300670117*</v>
      </c>
    </row>
    <row r="380" spans="1:7" ht="21">
      <c r="A380">
        <f t="shared" si="13"/>
        <v>377</v>
      </c>
      <c r="B380" s="61">
        <v>3012905201901</v>
      </c>
      <c r="C380" s="65" t="s">
        <v>26</v>
      </c>
      <c r="D380" s="66">
        <v>0</v>
      </c>
      <c r="E380" s="67">
        <v>18.5</v>
      </c>
      <c r="F380" s="68">
        <v>1</v>
      </c>
      <c r="G380" s="74" t="str">
        <f>"*"&amp;Tabla1[[#This Row],[Codigo de barras]]&amp;"*"</f>
        <v>*3012905201901*</v>
      </c>
    </row>
    <row r="381" spans="1:7" ht="21">
      <c r="A381">
        <f t="shared" si="13"/>
        <v>378</v>
      </c>
      <c r="B381" s="61">
        <v>3012905201902</v>
      </c>
      <c r="C381" s="65" t="s">
        <v>26</v>
      </c>
      <c r="D381" s="66">
        <v>0</v>
      </c>
      <c r="E381" s="67">
        <v>18.5</v>
      </c>
      <c r="F381" s="68">
        <v>2</v>
      </c>
      <c r="G381" s="74" t="str">
        <f>"*"&amp;Tabla1[[#This Row],[Codigo de barras]]&amp;"*"</f>
        <v>*3012905201902*</v>
      </c>
    </row>
    <row r="382" spans="1:7" ht="21">
      <c r="A382">
        <f t="shared" si="13"/>
        <v>379</v>
      </c>
      <c r="B382" s="61">
        <v>3012905201903</v>
      </c>
      <c r="C382" s="65" t="s">
        <v>26</v>
      </c>
      <c r="D382" s="66">
        <v>0</v>
      </c>
      <c r="E382" s="67">
        <v>18.5</v>
      </c>
      <c r="F382" s="64">
        <v>3</v>
      </c>
      <c r="G382" s="73" t="str">
        <f>"*"&amp;Tabla1[[#This Row],[Codigo de barras]]&amp;"*"</f>
        <v>*3012905201903*</v>
      </c>
    </row>
    <row r="383" spans="1:7" ht="21">
      <c r="A383">
        <f t="shared" si="13"/>
        <v>380</v>
      </c>
      <c r="B383" s="61">
        <v>3012905201904</v>
      </c>
      <c r="C383" s="65" t="s">
        <v>26</v>
      </c>
      <c r="D383" s="66">
        <v>0</v>
      </c>
      <c r="E383" s="67">
        <v>18.5</v>
      </c>
      <c r="F383" s="68">
        <v>4</v>
      </c>
      <c r="G383" s="73" t="str">
        <f>"*"&amp;Tabla1[[#This Row],[Codigo de barras]]&amp;"*"</f>
        <v>*3012905201904*</v>
      </c>
    </row>
    <row r="384" spans="1:7" ht="21">
      <c r="A384">
        <f t="shared" si="13"/>
        <v>381</v>
      </c>
      <c r="B384" s="61">
        <v>3012905201905</v>
      </c>
      <c r="C384" s="65" t="s">
        <v>26</v>
      </c>
      <c r="D384" s="66">
        <v>0</v>
      </c>
      <c r="E384" s="67">
        <v>18.5</v>
      </c>
      <c r="F384" s="68">
        <v>5</v>
      </c>
      <c r="G384" s="73" t="str">
        <f>"*"&amp;Tabla1[[#This Row],[Codigo de barras]]&amp;"*"</f>
        <v>*3012905201905*</v>
      </c>
    </row>
    <row r="385" spans="1:7" ht="21">
      <c r="A385">
        <f t="shared" si="13"/>
        <v>382</v>
      </c>
      <c r="B385" s="61">
        <v>3012905201906</v>
      </c>
      <c r="C385" s="65" t="s">
        <v>26</v>
      </c>
      <c r="D385" s="66">
        <v>0</v>
      </c>
      <c r="E385" s="67">
        <v>18.5</v>
      </c>
      <c r="F385" s="64">
        <v>6</v>
      </c>
      <c r="G385" s="73" t="str">
        <f>"*"&amp;Tabla1[[#This Row],[Codigo de barras]]&amp;"*"</f>
        <v>*3012905201906*</v>
      </c>
    </row>
    <row r="386" spans="1:7" ht="21">
      <c r="A386">
        <f t="shared" si="13"/>
        <v>383</v>
      </c>
      <c r="B386" s="61">
        <v>3012905201907</v>
      </c>
      <c r="C386" s="65" t="s">
        <v>26</v>
      </c>
      <c r="D386" s="66">
        <v>0</v>
      </c>
      <c r="E386" s="67">
        <v>18.5</v>
      </c>
      <c r="F386" s="68">
        <v>7</v>
      </c>
      <c r="G386" s="73" t="str">
        <f>"*"&amp;Tabla1[[#This Row],[Codigo de barras]]&amp;"*"</f>
        <v>*3012905201907*</v>
      </c>
    </row>
    <row r="387" spans="1:7" ht="21">
      <c r="A387">
        <f t="shared" si="13"/>
        <v>384</v>
      </c>
      <c r="B387" s="61">
        <v>3012905201908</v>
      </c>
      <c r="C387" s="65" t="s">
        <v>26</v>
      </c>
      <c r="D387" s="66">
        <v>0</v>
      </c>
      <c r="E387" s="67">
        <v>18.5</v>
      </c>
      <c r="F387" s="68">
        <v>8</v>
      </c>
      <c r="G387" s="73" t="str">
        <f>"*"&amp;Tabla1[[#This Row],[Codigo de barras]]&amp;"*"</f>
        <v>*3012905201908*</v>
      </c>
    </row>
    <row r="388" spans="1:7" ht="21">
      <c r="A388">
        <f t="shared" ref="A388:A432" si="14">+A387+1</f>
        <v>385</v>
      </c>
      <c r="B388" s="61">
        <v>3012905201909</v>
      </c>
      <c r="C388" s="65" t="s">
        <v>26</v>
      </c>
      <c r="D388" s="66">
        <v>0</v>
      </c>
      <c r="E388" s="67">
        <v>18.5</v>
      </c>
      <c r="F388" s="64">
        <v>9</v>
      </c>
      <c r="G388" s="73" t="str">
        <f>"*"&amp;Tabla1[[#This Row],[Codigo de barras]]&amp;"*"</f>
        <v>*3012905201909*</v>
      </c>
    </row>
    <row r="389" spans="1:7" ht="21">
      <c r="A389">
        <f t="shared" si="14"/>
        <v>386</v>
      </c>
      <c r="B389" s="61">
        <v>3012905201910</v>
      </c>
      <c r="C389" s="65" t="s">
        <v>26</v>
      </c>
      <c r="D389" s="66">
        <v>0</v>
      </c>
      <c r="E389" s="67">
        <v>18.5</v>
      </c>
      <c r="F389" s="68">
        <v>10</v>
      </c>
      <c r="G389" s="73" t="str">
        <f>"*"&amp;Tabla1[[#This Row],[Codigo de barras]]&amp;"*"</f>
        <v>*3012905201910*</v>
      </c>
    </row>
    <row r="390" spans="1:7" ht="21">
      <c r="A390">
        <f t="shared" si="14"/>
        <v>387</v>
      </c>
      <c r="B390" s="61">
        <v>3012905201911</v>
      </c>
      <c r="C390" s="65" t="s">
        <v>26</v>
      </c>
      <c r="D390" s="66">
        <v>0</v>
      </c>
      <c r="E390" s="67">
        <v>18.5</v>
      </c>
      <c r="F390" s="68">
        <v>11</v>
      </c>
      <c r="G390" s="73" t="str">
        <f>"*"&amp;Tabla1[[#This Row],[Codigo de barras]]&amp;"*"</f>
        <v>*3012905201911*</v>
      </c>
    </row>
    <row r="391" spans="1:7" ht="21">
      <c r="A391">
        <f t="shared" si="14"/>
        <v>388</v>
      </c>
      <c r="B391" s="61">
        <v>3012905201912</v>
      </c>
      <c r="C391" s="65" t="s">
        <v>26</v>
      </c>
      <c r="D391" s="66">
        <v>0</v>
      </c>
      <c r="E391" s="67">
        <v>18.5</v>
      </c>
      <c r="F391" s="64">
        <v>12</v>
      </c>
      <c r="G391" s="73" t="str">
        <f>"*"&amp;Tabla1[[#This Row],[Codigo de barras]]&amp;"*"</f>
        <v>*3012905201912*</v>
      </c>
    </row>
    <row r="392" spans="1:7" ht="21">
      <c r="A392">
        <f t="shared" si="14"/>
        <v>389</v>
      </c>
      <c r="B392" s="61">
        <v>3012905201913</v>
      </c>
      <c r="C392" s="65" t="s">
        <v>26</v>
      </c>
      <c r="D392" s="66">
        <v>0</v>
      </c>
      <c r="E392" s="67">
        <v>18.5</v>
      </c>
      <c r="F392" s="68">
        <v>13</v>
      </c>
      <c r="G392" s="73" t="str">
        <f>"*"&amp;Tabla1[[#This Row],[Codigo de barras]]&amp;"*"</f>
        <v>*3012905201913*</v>
      </c>
    </row>
    <row r="393" spans="1:7" ht="21">
      <c r="A393">
        <f t="shared" si="14"/>
        <v>390</v>
      </c>
      <c r="B393" s="61">
        <v>3012905201914</v>
      </c>
      <c r="C393" s="65" t="s">
        <v>26</v>
      </c>
      <c r="D393" s="66">
        <v>0</v>
      </c>
      <c r="E393" s="67">
        <v>18.5</v>
      </c>
      <c r="F393" s="68">
        <v>14</v>
      </c>
      <c r="G393" s="73" t="str">
        <f>"*"&amp;Tabla1[[#This Row],[Codigo de barras]]&amp;"*"</f>
        <v>*3012905201914*</v>
      </c>
    </row>
    <row r="394" spans="1:7" ht="21">
      <c r="A394">
        <f t="shared" si="14"/>
        <v>391</v>
      </c>
      <c r="B394" s="61">
        <v>3012905201915</v>
      </c>
      <c r="C394" s="65" t="s">
        <v>26</v>
      </c>
      <c r="D394" s="66">
        <v>0</v>
      </c>
      <c r="E394" s="67">
        <v>18.5</v>
      </c>
      <c r="F394" s="64">
        <v>15</v>
      </c>
      <c r="G394" s="73" t="str">
        <f>"*"&amp;Tabla1[[#This Row],[Codigo de barras]]&amp;"*"</f>
        <v>*3012905201915*</v>
      </c>
    </row>
    <row r="395" spans="1:7" ht="21">
      <c r="A395">
        <f t="shared" si="14"/>
        <v>392</v>
      </c>
      <c r="B395" s="61">
        <v>3012905201916</v>
      </c>
      <c r="C395" s="65" t="s">
        <v>26</v>
      </c>
      <c r="D395" s="66">
        <v>0</v>
      </c>
      <c r="E395" s="67">
        <v>18.5</v>
      </c>
      <c r="F395" s="68">
        <v>16</v>
      </c>
      <c r="G395" s="73" t="str">
        <f>"*"&amp;Tabla1[[#This Row],[Codigo de barras]]&amp;"*"</f>
        <v>*3012905201916*</v>
      </c>
    </row>
    <row r="396" spans="1:7" ht="21">
      <c r="A396">
        <f t="shared" si="14"/>
        <v>393</v>
      </c>
      <c r="B396" s="61">
        <v>3012905201917</v>
      </c>
      <c r="C396" s="65" t="s">
        <v>26</v>
      </c>
      <c r="D396" s="66">
        <v>0</v>
      </c>
      <c r="E396" s="67">
        <v>18.5</v>
      </c>
      <c r="F396" s="68">
        <v>17</v>
      </c>
      <c r="G396" s="73" t="str">
        <f>"*"&amp;Tabla1[[#This Row],[Codigo de barras]]&amp;"*"</f>
        <v>*3012905201917*</v>
      </c>
    </row>
    <row r="397" spans="1:7" ht="21">
      <c r="A397">
        <f t="shared" si="14"/>
        <v>394</v>
      </c>
      <c r="B397" s="61">
        <v>3012905201918</v>
      </c>
      <c r="C397" s="65" t="s">
        <v>26</v>
      </c>
      <c r="D397" s="66">
        <v>0</v>
      </c>
      <c r="E397" s="67">
        <v>18.5</v>
      </c>
      <c r="F397" s="64">
        <v>18</v>
      </c>
      <c r="G397" s="73" t="str">
        <f>"*"&amp;Tabla1[[#This Row],[Codigo de barras]]&amp;"*"</f>
        <v>*3012905201918*</v>
      </c>
    </row>
    <row r="398" spans="1:7" ht="21">
      <c r="A398">
        <f t="shared" si="14"/>
        <v>395</v>
      </c>
      <c r="B398" s="61">
        <v>3012905201919</v>
      </c>
      <c r="C398" s="65" t="s">
        <v>26</v>
      </c>
      <c r="D398" s="66">
        <v>0</v>
      </c>
      <c r="E398" s="67">
        <v>18.5</v>
      </c>
      <c r="F398" s="68">
        <v>19</v>
      </c>
      <c r="G398" s="73" t="str">
        <f>"*"&amp;Tabla1[[#This Row],[Codigo de barras]]&amp;"*"</f>
        <v>*3012905201919*</v>
      </c>
    </row>
    <row r="399" spans="1:7" ht="21">
      <c r="A399">
        <f t="shared" si="14"/>
        <v>396</v>
      </c>
      <c r="B399" s="61">
        <v>3012905201920</v>
      </c>
      <c r="C399" s="65" t="s">
        <v>26</v>
      </c>
      <c r="D399" s="66">
        <v>0</v>
      </c>
      <c r="E399" s="67">
        <v>18.5</v>
      </c>
      <c r="F399" s="68">
        <v>20</v>
      </c>
      <c r="G399" s="73" t="str">
        <f>"*"&amp;Tabla1[[#This Row],[Codigo de barras]]&amp;"*"</f>
        <v>*3012905201920*</v>
      </c>
    </row>
    <row r="400" spans="1:7" ht="21">
      <c r="A400">
        <f t="shared" si="14"/>
        <v>397</v>
      </c>
      <c r="B400" s="61">
        <v>3012905201921</v>
      </c>
      <c r="C400" s="65" t="s">
        <v>26</v>
      </c>
      <c r="D400" s="66">
        <v>0</v>
      </c>
      <c r="E400" s="67">
        <v>18.5</v>
      </c>
      <c r="F400" s="64">
        <v>21</v>
      </c>
      <c r="G400" s="73" t="str">
        <f>"*"&amp;Tabla1[[#This Row],[Codigo de barras]]&amp;"*"</f>
        <v>*3012905201921*</v>
      </c>
    </row>
    <row r="401" spans="1:7" ht="21">
      <c r="A401">
        <f t="shared" si="14"/>
        <v>398</v>
      </c>
      <c r="B401" s="61">
        <v>3012905201922</v>
      </c>
      <c r="C401" s="65" t="s">
        <v>26</v>
      </c>
      <c r="D401" s="66">
        <v>0</v>
      </c>
      <c r="E401" s="67">
        <v>18.5</v>
      </c>
      <c r="F401" s="68">
        <v>22</v>
      </c>
      <c r="G401" s="73" t="str">
        <f>"*"&amp;Tabla1[[#This Row],[Codigo de barras]]&amp;"*"</f>
        <v>*3012905201922*</v>
      </c>
    </row>
    <row r="402" spans="1:7" ht="21">
      <c r="A402">
        <f t="shared" si="14"/>
        <v>399</v>
      </c>
      <c r="B402" s="61">
        <v>3012905201923</v>
      </c>
      <c r="C402" s="65" t="s">
        <v>26</v>
      </c>
      <c r="D402" s="66">
        <v>0</v>
      </c>
      <c r="E402" s="67">
        <v>18.5</v>
      </c>
      <c r="F402" s="68">
        <v>23</v>
      </c>
      <c r="G402" s="73" t="str">
        <f>"*"&amp;Tabla1[[#This Row],[Codigo de barras]]&amp;"*"</f>
        <v>*3012905201923*</v>
      </c>
    </row>
    <row r="403" spans="1:7" ht="21">
      <c r="A403">
        <f t="shared" si="14"/>
        <v>400</v>
      </c>
      <c r="B403" s="61">
        <v>3012905201924</v>
      </c>
      <c r="C403" s="65" t="s">
        <v>26</v>
      </c>
      <c r="D403" s="66">
        <v>0</v>
      </c>
      <c r="E403" s="67">
        <v>18.5</v>
      </c>
      <c r="F403" s="64">
        <v>24</v>
      </c>
      <c r="G403" s="73" t="str">
        <f>"*"&amp;Tabla1[[#This Row],[Codigo de barras]]&amp;"*"</f>
        <v>*3012905201924*</v>
      </c>
    </row>
    <row r="404" spans="1:7" ht="21">
      <c r="A404">
        <f t="shared" si="14"/>
        <v>401</v>
      </c>
      <c r="B404" s="61">
        <v>3012905201925</v>
      </c>
      <c r="C404" s="65" t="s">
        <v>26</v>
      </c>
      <c r="D404" s="66">
        <v>0</v>
      </c>
      <c r="E404" s="67">
        <v>18.5</v>
      </c>
      <c r="F404" s="68">
        <v>25</v>
      </c>
      <c r="G404" s="73" t="str">
        <f>"*"&amp;Tabla1[[#This Row],[Codigo de barras]]&amp;"*"</f>
        <v>*3012905201925*</v>
      </c>
    </row>
    <row r="405" spans="1:7" ht="21">
      <c r="A405">
        <f t="shared" si="14"/>
        <v>402</v>
      </c>
      <c r="B405" s="61">
        <v>3012905201926</v>
      </c>
      <c r="C405" s="65" t="s">
        <v>26</v>
      </c>
      <c r="D405" s="66">
        <v>0</v>
      </c>
      <c r="E405" s="67">
        <v>18.5</v>
      </c>
      <c r="F405" s="68">
        <v>26</v>
      </c>
      <c r="G405" s="73" t="str">
        <f>"*"&amp;Tabla1[[#This Row],[Codigo de barras]]&amp;"*"</f>
        <v>*3012905201926*</v>
      </c>
    </row>
    <row r="406" spans="1:7" ht="21">
      <c r="A406">
        <f t="shared" si="14"/>
        <v>403</v>
      </c>
      <c r="B406" s="61">
        <v>3012905201927</v>
      </c>
      <c r="C406" s="65" t="s">
        <v>26</v>
      </c>
      <c r="D406" s="66">
        <v>0</v>
      </c>
      <c r="E406" s="67">
        <v>18.5</v>
      </c>
      <c r="F406" s="64">
        <v>27</v>
      </c>
      <c r="G406" s="73" t="str">
        <f>"*"&amp;Tabla1[[#This Row],[Codigo de barras]]&amp;"*"</f>
        <v>*3012905201927*</v>
      </c>
    </row>
    <row r="407" spans="1:7" ht="21">
      <c r="A407">
        <f t="shared" si="14"/>
        <v>404</v>
      </c>
      <c r="B407" s="61">
        <v>3012905201928</v>
      </c>
      <c r="C407" s="65" t="s">
        <v>26</v>
      </c>
      <c r="D407" s="66">
        <v>0</v>
      </c>
      <c r="E407" s="67">
        <v>18.5</v>
      </c>
      <c r="F407" s="68">
        <v>28</v>
      </c>
      <c r="G407" s="73" t="str">
        <f>"*"&amp;Tabla1[[#This Row],[Codigo de barras]]&amp;"*"</f>
        <v>*3012905201928*</v>
      </c>
    </row>
    <row r="408" spans="1:7" ht="21">
      <c r="A408">
        <f t="shared" si="14"/>
        <v>405</v>
      </c>
      <c r="B408" s="61">
        <v>3012905201929</v>
      </c>
      <c r="C408" s="65" t="s">
        <v>26</v>
      </c>
      <c r="D408" s="66">
        <v>0</v>
      </c>
      <c r="E408" s="67">
        <v>18.5</v>
      </c>
      <c r="F408" s="68">
        <v>29</v>
      </c>
      <c r="G408" s="73" t="str">
        <f>"*"&amp;Tabla1[[#This Row],[Codigo de barras]]&amp;"*"</f>
        <v>*3012905201929*</v>
      </c>
    </row>
    <row r="409" spans="1:7" ht="21">
      <c r="A409">
        <f t="shared" si="14"/>
        <v>406</v>
      </c>
      <c r="B409" s="61">
        <v>3012905201930</v>
      </c>
      <c r="C409" s="65" t="s">
        <v>26</v>
      </c>
      <c r="D409" s="66">
        <v>0</v>
      </c>
      <c r="E409" s="67">
        <v>18.5</v>
      </c>
      <c r="F409" s="64">
        <v>30</v>
      </c>
      <c r="G409" s="73" t="str">
        <f>"*"&amp;Tabla1[[#This Row],[Codigo de barras]]&amp;"*"</f>
        <v>*3012905201930*</v>
      </c>
    </row>
    <row r="410" spans="1:7">
      <c r="A410">
        <f t="shared" si="14"/>
        <v>407</v>
      </c>
    </row>
    <row r="411" spans="1:7">
      <c r="A411">
        <f t="shared" si="14"/>
        <v>408</v>
      </c>
    </row>
    <row r="412" spans="1:7">
      <c r="A412">
        <f t="shared" si="14"/>
        <v>409</v>
      </c>
    </row>
    <row r="413" spans="1:7">
      <c r="A413">
        <f t="shared" si="14"/>
        <v>410</v>
      </c>
    </row>
    <row r="414" spans="1:7">
      <c r="A414">
        <f t="shared" si="14"/>
        <v>411</v>
      </c>
    </row>
    <row r="415" spans="1:7">
      <c r="A415">
        <f t="shared" si="14"/>
        <v>412</v>
      </c>
    </row>
    <row r="416" spans="1:7">
      <c r="A416">
        <f t="shared" si="14"/>
        <v>413</v>
      </c>
    </row>
    <row r="417" spans="1:1">
      <c r="A417">
        <f t="shared" si="14"/>
        <v>414</v>
      </c>
    </row>
    <row r="418" spans="1:1">
      <c r="A418">
        <f t="shared" si="14"/>
        <v>415</v>
      </c>
    </row>
    <row r="419" spans="1:1">
      <c r="A419">
        <f t="shared" si="14"/>
        <v>416</v>
      </c>
    </row>
    <row r="420" spans="1:1">
      <c r="A420">
        <f t="shared" si="14"/>
        <v>417</v>
      </c>
    </row>
    <row r="421" spans="1:1">
      <c r="A421">
        <f t="shared" si="14"/>
        <v>418</v>
      </c>
    </row>
    <row r="422" spans="1:1">
      <c r="A422">
        <f t="shared" si="14"/>
        <v>419</v>
      </c>
    </row>
    <row r="423" spans="1:1">
      <c r="A423">
        <f t="shared" si="14"/>
        <v>420</v>
      </c>
    </row>
    <row r="424" spans="1:1">
      <c r="A424">
        <f t="shared" si="14"/>
        <v>421</v>
      </c>
    </row>
    <row r="425" spans="1:1">
      <c r="A425">
        <f t="shared" si="14"/>
        <v>422</v>
      </c>
    </row>
    <row r="426" spans="1:1">
      <c r="A426">
        <f t="shared" si="14"/>
        <v>423</v>
      </c>
    </row>
    <row r="427" spans="1:1">
      <c r="A427">
        <f t="shared" si="14"/>
        <v>424</v>
      </c>
    </row>
    <row r="428" spans="1:1">
      <c r="A428">
        <f t="shared" si="14"/>
        <v>425</v>
      </c>
    </row>
    <row r="429" spans="1:1">
      <c r="A429">
        <f t="shared" si="14"/>
        <v>426</v>
      </c>
    </row>
    <row r="430" spans="1:1">
      <c r="A430">
        <f t="shared" si="14"/>
        <v>427</v>
      </c>
    </row>
    <row r="431" spans="1:1">
      <c r="A431">
        <f t="shared" si="14"/>
        <v>428</v>
      </c>
    </row>
    <row r="432" spans="1:1">
      <c r="A432">
        <f t="shared" si="14"/>
        <v>429</v>
      </c>
    </row>
  </sheetData>
  <sheetProtection algorithmName="SHA-512" hashValue="0DubUG1EXFBrah1BWWej1jMXtmMF0jV+3IQh7EnNTrJxSuz2LWc2ESE3NqWP5lAm2p7Bv+PDVUO+euWDxdAgkw==" saltValue="JMXLCdrKMnAsE9dD84Rheg==" spinCount="100000" sheet="1" objects="1" scenarios="1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K30"/>
  <sheetViews>
    <sheetView topLeftCell="A8" workbookViewId="0">
      <selection activeCell="E7" sqref="E1:E1048576"/>
    </sheetView>
  </sheetViews>
  <sheetFormatPr baseColWidth="10" defaultRowHeight="15"/>
  <cols>
    <col min="1" max="1" width="7.42578125" customWidth="1"/>
    <col min="2" max="2" width="22.85546875" customWidth="1"/>
    <col min="3" max="3" width="27.42578125" customWidth="1"/>
    <col min="4" max="4" width="4.140625" customWidth="1"/>
    <col min="5" max="5" width="20" style="75" customWidth="1"/>
    <col min="6" max="6" width="52.85546875" customWidth="1"/>
    <col min="7" max="7" width="17" style="24" customWidth="1"/>
    <col min="8" max="8" width="10.85546875" style="24"/>
    <col min="9" max="9" width="11.7109375" customWidth="1"/>
    <col min="10" max="10" width="12.7109375" style="24" customWidth="1"/>
  </cols>
  <sheetData>
    <row r="1" spans="1:11" ht="21">
      <c r="H1" s="78" t="s">
        <v>18</v>
      </c>
      <c r="I1" s="78"/>
      <c r="J1" s="78"/>
    </row>
    <row r="2" spans="1:11" ht="51" customHeight="1">
      <c r="B2" s="18" t="s">
        <v>21</v>
      </c>
      <c r="H2" s="30" t="s">
        <v>19</v>
      </c>
      <c r="I2" s="31" t="s">
        <v>20</v>
      </c>
      <c r="J2" s="39" t="s">
        <v>22</v>
      </c>
    </row>
    <row r="3" spans="1:11">
      <c r="H3" s="40">
        <v>70</v>
      </c>
      <c r="I3" s="41">
        <v>3</v>
      </c>
      <c r="J3" s="40">
        <v>0</v>
      </c>
      <c r="K3" s="24">
        <f>(100-J3)/100</f>
        <v>1</v>
      </c>
    </row>
    <row r="4" spans="1:11">
      <c r="E4" s="76" t="s">
        <v>9</v>
      </c>
      <c r="F4" s="16" t="s">
        <v>8</v>
      </c>
      <c r="G4" s="27" t="s">
        <v>14</v>
      </c>
      <c r="H4" s="27" t="s">
        <v>15</v>
      </c>
      <c r="I4" s="26" t="s">
        <v>12</v>
      </c>
      <c r="J4" s="32" t="s">
        <v>17</v>
      </c>
    </row>
    <row r="5" spans="1:11" ht="21">
      <c r="B5" s="1" t="s">
        <v>3</v>
      </c>
      <c r="C5" s="70">
        <v>3012905201920</v>
      </c>
      <c r="E5" s="77" t="str">
        <f>IFERROR(VLOOKUP($C$5,Tabla1[],6,FALSE),"-")</f>
        <v>*3012905201920*</v>
      </c>
      <c r="F5" s="10" t="str">
        <f>IFERROR(VLOOKUP($C$5,Tabla1[],2,FALSE),"-")</f>
        <v xml:space="preserve">CYAN SELECCIÓN </v>
      </c>
      <c r="G5" s="28">
        <f>IFERROR(VLOOKUP($C$5,Tabla1[],3,FALSE),"-")</f>
        <v>0</v>
      </c>
      <c r="H5" s="28">
        <f>IFERROR(VLOOKUP($C$5,Tabla1[],4,FALSE),"-")</f>
        <v>18.5</v>
      </c>
      <c r="I5" s="17">
        <f>IFERROR(VLOOKUP($C$5,Tabla1[],5,FALSE),"-")</f>
        <v>20</v>
      </c>
      <c r="J5" s="24">
        <f>+((G5*1000)/H3)*I3</f>
        <v>0</v>
      </c>
    </row>
    <row r="6" spans="1:11" ht="21">
      <c r="B6" s="1" t="s">
        <v>4</v>
      </c>
      <c r="C6" s="69">
        <v>3012905201921</v>
      </c>
      <c r="E6" s="77" t="str">
        <f>IFERROR(VLOOKUP($C$6,Tabla1[],6,FALSE),"-")</f>
        <v>*3012905201921*</v>
      </c>
      <c r="F6" s="10" t="str">
        <f>IFERROR(VLOOKUP($C$6,Tabla1[],2,FALSE),"-")</f>
        <v xml:space="preserve">CYAN SELECCIÓN </v>
      </c>
      <c r="G6" s="28">
        <f>IFERROR(VLOOKUP($C$6,Tabla1[],3,FALSE),"-")</f>
        <v>0</v>
      </c>
      <c r="H6" s="28">
        <f>IFERROR(VLOOKUP($C$6,Tabla1[],4,FALSE),"-")</f>
        <v>18.5</v>
      </c>
      <c r="I6" s="17">
        <f>IFERROR(VLOOKUP($C$6,Tabla1[],5,FALSE),"-")</f>
        <v>21</v>
      </c>
      <c r="J6" s="24">
        <f>+((G6*1000)/H3)*I3</f>
        <v>0</v>
      </c>
    </row>
    <row r="7" spans="1:11" ht="21">
      <c r="B7" s="1" t="s">
        <v>5</v>
      </c>
      <c r="C7" s="70">
        <v>3012905201922</v>
      </c>
      <c r="E7" s="77" t="str">
        <f>IFERROR(VLOOKUP($C$7,Tabla1[],6,FALSE),"-")</f>
        <v>*3012905201922*</v>
      </c>
      <c r="F7" s="10" t="str">
        <f>IFERROR(VLOOKUP($C$7,Tabla1[],2,FALSE),"-")</f>
        <v xml:space="preserve">CYAN SELECCIÓN </v>
      </c>
      <c r="G7" s="28">
        <f>IFERROR(VLOOKUP($C$7,Tabla1[],3,FALSE),"-")</f>
        <v>0</v>
      </c>
      <c r="H7" s="28">
        <f>IFERROR(VLOOKUP($C$7,Tabla1[],4,FALSE),"-")</f>
        <v>18.5</v>
      </c>
      <c r="I7" s="17">
        <f>IFERROR(VLOOKUP($C$7,Tabla1[],5,FALSE),"-")</f>
        <v>22</v>
      </c>
      <c r="J7" s="24">
        <f>+((G7*1000)/H3)*I3</f>
        <v>0</v>
      </c>
    </row>
    <row r="8" spans="1:11" ht="21">
      <c r="B8" s="1" t="s">
        <v>6</v>
      </c>
      <c r="C8" s="69">
        <v>3012905201923</v>
      </c>
      <c r="E8" s="77" t="str">
        <f>IFERROR(VLOOKUP($C$8,Tabla1[],6,FALSE),"-")</f>
        <v>*3012905201923*</v>
      </c>
      <c r="F8" s="10" t="str">
        <f>IFERROR(VLOOKUP($C$8,Tabla1[],2,FALSE),"-")</f>
        <v xml:space="preserve">CYAN SELECCIÓN </v>
      </c>
      <c r="G8" s="28">
        <f>IFERROR(VLOOKUP($C$8,Tabla1[],3,FALSE),"-")</f>
        <v>0</v>
      </c>
      <c r="H8" s="28">
        <f>IFERROR(VLOOKUP($C$8,Tabla1[],4,FALSE),"-")</f>
        <v>18.5</v>
      </c>
      <c r="I8" s="17">
        <f>IFERROR(VLOOKUP($C$8,Tabla1[],5,FALSE),"-")</f>
        <v>23</v>
      </c>
      <c r="J8" s="24">
        <f>+((G8*1000)/H3)*I3</f>
        <v>0</v>
      </c>
    </row>
    <row r="9" spans="1:11" ht="21">
      <c r="B9" s="1" t="s">
        <v>7</v>
      </c>
      <c r="C9" s="70">
        <v>3012905201924</v>
      </c>
      <c r="E9" s="77" t="str">
        <f>IFERROR(VLOOKUP($C$9,Tabla1[],6,FALSE),"-")</f>
        <v>*3012905201924*</v>
      </c>
      <c r="F9" s="10" t="str">
        <f>IFERROR(VLOOKUP($C$9,Tabla1[],2,FALSE),"-")</f>
        <v xml:space="preserve">CYAN SELECCIÓN </v>
      </c>
      <c r="G9" s="28">
        <f>IFERROR(VLOOKUP($C$9,Tabla1[],3,FALSE),"-")</f>
        <v>0</v>
      </c>
      <c r="H9" s="28">
        <f>IFERROR(VLOOKUP($C$9,Tabla1[],4,FALSE),"-")</f>
        <v>18.5</v>
      </c>
      <c r="I9" s="17">
        <f>IFERROR(VLOOKUP($C$9,Tabla1[],5,FALSE),"-")</f>
        <v>24</v>
      </c>
      <c r="J9" s="24">
        <f>+((G9*1000)/H3)*I3</f>
        <v>0</v>
      </c>
    </row>
    <row r="10" spans="1:11" ht="21">
      <c r="A10" s="13"/>
      <c r="B10" s="13"/>
      <c r="C10" s="69">
        <v>3012905201925</v>
      </c>
      <c r="D10" s="14"/>
      <c r="E10" s="77" t="str">
        <f>IFERROR(VLOOKUP($C$10,Tabla1[],6,FALSE),"-")</f>
        <v>*3012905201925*</v>
      </c>
      <c r="F10" s="10" t="str">
        <f>IFERROR(VLOOKUP($C$10,Tabla1[],2,FALSE),"-")</f>
        <v xml:space="preserve">CYAN SELECCIÓN </v>
      </c>
      <c r="G10" s="28">
        <f>IFERROR(VLOOKUP($C$10,Tabla1[],3,FALSE),"-")</f>
        <v>0</v>
      </c>
      <c r="H10" s="28">
        <f>IFERROR(VLOOKUP($C$10,Tabla1[],4,FALSE),"-")</f>
        <v>18.5</v>
      </c>
      <c r="I10" s="17">
        <f>IFERROR(VLOOKUP($C$10,Tabla1[],5,FALSE),"-")</f>
        <v>25</v>
      </c>
      <c r="J10" s="35">
        <f>+((G10*1000)/H3)*I3</f>
        <v>0</v>
      </c>
    </row>
    <row r="11" spans="1:11" ht="21">
      <c r="A11" s="13"/>
      <c r="C11" s="70">
        <v>3012905201926</v>
      </c>
      <c r="D11" s="11"/>
      <c r="E11" s="77" t="str">
        <f>IFERROR(VLOOKUP($C$11,Tabla1[],6,FALSE),"-")</f>
        <v>*3012905201926*</v>
      </c>
      <c r="F11" s="10" t="str">
        <f>IFERROR(VLOOKUP($C$11,Tabla1[],2,FALSE),"-")</f>
        <v xml:space="preserve">CYAN SELECCIÓN </v>
      </c>
      <c r="G11" s="28">
        <f>IFERROR(VLOOKUP($C$11,Tabla1[],3,FALSE),"-")</f>
        <v>0</v>
      </c>
      <c r="H11" s="28">
        <f>IFERROR(VLOOKUP($C$11,Tabla1[],4,FALSE),"-")</f>
        <v>18.5</v>
      </c>
      <c r="I11" s="17">
        <f>IFERROR(VLOOKUP($C$11,Tabla1[],5,FALSE),"-")</f>
        <v>26</v>
      </c>
      <c r="J11" s="24">
        <f>+((G11*1000)/H3)*I3</f>
        <v>0</v>
      </c>
    </row>
    <row r="12" spans="1:11" ht="21">
      <c r="B12" s="13"/>
      <c r="C12" s="69">
        <v>3012905201927</v>
      </c>
      <c r="D12" s="15"/>
      <c r="E12" s="77" t="str">
        <f>IFERROR(VLOOKUP($C$12,Tabla1[],6,FALSE),"-")</f>
        <v>*3012905201927*</v>
      </c>
      <c r="F12" s="10" t="str">
        <f>IFERROR(VLOOKUP($C$12,Tabla1[],2,FALSE),"-")</f>
        <v xml:space="preserve">CYAN SELECCIÓN </v>
      </c>
      <c r="G12" s="28">
        <f>IFERROR(VLOOKUP($C$12,Tabla1[],3,FALSE),"-")</f>
        <v>0</v>
      </c>
      <c r="H12" s="28">
        <f>IFERROR(VLOOKUP($C$12,Tabla1[],4,FALSE),"-")</f>
        <v>18.5</v>
      </c>
      <c r="I12" s="17">
        <f>IFERROR(VLOOKUP($C$12,Tabla1[],5,FALSE),"-")</f>
        <v>27</v>
      </c>
      <c r="J12" s="24">
        <f>+((G12*1000)/H3)*I3</f>
        <v>0</v>
      </c>
    </row>
    <row r="13" spans="1:11" ht="21">
      <c r="B13" s="12"/>
      <c r="C13" s="70">
        <v>3012905201928</v>
      </c>
      <c r="D13" s="15"/>
      <c r="E13" s="77" t="str">
        <f>IFERROR(VLOOKUP($C$13,Tabla1[],6,FALSE),"-")</f>
        <v>*3012905201928*</v>
      </c>
      <c r="F13" s="10" t="str">
        <f>IFERROR(VLOOKUP($C$13,Tabla1[],2,FALSE),"-")</f>
        <v xml:space="preserve">CYAN SELECCIÓN </v>
      </c>
      <c r="G13" s="28">
        <f>IFERROR(VLOOKUP($C$13,Tabla1[],3,FALSE),"-")</f>
        <v>0</v>
      </c>
      <c r="H13" s="28">
        <f>IFERROR(VLOOKUP($C$13,Tabla1[],4,FALSE),"-")</f>
        <v>18.5</v>
      </c>
      <c r="I13" s="17">
        <f>IFERROR(VLOOKUP($C$13,Tabla1[],5,FALSE),"-")</f>
        <v>28</v>
      </c>
      <c r="J13" s="24">
        <f>+((G13*1000)/H3)*I3</f>
        <v>0</v>
      </c>
    </row>
    <row r="14" spans="1:11" ht="21">
      <c r="B14" s="12"/>
      <c r="C14" s="69">
        <v>3012905201929</v>
      </c>
      <c r="D14" s="15"/>
      <c r="E14" s="77" t="str">
        <f>IFERROR(VLOOKUP($C$14,Tabla1[],6,FALSE),"-")</f>
        <v>*3012905201929*</v>
      </c>
      <c r="F14" s="10" t="str">
        <f>IFERROR(VLOOKUP($C$14,Tabla1[],2,FALSE),"-")</f>
        <v xml:space="preserve">CYAN SELECCIÓN </v>
      </c>
      <c r="G14" s="28">
        <f>IFERROR(VLOOKUP($C$14,Tabla1[],3,FALSE),"-")</f>
        <v>0</v>
      </c>
      <c r="H14" s="28">
        <f>IFERROR(VLOOKUP($C$14,Tabla1[],4,FALSE),"-")</f>
        <v>18.5</v>
      </c>
      <c r="I14" s="17">
        <f>IFERROR(VLOOKUP($C$14,Tabla1[],5,FALSE),"-")</f>
        <v>29</v>
      </c>
      <c r="J14" s="24">
        <f>+((G14*1000)/H3)*I3</f>
        <v>0</v>
      </c>
    </row>
    <row r="15" spans="1:11" ht="21">
      <c r="B15" s="12"/>
      <c r="C15" s="70">
        <v>3012905201930</v>
      </c>
      <c r="D15" s="15"/>
      <c r="E15" s="77" t="str">
        <f>IFERROR(VLOOKUP($C$15,Tabla1[],6,FALSE),"-")</f>
        <v>*3012905201930*</v>
      </c>
      <c r="F15" s="10" t="str">
        <f>IFERROR(VLOOKUP($C$15,Tabla1[],2,FALSE),"-")</f>
        <v xml:space="preserve">CYAN SELECCIÓN </v>
      </c>
      <c r="G15" s="28">
        <f>IFERROR(VLOOKUP($C$15,Tabla1[],3,FALSE),"-")</f>
        <v>0</v>
      </c>
      <c r="H15" s="28">
        <f>IFERROR(VLOOKUP($C$15,Tabla1[],4,FALSE),"-")</f>
        <v>18.5</v>
      </c>
      <c r="I15" s="17">
        <f>IFERROR(VLOOKUP($C$15,Tabla1[],5,FALSE),"-")</f>
        <v>30</v>
      </c>
      <c r="J15" s="24">
        <f>+((G15*1000)/H3)*I3</f>
        <v>0</v>
      </c>
    </row>
    <row r="16" spans="1:11" ht="21">
      <c r="B16" s="12"/>
      <c r="C16" s="70"/>
      <c r="D16" s="15"/>
      <c r="E16" s="77" t="str">
        <f>IFERROR(VLOOKUP($C$16,Tabla1[],6,FALSE),"-")</f>
        <v>-</v>
      </c>
      <c r="F16" s="10" t="str">
        <f>IFERROR(VLOOKUP($C$16,Tabla1[],2,FALSE),"-")</f>
        <v>-</v>
      </c>
      <c r="G16" s="28" t="str">
        <f>IFERROR(VLOOKUP($C$16,Tabla1[],3,FALSE),"-")</f>
        <v>-</v>
      </c>
      <c r="H16" s="28" t="str">
        <f>IFERROR(VLOOKUP($C$16,Tabla1[],4,FALSE),"-")</f>
        <v>-</v>
      </c>
      <c r="I16" s="17" t="str">
        <f>IFERROR(VLOOKUP($C$16,Tabla1[],5,FALSE),"-")</f>
        <v>-</v>
      </c>
      <c r="J16" s="24" t="e">
        <f>+((G16*1000)/H3)*I3</f>
        <v>#VALUE!</v>
      </c>
    </row>
    <row r="17" spans="2:10" ht="21">
      <c r="B17" s="12"/>
      <c r="C17" s="69"/>
      <c r="D17" s="15"/>
      <c r="E17" s="77" t="str">
        <f>IFERROR(VLOOKUP($C$17,Tabla1[],6,FALSE),"-")</f>
        <v>-</v>
      </c>
      <c r="F17" s="10" t="str">
        <f>IFERROR(VLOOKUP($C$17,Tabla1[],2,FALSE),"-")</f>
        <v>-</v>
      </c>
      <c r="G17" s="28" t="str">
        <f>IFERROR(VLOOKUP($C$17,Tabla1[],3,FALSE),"-")</f>
        <v>-</v>
      </c>
      <c r="H17" s="28" t="str">
        <f>IFERROR(VLOOKUP($C$17,Tabla1[],4,FALSE),"-")</f>
        <v>-</v>
      </c>
      <c r="I17" s="17" t="str">
        <f>IFERROR(VLOOKUP($C$17,Tabla1[],5,FALSE),"-")</f>
        <v>-</v>
      </c>
      <c r="J17" s="24" t="e">
        <f>+((G17*1000)/H3)*I3</f>
        <v>#VALUE!</v>
      </c>
    </row>
    <row r="18" spans="2:10" ht="21">
      <c r="B18" s="12"/>
      <c r="C18" s="70"/>
      <c r="D18" s="12"/>
      <c r="E18" s="77" t="str">
        <f>IFERROR(VLOOKUP($C$18,Tabla1[],6,FALSE),"-")</f>
        <v>-</v>
      </c>
      <c r="F18" s="10" t="str">
        <f>IFERROR(VLOOKUP($C$18,Tabla1[],2,FALSE),"-")</f>
        <v>-</v>
      </c>
      <c r="G18" s="28" t="str">
        <f>IFERROR(VLOOKUP($C$18,Tabla1[],3,FALSE),"-")</f>
        <v>-</v>
      </c>
      <c r="H18" s="28" t="str">
        <f>IFERROR(VLOOKUP($C$18,Tabla1[],4,FALSE),"-")</f>
        <v>-</v>
      </c>
      <c r="I18" s="17" t="str">
        <f>IFERROR(VLOOKUP($C$18,Tabla1[],5,FALSE),"-")</f>
        <v>-</v>
      </c>
      <c r="J18" s="24" t="e">
        <f>+((G18*1000)/H3)*I3</f>
        <v>#VALUE!</v>
      </c>
    </row>
    <row r="19" spans="2:10" ht="21">
      <c r="C19" s="69"/>
      <c r="E19" s="77" t="str">
        <f>IFERROR(VLOOKUP($C$19,Tabla1[],6,FALSE),"-")</f>
        <v>-</v>
      </c>
      <c r="F19" s="10" t="str">
        <f>IFERROR(VLOOKUP($C$19,Tabla1[],2,FALSE),"-")</f>
        <v>-</v>
      </c>
      <c r="G19" s="28" t="str">
        <f>IFERROR(VLOOKUP($C$19,Tabla1[],3,FALSE),"-")</f>
        <v>-</v>
      </c>
      <c r="H19" s="28" t="str">
        <f>IFERROR(VLOOKUP($C$19,Tabla1[],4,FALSE),"-")</f>
        <v>-</v>
      </c>
      <c r="I19" s="17" t="str">
        <f>IFERROR(VLOOKUP($C$19,Tabla1[],5,FALSE),"-")</f>
        <v>-</v>
      </c>
      <c r="J19" s="24" t="e">
        <f>+((G19*1000)/H3)*I3</f>
        <v>#VALUE!</v>
      </c>
    </row>
    <row r="20" spans="2:10" ht="21">
      <c r="C20" s="70"/>
      <c r="E20" s="77" t="str">
        <f>IFERROR(VLOOKUP($C$20,Tabla1[],6,FALSE),"-")</f>
        <v>-</v>
      </c>
      <c r="F20" s="10" t="str">
        <f>IFERROR(VLOOKUP($C$20,Tabla1[],2,FALSE),"-")</f>
        <v>-</v>
      </c>
      <c r="G20" s="28" t="str">
        <f>IFERROR(VLOOKUP($C$20,Tabla1[],3,FALSE),"-")</f>
        <v>-</v>
      </c>
      <c r="H20" s="28" t="str">
        <f>IFERROR(VLOOKUP($C$20,Tabla1[],4,FALSE),"-")</f>
        <v>-</v>
      </c>
      <c r="I20" s="17" t="str">
        <f>IFERROR(VLOOKUP($C$20,Tabla1[],5,FALSE),"-")</f>
        <v>-</v>
      </c>
      <c r="J20" s="24" t="e">
        <f>+((G20*1000)/H3)*I3</f>
        <v>#VALUE!</v>
      </c>
    </row>
    <row r="21" spans="2:10" ht="21">
      <c r="C21" s="69"/>
      <c r="E21" s="77" t="str">
        <f>IFERROR(VLOOKUP($C$21,Tabla1[],6,FALSE),"-")</f>
        <v>-</v>
      </c>
      <c r="F21" s="10" t="str">
        <f>IFERROR(VLOOKUP($C$21,Tabla1[],2,FALSE),"-")</f>
        <v>-</v>
      </c>
      <c r="G21" s="28" t="str">
        <f>IFERROR(VLOOKUP($C$21,Tabla1[],3,FALSE),"-")</f>
        <v>-</v>
      </c>
      <c r="H21" s="28" t="str">
        <f>IFERROR(VLOOKUP($C$21,Tabla1[],4,FALSE),"-")</f>
        <v>-</v>
      </c>
      <c r="I21" s="17" t="str">
        <f>IFERROR(VLOOKUP($C$21,Tabla1[],5,FALSE),"-")</f>
        <v>-</v>
      </c>
      <c r="J21" s="24" t="e">
        <f>+((G21*1000)/H3)*I3</f>
        <v>#VALUE!</v>
      </c>
    </row>
    <row r="22" spans="2:10" ht="21">
      <c r="C22" s="70"/>
      <c r="E22" s="77" t="str">
        <f>IFERROR(VLOOKUP($C$22,Tabla1[],6,FALSE),"-")</f>
        <v>-</v>
      </c>
      <c r="F22" s="10" t="str">
        <f>IFERROR(VLOOKUP($C$22,Tabla1[],2,FALSE),"-")</f>
        <v>-</v>
      </c>
      <c r="G22" s="28" t="str">
        <f>IFERROR(VLOOKUP($C$22,Tabla1[],3,FALSE),"-")</f>
        <v>-</v>
      </c>
      <c r="H22" s="28" t="str">
        <f>IFERROR(VLOOKUP($C$22,Tabla1[],4,FALSE),"-")</f>
        <v>-</v>
      </c>
      <c r="I22" s="17" t="str">
        <f>IFERROR(VLOOKUP($C$22,Tabla1[],5,FALSE),"-")</f>
        <v>-</v>
      </c>
      <c r="J22" s="24" t="e">
        <f>+((G22*1000)/H3)*I3</f>
        <v>#VALUE!</v>
      </c>
    </row>
    <row r="23" spans="2:10" ht="21">
      <c r="C23" s="69"/>
      <c r="E23" s="77" t="str">
        <f>IFERROR(VLOOKUP($C$23,Tabla1[],6,FALSE),"-")</f>
        <v>-</v>
      </c>
      <c r="F23" s="10" t="str">
        <f>IFERROR(VLOOKUP($C$23,Tabla1[],2,FALSE),"-")</f>
        <v>-</v>
      </c>
      <c r="G23" s="28" t="str">
        <f>IFERROR(VLOOKUP($C$23,Tabla1[],3,FALSE),"-")</f>
        <v>-</v>
      </c>
      <c r="H23" s="28" t="str">
        <f>IFERROR(VLOOKUP($C$23,Tabla1[],4,FALSE),"-")</f>
        <v>-</v>
      </c>
      <c r="I23" s="17" t="str">
        <f>IFERROR(VLOOKUP($C$23,Tabla1[],5,FALSE),"-")</f>
        <v>-</v>
      </c>
      <c r="J23" s="24" t="e">
        <f>+((G23*1000)/H3)*I3</f>
        <v>#VALUE!</v>
      </c>
    </row>
    <row r="24" spans="2:10" ht="21">
      <c r="C24" s="38"/>
      <c r="E24" s="77" t="str">
        <f>IFERROR(VLOOKUP($C$24,Tabla1[],6,FALSE),"-")</f>
        <v>-</v>
      </c>
      <c r="F24" s="10" t="str">
        <f>IFERROR(VLOOKUP($C$24,Tabla1[],2,FALSE),"-")</f>
        <v>-</v>
      </c>
      <c r="G24" s="28" t="str">
        <f>IFERROR(VLOOKUP($C$24,Tabla1[],3,FALSE),"-")</f>
        <v>-</v>
      </c>
      <c r="H24" s="28" t="str">
        <f>IFERROR(VLOOKUP($C$24,Tabla1[],4,FALSE),"-")</f>
        <v>-</v>
      </c>
      <c r="I24" s="17" t="str">
        <f>IFERROR(VLOOKUP($C$24,Tabla1[],5,FALSE),"-")</f>
        <v>-</v>
      </c>
      <c r="J24" s="24" t="e">
        <f>+((G24*1000)/H3)*I3</f>
        <v>#VALUE!</v>
      </c>
    </row>
    <row r="25" spans="2:10" ht="21">
      <c r="B25" s="36"/>
      <c r="C25" s="37"/>
      <c r="E25" s="77" t="str">
        <f>IFERROR(VLOOKUP($C$25,Tabla1[],6,FALSE),"-")</f>
        <v>-</v>
      </c>
      <c r="F25" s="10" t="str">
        <f>IFERROR(VLOOKUP($C$25,Tabla1[],2,FALSE),"-")</f>
        <v>-</v>
      </c>
      <c r="G25" s="28" t="str">
        <f>IFERROR(VLOOKUP($C$25,Tabla1[],3,FALSE),"-")</f>
        <v>-</v>
      </c>
      <c r="H25" s="28" t="str">
        <f>IFERROR(VLOOKUP($C$25,Tabla1[],4,FALSE),"-")</f>
        <v>-</v>
      </c>
      <c r="I25" s="17" t="str">
        <f>IFERROR(VLOOKUP($C$25,Tabla1[],5,FALSE),"-")</f>
        <v>-</v>
      </c>
      <c r="J25" s="24" t="e">
        <f>+((G25*1000)/H3)*I3</f>
        <v>#VALUE!</v>
      </c>
    </row>
    <row r="26" spans="2:10" ht="21">
      <c r="C26" s="23"/>
      <c r="E26" s="77" t="str">
        <f>IFERROR(VLOOKUP($C$26,Tabla1[],6,FALSE),"-")</f>
        <v>-</v>
      </c>
      <c r="F26" s="10" t="str">
        <f>IFERROR(VLOOKUP($C$26,Tabla1[],2,FALSE),"-")</f>
        <v>-</v>
      </c>
      <c r="G26" s="28" t="str">
        <f>IFERROR(VLOOKUP($C$26,Tabla1[],3,FALSE),"-")</f>
        <v>-</v>
      </c>
      <c r="H26" s="28" t="str">
        <f>IFERROR(VLOOKUP($C$26,Tabla1[],4,FALSE),"-")</f>
        <v>-</v>
      </c>
      <c r="I26" s="17" t="str">
        <f>IFERROR(VLOOKUP($C$26,Tabla1[],5,FALSE),"-")</f>
        <v>-</v>
      </c>
      <c r="J26" s="24" t="e">
        <f>+((G26*1000)/H3)*I3</f>
        <v>#VALUE!</v>
      </c>
    </row>
    <row r="27" spans="2:10" ht="21">
      <c r="C27" s="23"/>
      <c r="E27" s="77" t="str">
        <f>IFERROR(VLOOKUP($C$27,Tabla1[],6,FALSE),"-")</f>
        <v>-</v>
      </c>
      <c r="F27" s="10" t="str">
        <f>IFERROR(VLOOKUP($C$27,Tabla1[],2,FALSE),"-")</f>
        <v>-</v>
      </c>
      <c r="G27" s="28" t="str">
        <f>IFERROR(VLOOKUP($C$27,Tabla1[],3,FALSE),"-")</f>
        <v>-</v>
      </c>
      <c r="H27" s="28" t="str">
        <f>IFERROR(VLOOKUP($C$27,Tabla1[],4,FALSE),"-")</f>
        <v>-</v>
      </c>
      <c r="I27" s="17" t="str">
        <f>IFERROR(VLOOKUP($C$27,Tabla1[],5,FALSE),"-")</f>
        <v>-</v>
      </c>
      <c r="J27" s="24" t="e">
        <f>+((G27*1000)/H3)*I3</f>
        <v>#VALUE!</v>
      </c>
    </row>
    <row r="28" spans="2:10" ht="21">
      <c r="C28" s="23"/>
      <c r="E28" s="77" t="str">
        <f>IFERROR(VLOOKUP($C$28,Tabla1[],6,FALSE),"-")</f>
        <v>-</v>
      </c>
      <c r="F28" s="10" t="str">
        <f>IFERROR(VLOOKUP($C$28,Tabla1[],2,FALSE),"-")</f>
        <v>-</v>
      </c>
      <c r="G28" s="28" t="str">
        <f>IFERROR(VLOOKUP($C$28,Tabla1[],3,FALSE),"-")</f>
        <v>-</v>
      </c>
      <c r="H28" s="28" t="str">
        <f>IFERROR(VLOOKUP($C$28,Tabla1[],4,FALSE),"-")</f>
        <v>-</v>
      </c>
      <c r="I28" s="17" t="str">
        <f>IFERROR(VLOOKUP($C$28,Tabla1[],5,FALSE),"-")</f>
        <v>-</v>
      </c>
      <c r="J28" s="24" t="e">
        <f>+((G28*1000)/H3)*I3</f>
        <v>#VALUE!</v>
      </c>
    </row>
    <row r="29" spans="2:10" ht="21">
      <c r="C29" s="23"/>
      <c r="E29" s="77" t="str">
        <f>IFERROR(VLOOKUP($C$30,Tabla1[],6,FALSE),"-")</f>
        <v>-</v>
      </c>
      <c r="F29" s="10" t="str">
        <f>IFERROR(VLOOKUP($C$29,Tabla1[],2,FALSE),"-")</f>
        <v>-</v>
      </c>
      <c r="G29" s="28" t="str">
        <f>IFERROR(VLOOKUP($C$29,Tabla1[],3,FALSE),"-")</f>
        <v>-</v>
      </c>
      <c r="H29" s="28" t="str">
        <f>IFERROR(VLOOKUP($C$29,Tabla1[],4,FALSE),"-")</f>
        <v>-</v>
      </c>
      <c r="I29" s="17" t="str">
        <f>IFERROR(VLOOKUP($C$29,Tabla1[],5,FALSE),"-")</f>
        <v>-</v>
      </c>
      <c r="J29" s="24" t="e">
        <f>+((G29*1000)/H3)*I3</f>
        <v>#VALUE!</v>
      </c>
    </row>
    <row r="30" spans="2:10" ht="21">
      <c r="C30" s="23"/>
      <c r="E30" s="77" t="str">
        <f>IFERROR(VLOOKUP($C$31,Tabla1[],6,FALSE),"-")</f>
        <v>-</v>
      </c>
      <c r="F30" s="10" t="str">
        <f>IFERROR(VLOOKUP($C$30,Tabla1[],2,FALSE),"-")</f>
        <v>-</v>
      </c>
      <c r="G30" s="28" t="str">
        <f>IFERROR(VLOOKUP($C$30,Tabla1[],3,FALSE),"-")</f>
        <v>-</v>
      </c>
      <c r="H30" s="28" t="str">
        <f>IFERROR(VLOOKUP($C$30,Tabla1[],4,FALSE),"-")</f>
        <v>-</v>
      </c>
      <c r="I30" s="17" t="str">
        <f>IFERROR(VLOOKUP($C$30,Tabla1[],5,FALSE),"-")</f>
        <v>-</v>
      </c>
      <c r="J30" s="24" t="e">
        <f>+((G30*1000)/H3)*I3</f>
        <v>#VALUE!</v>
      </c>
    </row>
  </sheetData>
  <sheetProtection algorithmName="SHA-512" hashValue="0ZqX6SZj9uSDiQvC7CrJRYJpX3FA4FXjr4QhvYfDY/GotJSoKH1TU/DyMaxH984cxBUV30STW4tgldN748OXeA==" saltValue="9dGXGx8kdB8i4rWZQnE+lw==" spinCount="100000" sheet="1" objects="1" scenarios="1"/>
  <mergeCells count="1">
    <mergeCell ref="H1:J1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F45"/>
  <sheetViews>
    <sheetView zoomScale="215" zoomScaleNormal="215" zoomScalePageLayoutView="215" workbookViewId="0">
      <selection activeCell="A3" sqref="A3:B3"/>
    </sheetView>
  </sheetViews>
  <sheetFormatPr baseColWidth="10" defaultRowHeight="15"/>
  <cols>
    <col min="1" max="1" width="10" customWidth="1"/>
    <col min="2" max="2" width="10.28515625" customWidth="1"/>
    <col min="3" max="6" width="19.7109375" customWidth="1"/>
    <col min="7" max="7" width="11.85546875" bestFit="1" customWidth="1"/>
  </cols>
  <sheetData>
    <row r="1" spans="1:6" s="2" customFormat="1">
      <c r="A1" s="81" t="str">
        <f>'Ingreso codigo'!$F$5</f>
        <v xml:space="preserve">CYAN SELECCIÓN </v>
      </c>
      <c r="B1" s="82"/>
      <c r="C1" s="7" t="str">
        <f>'Ingreso codigo'!$F$5</f>
        <v xml:space="preserve">CYAN SELECCIÓN </v>
      </c>
      <c r="D1" s="7" t="str">
        <f>'Ingreso codigo'!$F$5</f>
        <v xml:space="preserve">CYAN SELECCIÓN </v>
      </c>
      <c r="E1" s="7" t="str">
        <f>'Ingreso codigo'!$F$5</f>
        <v xml:space="preserve">CYAN SELECCIÓN </v>
      </c>
      <c r="F1" s="7" t="str">
        <f>'Ingreso codigo'!$F$5</f>
        <v xml:space="preserve">CYAN SELECCIÓN </v>
      </c>
    </row>
    <row r="2" spans="1:6" ht="19.5">
      <c r="A2" s="79" t="str">
        <f>'Ingreso codigo'!$E$5</f>
        <v>*3012905201920*</v>
      </c>
      <c r="B2" s="80"/>
      <c r="C2" s="4" t="str">
        <f>'Ingreso codigo'!$E$5</f>
        <v>*3012905201920*</v>
      </c>
      <c r="D2" s="4" t="str">
        <f>'Ingreso codigo'!$E$5</f>
        <v>*3012905201920*</v>
      </c>
      <c r="E2" s="4" t="str">
        <f>'Ingreso codigo'!$E$5</f>
        <v>*3012905201920*</v>
      </c>
      <c r="F2" s="4" t="str">
        <f>'Ingreso codigo'!$E$5</f>
        <v>*3012905201920*</v>
      </c>
    </row>
    <row r="3" spans="1:6">
      <c r="A3" s="83" t="str">
        <f>'Ingreso codigo'!$E$5</f>
        <v>*3012905201920*</v>
      </c>
      <c r="B3" s="80"/>
      <c r="C3" s="5" t="str">
        <f>'Ingreso codigo'!$E$5</f>
        <v>*3012905201920*</v>
      </c>
      <c r="D3" s="5" t="str">
        <f>'Ingreso codigo'!$E$5</f>
        <v>*3012905201920*</v>
      </c>
      <c r="E3" s="5" t="str">
        <f>'Ingreso codigo'!$E$5</f>
        <v>*3012905201920*</v>
      </c>
      <c r="F3" s="5" t="str">
        <f>'Ingreso codigo'!$E$5</f>
        <v>*3012905201920*</v>
      </c>
    </row>
    <row r="4" spans="1:6">
      <c r="A4" s="29" t="str">
        <f>'Ingreso codigo'!$G$4&amp;" "&amp;'Ingreso codigo'!$G$5</f>
        <v>Metros 0</v>
      </c>
      <c r="B4" s="29" t="str">
        <f>'Ingreso codigo'!$I$4&amp;" "&amp;'Ingreso codigo'!$I$5</f>
        <v>Caja 20</v>
      </c>
      <c r="C4" s="5"/>
      <c r="D4" s="5"/>
      <c r="E4" s="5"/>
      <c r="F4" s="5"/>
    </row>
    <row r="5" spans="1:6" s="3" customFormat="1">
      <c r="A5" s="29" t="str">
        <f>'Ingreso codigo'!$H$4&amp;" "&amp;'Ingreso codigo'!$H$5</f>
        <v>Kilos 18.5</v>
      </c>
      <c r="B5" s="29" t="str">
        <f>'Ingreso codigo'!$I$4&amp;" "&amp;'Ingreso codigo'!$J$5</f>
        <v>Caja 0</v>
      </c>
      <c r="C5" s="8" t="str">
        <f>'Ingreso codigo'!$H$4&amp;" "&amp;'Ingreso codigo'!$G$5</f>
        <v>Kilos 0</v>
      </c>
      <c r="D5" s="8" t="str">
        <f>'Ingreso codigo'!$H$4&amp;" "&amp;'Ingreso codigo'!$G$5</f>
        <v>Kilos 0</v>
      </c>
      <c r="E5" s="8" t="str">
        <f>'Ingreso codigo'!$H$4&amp;" "&amp;'Ingreso codigo'!$G$5</f>
        <v>Kilos 0</v>
      </c>
      <c r="F5" s="8" t="str">
        <f>'Ingreso codigo'!$H$4&amp;" "&amp;'Ingreso codigo'!$G$5</f>
        <v>Kilos 0</v>
      </c>
    </row>
    <row r="6" spans="1:6">
      <c r="A6" s="7" t="str">
        <f>'Ingreso codigo'!$F$5</f>
        <v xml:space="preserve">CYAN SELECCIÓN </v>
      </c>
      <c r="B6" s="7"/>
      <c r="C6" s="7" t="str">
        <f>'Ingreso codigo'!$F$5</f>
        <v xml:space="preserve">CYAN SELECCIÓN </v>
      </c>
      <c r="D6" s="7" t="str">
        <f>'Ingreso codigo'!$F$5</f>
        <v xml:space="preserve">CYAN SELECCIÓN </v>
      </c>
      <c r="E6" s="7" t="str">
        <f>'Ingreso codigo'!$F$5</f>
        <v xml:space="preserve">CYAN SELECCIÓN </v>
      </c>
      <c r="F6" s="7" t="str">
        <f>'Ingreso codigo'!$F$5</f>
        <v xml:space="preserve">CYAN SELECCIÓN </v>
      </c>
    </row>
    <row r="7" spans="1:6" ht="19.5">
      <c r="A7" s="4" t="str">
        <f>'Ingreso codigo'!$E$5</f>
        <v>*3012905201920*</v>
      </c>
      <c r="B7" s="4"/>
      <c r="C7" s="4" t="str">
        <f>'Ingreso codigo'!$E$5</f>
        <v>*3012905201920*</v>
      </c>
      <c r="D7" s="4" t="str">
        <f>'Ingreso codigo'!$E$5</f>
        <v>*3012905201920*</v>
      </c>
      <c r="E7" s="4" t="str">
        <f>'Ingreso codigo'!$E$5</f>
        <v>*3012905201920*</v>
      </c>
      <c r="F7" s="4" t="str">
        <f>'Ingreso codigo'!$E$5</f>
        <v>*3012905201920*</v>
      </c>
    </row>
    <row r="8" spans="1:6">
      <c r="A8" s="5" t="str">
        <f>'Ingreso codigo'!$E$5</f>
        <v>*3012905201920*</v>
      </c>
      <c r="B8" s="5"/>
      <c r="C8" s="5" t="str">
        <f>'Ingreso codigo'!$E$5</f>
        <v>*3012905201920*</v>
      </c>
      <c r="D8" s="5" t="str">
        <f>'Ingreso codigo'!$E$5</f>
        <v>*3012905201920*</v>
      </c>
      <c r="E8" s="5" t="str">
        <f>'Ingreso codigo'!$E$5</f>
        <v>*3012905201920*</v>
      </c>
      <c r="F8" s="5" t="str">
        <f>'Ingreso codigo'!$E$5</f>
        <v>*3012905201920*</v>
      </c>
    </row>
    <row r="9" spans="1:6">
      <c r="A9" s="8" t="str">
        <f>'Ingreso codigo'!$H$4&amp;" "&amp;'Ingreso codigo'!$G$5</f>
        <v>Kilos 0</v>
      </c>
      <c r="B9" s="8"/>
      <c r="C9" s="8" t="str">
        <f>'Ingreso codigo'!$H$4&amp;" "&amp;'Ingreso codigo'!$G$5</f>
        <v>Kilos 0</v>
      </c>
      <c r="D9" s="8" t="str">
        <f>'Ingreso codigo'!$H$4&amp;" "&amp;'Ingreso codigo'!$G$5</f>
        <v>Kilos 0</v>
      </c>
      <c r="E9" s="8" t="str">
        <f>'Ingreso codigo'!$H$4&amp;" "&amp;'Ingreso codigo'!$G$5</f>
        <v>Kilos 0</v>
      </c>
      <c r="F9" s="8" t="str">
        <f>'Ingreso codigo'!$H$4&amp;" "&amp;'Ingreso codigo'!$G$5</f>
        <v>Kilos 0</v>
      </c>
    </row>
    <row r="10" spans="1:6">
      <c r="A10" s="7" t="str">
        <f>'Ingreso codigo'!$F$5</f>
        <v xml:space="preserve">CYAN SELECCIÓN </v>
      </c>
      <c r="B10" s="7"/>
      <c r="C10" s="7" t="str">
        <f>'Ingreso codigo'!$F$5</f>
        <v xml:space="preserve">CYAN SELECCIÓN </v>
      </c>
      <c r="D10" s="7" t="str">
        <f>'Ingreso codigo'!$F$5</f>
        <v xml:space="preserve">CYAN SELECCIÓN </v>
      </c>
      <c r="E10" s="7" t="str">
        <f>'Ingreso codigo'!$F$5</f>
        <v xml:space="preserve">CYAN SELECCIÓN </v>
      </c>
      <c r="F10" s="7" t="str">
        <f>'Ingreso codigo'!$F$5</f>
        <v xml:space="preserve">CYAN SELECCIÓN </v>
      </c>
    </row>
    <row r="11" spans="1:6" ht="19.5">
      <c r="A11" s="4" t="str">
        <f>'Ingreso codigo'!$E$5</f>
        <v>*3012905201920*</v>
      </c>
      <c r="B11" s="4"/>
      <c r="C11" s="4" t="str">
        <f>'Ingreso codigo'!$E$5</f>
        <v>*3012905201920*</v>
      </c>
      <c r="D11" s="4" t="str">
        <f>'Ingreso codigo'!$E$5</f>
        <v>*3012905201920*</v>
      </c>
      <c r="E11" s="4" t="str">
        <f>'Ingreso codigo'!$E$5</f>
        <v>*3012905201920*</v>
      </c>
      <c r="F11" s="4" t="str">
        <f>'Ingreso codigo'!$E$5</f>
        <v>*3012905201920*</v>
      </c>
    </row>
    <row r="12" spans="1:6">
      <c r="A12" s="5" t="str">
        <f>'Ingreso codigo'!$E$5</f>
        <v>*3012905201920*</v>
      </c>
      <c r="B12" s="5"/>
      <c r="C12" s="5" t="str">
        <f>'Ingreso codigo'!$E$5</f>
        <v>*3012905201920*</v>
      </c>
      <c r="D12" s="5" t="str">
        <f>'Ingreso codigo'!$E$5</f>
        <v>*3012905201920*</v>
      </c>
      <c r="E12" s="5" t="str">
        <f>'Ingreso codigo'!$E$5</f>
        <v>*3012905201920*</v>
      </c>
      <c r="F12" s="5" t="str">
        <f>'Ingreso codigo'!$E$5</f>
        <v>*3012905201920*</v>
      </c>
    </row>
    <row r="13" spans="1:6">
      <c r="A13" s="8" t="str">
        <f>'Ingreso codigo'!$H$4&amp;" "&amp;'Ingreso codigo'!$G$5</f>
        <v>Kilos 0</v>
      </c>
      <c r="B13" s="8"/>
      <c r="C13" s="8" t="str">
        <f>'Ingreso codigo'!$H$4&amp;" "&amp;'Ingreso codigo'!$G$5</f>
        <v>Kilos 0</v>
      </c>
      <c r="D13" s="8" t="str">
        <f>'Ingreso codigo'!$H$4&amp;" "&amp;'Ingreso codigo'!$G$5</f>
        <v>Kilos 0</v>
      </c>
      <c r="E13" s="8" t="str">
        <f>'Ingreso codigo'!$H$4&amp;" "&amp;'Ingreso codigo'!$G$5</f>
        <v>Kilos 0</v>
      </c>
      <c r="F13" s="8" t="str">
        <f>'Ingreso codigo'!$H$4&amp;" "&amp;'Ingreso codigo'!$G$5</f>
        <v>Kilos 0</v>
      </c>
    </row>
    <row r="14" spans="1:6">
      <c r="A14" s="7" t="str">
        <f>'Ingreso codigo'!$F$5</f>
        <v xml:space="preserve">CYAN SELECCIÓN </v>
      </c>
      <c r="B14" s="7"/>
      <c r="C14" s="7" t="str">
        <f>'Ingreso codigo'!$F$5</f>
        <v xml:space="preserve">CYAN SELECCIÓN </v>
      </c>
      <c r="D14" s="7" t="str">
        <f>'Ingreso codigo'!$F$5</f>
        <v xml:space="preserve">CYAN SELECCIÓN </v>
      </c>
      <c r="E14" s="7" t="str">
        <f>'Ingreso codigo'!$F$5</f>
        <v xml:space="preserve">CYAN SELECCIÓN </v>
      </c>
      <c r="F14" s="7" t="str">
        <f>'Ingreso codigo'!$F$5</f>
        <v xml:space="preserve">CYAN SELECCIÓN </v>
      </c>
    </row>
    <row r="15" spans="1:6" ht="19.5">
      <c r="A15" s="4" t="str">
        <f>'Ingreso codigo'!$E$5</f>
        <v>*3012905201920*</v>
      </c>
      <c r="B15" s="4"/>
      <c r="C15" s="4" t="str">
        <f>'Ingreso codigo'!$E$5</f>
        <v>*3012905201920*</v>
      </c>
      <c r="D15" s="4" t="str">
        <f>'Ingreso codigo'!$E$5</f>
        <v>*3012905201920*</v>
      </c>
      <c r="E15" s="4" t="str">
        <f>'Ingreso codigo'!$E$5</f>
        <v>*3012905201920*</v>
      </c>
      <c r="F15" s="4" t="str">
        <f>'Ingreso codigo'!$E$5</f>
        <v>*3012905201920*</v>
      </c>
    </row>
    <row r="16" spans="1:6">
      <c r="A16" s="5" t="str">
        <f>'Ingreso codigo'!$E$5</f>
        <v>*3012905201920*</v>
      </c>
      <c r="B16" s="5"/>
      <c r="C16" s="5" t="str">
        <f>'Ingreso codigo'!$E$5</f>
        <v>*3012905201920*</v>
      </c>
      <c r="D16" s="5" t="str">
        <f>'Ingreso codigo'!$E$5</f>
        <v>*3012905201920*</v>
      </c>
      <c r="E16" s="5" t="str">
        <f>'Ingreso codigo'!$E$5</f>
        <v>*3012905201920*</v>
      </c>
      <c r="F16" s="5" t="str">
        <f>'Ingreso codigo'!$E$5</f>
        <v>*3012905201920*</v>
      </c>
    </row>
    <row r="17" spans="1:6">
      <c r="A17" s="8" t="str">
        <f>'Ingreso codigo'!$H$4&amp;" "&amp;'Ingreso codigo'!$G$5</f>
        <v>Kilos 0</v>
      </c>
      <c r="B17" s="8"/>
      <c r="C17" s="8" t="str">
        <f>'Ingreso codigo'!$H$4&amp;" "&amp;'Ingreso codigo'!$G$5</f>
        <v>Kilos 0</v>
      </c>
      <c r="D17" s="8" t="str">
        <f>'Ingreso codigo'!$H$4&amp;" "&amp;'Ingreso codigo'!$G$5</f>
        <v>Kilos 0</v>
      </c>
      <c r="E17" s="8" t="str">
        <f>'Ingreso codigo'!$H$4&amp;" "&amp;'Ingreso codigo'!$G$5</f>
        <v>Kilos 0</v>
      </c>
      <c r="F17" s="8" t="str">
        <f>'Ingreso codigo'!$H$4&amp;" "&amp;'Ingreso codigo'!$G$5</f>
        <v>Kilos 0</v>
      </c>
    </row>
    <row r="18" spans="1:6">
      <c r="A18" s="7" t="str">
        <f>'Ingreso codigo'!$F$5</f>
        <v xml:space="preserve">CYAN SELECCIÓN </v>
      </c>
      <c r="B18" s="7"/>
      <c r="C18" s="7" t="str">
        <f>'Ingreso codigo'!$F$5</f>
        <v xml:space="preserve">CYAN SELECCIÓN </v>
      </c>
      <c r="D18" s="7" t="str">
        <f>'Ingreso codigo'!$F$5</f>
        <v xml:space="preserve">CYAN SELECCIÓN </v>
      </c>
      <c r="E18" s="7" t="str">
        <f>'Ingreso codigo'!$F$5</f>
        <v xml:space="preserve">CYAN SELECCIÓN </v>
      </c>
      <c r="F18" s="7" t="str">
        <f>'Ingreso codigo'!$F$5</f>
        <v xml:space="preserve">CYAN SELECCIÓN </v>
      </c>
    </row>
    <row r="19" spans="1:6" ht="19.5">
      <c r="A19" s="4" t="str">
        <f>'Ingreso codigo'!$E$5</f>
        <v>*3012905201920*</v>
      </c>
      <c r="B19" s="4"/>
      <c r="C19" s="4" t="str">
        <f>'Ingreso codigo'!$E$5</f>
        <v>*3012905201920*</v>
      </c>
      <c r="D19" s="4" t="str">
        <f>'Ingreso codigo'!$E$5</f>
        <v>*3012905201920*</v>
      </c>
      <c r="E19" s="4" t="str">
        <f>'Ingreso codigo'!$E$5</f>
        <v>*3012905201920*</v>
      </c>
      <c r="F19" s="4" t="str">
        <f>'Ingreso codigo'!$E$5</f>
        <v>*3012905201920*</v>
      </c>
    </row>
    <row r="20" spans="1:6">
      <c r="A20" s="5" t="str">
        <f>'Ingreso codigo'!$E$5</f>
        <v>*3012905201920*</v>
      </c>
      <c r="B20" s="5"/>
      <c r="C20" s="5" t="str">
        <f>'Ingreso codigo'!$E$5</f>
        <v>*3012905201920*</v>
      </c>
      <c r="D20" s="5" t="str">
        <f>'Ingreso codigo'!$E$5</f>
        <v>*3012905201920*</v>
      </c>
      <c r="E20" s="5" t="str">
        <f>'Ingreso codigo'!$E$5</f>
        <v>*3012905201920*</v>
      </c>
      <c r="F20" s="5" t="str">
        <f>'Ingreso codigo'!$E$5</f>
        <v>*3012905201920*</v>
      </c>
    </row>
    <row r="21" spans="1:6">
      <c r="A21" s="8" t="str">
        <f>'Ingreso codigo'!$H$4&amp;" "&amp;'Ingreso codigo'!$G$5</f>
        <v>Kilos 0</v>
      </c>
      <c r="B21" s="8"/>
      <c r="C21" s="8" t="str">
        <f>'Ingreso codigo'!$H$4&amp;" "&amp;'Ingreso codigo'!$G$5</f>
        <v>Kilos 0</v>
      </c>
      <c r="D21" s="8" t="str">
        <f>'Ingreso codigo'!$H$4&amp;" "&amp;'Ingreso codigo'!$G$5</f>
        <v>Kilos 0</v>
      </c>
      <c r="E21" s="8" t="str">
        <f>'Ingreso codigo'!$H$4&amp;" "&amp;'Ingreso codigo'!$G$5</f>
        <v>Kilos 0</v>
      </c>
      <c r="F21" s="8" t="str">
        <f>'Ingreso codigo'!$H$4&amp;" "&amp;'Ingreso codigo'!$G$5</f>
        <v>Kilos 0</v>
      </c>
    </row>
    <row r="22" spans="1:6">
      <c r="A22" s="7" t="str">
        <f>'Ingreso codigo'!$F$5</f>
        <v xml:space="preserve">CYAN SELECCIÓN </v>
      </c>
      <c r="B22" s="7"/>
      <c r="C22" s="7" t="str">
        <f>'Ingreso codigo'!$F$5</f>
        <v xml:space="preserve">CYAN SELECCIÓN </v>
      </c>
      <c r="D22" s="7" t="str">
        <f>'Ingreso codigo'!$F$5</f>
        <v xml:space="preserve">CYAN SELECCIÓN </v>
      </c>
      <c r="E22" s="7" t="str">
        <f>'Ingreso codigo'!$F$5</f>
        <v xml:space="preserve">CYAN SELECCIÓN </v>
      </c>
      <c r="F22" s="7" t="str">
        <f>'Ingreso codigo'!$F$5</f>
        <v xml:space="preserve">CYAN SELECCIÓN </v>
      </c>
    </row>
    <row r="23" spans="1:6" ht="19.5">
      <c r="A23" s="4" t="str">
        <f>'Ingreso codigo'!$E$5</f>
        <v>*3012905201920*</v>
      </c>
      <c r="B23" s="4"/>
      <c r="C23" s="4" t="str">
        <f>'Ingreso codigo'!$E$5</f>
        <v>*3012905201920*</v>
      </c>
      <c r="D23" s="4" t="str">
        <f>'Ingreso codigo'!$E$5</f>
        <v>*3012905201920*</v>
      </c>
      <c r="E23" s="4" t="str">
        <f>'Ingreso codigo'!$E$5</f>
        <v>*3012905201920*</v>
      </c>
      <c r="F23" s="4" t="str">
        <f>'Ingreso codigo'!$E$5</f>
        <v>*3012905201920*</v>
      </c>
    </row>
    <row r="24" spans="1:6">
      <c r="A24" s="5" t="str">
        <f>'Ingreso codigo'!$E$5</f>
        <v>*3012905201920*</v>
      </c>
      <c r="B24" s="5"/>
      <c r="C24" s="5" t="str">
        <f>'Ingreso codigo'!$E$5</f>
        <v>*3012905201920*</v>
      </c>
      <c r="D24" s="5" t="str">
        <f>'Ingreso codigo'!$E$5</f>
        <v>*3012905201920*</v>
      </c>
      <c r="E24" s="5" t="str">
        <f>'Ingreso codigo'!$E$5</f>
        <v>*3012905201920*</v>
      </c>
      <c r="F24" s="5" t="str">
        <f>'Ingreso codigo'!$E$5</f>
        <v>*3012905201920*</v>
      </c>
    </row>
    <row r="25" spans="1:6">
      <c r="A25" s="8" t="str">
        <f>'Ingreso codigo'!$H$4&amp;" "&amp;'Ingreso codigo'!$G$5</f>
        <v>Kilos 0</v>
      </c>
      <c r="B25" s="8"/>
      <c r="C25" s="8" t="str">
        <f>'Ingreso codigo'!$H$4&amp;" "&amp;'Ingreso codigo'!$G$5</f>
        <v>Kilos 0</v>
      </c>
      <c r="D25" s="8" t="str">
        <f>'Ingreso codigo'!$H$4&amp;" "&amp;'Ingreso codigo'!$G$5</f>
        <v>Kilos 0</v>
      </c>
      <c r="E25" s="8" t="str">
        <f>'Ingreso codigo'!$H$4&amp;" "&amp;'Ingreso codigo'!$G$5</f>
        <v>Kilos 0</v>
      </c>
      <c r="F25" s="8" t="str">
        <f>'Ingreso codigo'!$H$4&amp;" "&amp;'Ingreso codigo'!$G$5</f>
        <v>Kilos 0</v>
      </c>
    </row>
    <row r="26" spans="1:6">
      <c r="A26" s="7" t="str">
        <f>'Ingreso codigo'!$F$5</f>
        <v xml:space="preserve">CYAN SELECCIÓN </v>
      </c>
      <c r="B26" s="7"/>
      <c r="C26" s="7" t="str">
        <f>'Ingreso codigo'!$F$5</f>
        <v xml:space="preserve">CYAN SELECCIÓN </v>
      </c>
      <c r="D26" s="7" t="str">
        <f>'Ingreso codigo'!$F$5</f>
        <v xml:space="preserve">CYAN SELECCIÓN </v>
      </c>
      <c r="E26" s="7" t="str">
        <f>'Ingreso codigo'!$F$5</f>
        <v xml:space="preserve">CYAN SELECCIÓN </v>
      </c>
      <c r="F26" s="7" t="str">
        <f>'Ingreso codigo'!$F$5</f>
        <v xml:space="preserve">CYAN SELECCIÓN </v>
      </c>
    </row>
    <row r="27" spans="1:6" ht="19.5">
      <c r="A27" s="4" t="str">
        <f>'Ingreso codigo'!$E$5</f>
        <v>*3012905201920*</v>
      </c>
      <c r="B27" s="4"/>
      <c r="C27" s="4" t="str">
        <f>'Ingreso codigo'!$E$5</f>
        <v>*3012905201920*</v>
      </c>
      <c r="D27" s="4" t="str">
        <f>'Ingreso codigo'!$E$5</f>
        <v>*3012905201920*</v>
      </c>
      <c r="E27" s="4" t="str">
        <f>'Ingreso codigo'!$E$5</f>
        <v>*3012905201920*</v>
      </c>
      <c r="F27" s="4" t="str">
        <f>'Ingreso codigo'!$E$5</f>
        <v>*3012905201920*</v>
      </c>
    </row>
    <row r="28" spans="1:6">
      <c r="A28" s="5" t="str">
        <f>'Ingreso codigo'!$E$5</f>
        <v>*3012905201920*</v>
      </c>
      <c r="B28" s="5"/>
      <c r="C28" s="5" t="str">
        <f>'Ingreso codigo'!$E$5</f>
        <v>*3012905201920*</v>
      </c>
      <c r="D28" s="5" t="str">
        <f>'Ingreso codigo'!$E$5</f>
        <v>*3012905201920*</v>
      </c>
      <c r="E28" s="5" t="str">
        <f>'Ingreso codigo'!$E$5</f>
        <v>*3012905201920*</v>
      </c>
      <c r="F28" s="5" t="str">
        <f>'Ingreso codigo'!$E$5</f>
        <v>*3012905201920*</v>
      </c>
    </row>
    <row r="29" spans="1:6">
      <c r="A29" s="8" t="str">
        <f>'Ingreso codigo'!$H$4&amp;" "&amp;'Ingreso codigo'!$G$5</f>
        <v>Kilos 0</v>
      </c>
      <c r="B29" s="8"/>
      <c r="C29" s="8" t="str">
        <f>'Ingreso codigo'!$H$4&amp;" "&amp;'Ingreso codigo'!$G$5</f>
        <v>Kilos 0</v>
      </c>
      <c r="D29" s="8" t="str">
        <f>'Ingreso codigo'!$H$4&amp;" "&amp;'Ingreso codigo'!$G$5</f>
        <v>Kilos 0</v>
      </c>
      <c r="E29" s="8" t="str">
        <f>'Ingreso codigo'!$H$4&amp;" "&amp;'Ingreso codigo'!$G$5</f>
        <v>Kilos 0</v>
      </c>
      <c r="F29" s="8" t="str">
        <f>'Ingreso codigo'!$H$4&amp;" "&amp;'Ingreso codigo'!$G$5</f>
        <v>Kilos 0</v>
      </c>
    </row>
    <row r="30" spans="1:6">
      <c r="A30" s="7" t="str">
        <f>'Ingreso codigo'!$F$5</f>
        <v xml:space="preserve">CYAN SELECCIÓN </v>
      </c>
      <c r="B30" s="7"/>
      <c r="C30" s="7" t="str">
        <f>'Ingreso codigo'!$F$5</f>
        <v xml:space="preserve">CYAN SELECCIÓN </v>
      </c>
      <c r="D30" s="7" t="str">
        <f>'Ingreso codigo'!$F$5</f>
        <v xml:space="preserve">CYAN SELECCIÓN </v>
      </c>
      <c r="E30" s="7" t="str">
        <f>'Ingreso codigo'!$F$5</f>
        <v xml:space="preserve">CYAN SELECCIÓN </v>
      </c>
      <c r="F30" s="7" t="str">
        <f>'Ingreso codigo'!$F$5</f>
        <v xml:space="preserve">CYAN SELECCIÓN </v>
      </c>
    </row>
    <row r="31" spans="1:6" ht="19.5">
      <c r="A31" s="4" t="str">
        <f>'Ingreso codigo'!$E$5</f>
        <v>*3012905201920*</v>
      </c>
      <c r="B31" s="4"/>
      <c r="C31" s="4" t="str">
        <f>'Ingreso codigo'!$E$5</f>
        <v>*3012905201920*</v>
      </c>
      <c r="D31" s="4" t="str">
        <f>'Ingreso codigo'!$E$5</f>
        <v>*3012905201920*</v>
      </c>
      <c r="E31" s="4" t="str">
        <f>'Ingreso codigo'!$E$5</f>
        <v>*3012905201920*</v>
      </c>
      <c r="F31" s="4" t="str">
        <f>'Ingreso codigo'!$E$5</f>
        <v>*3012905201920*</v>
      </c>
    </row>
    <row r="32" spans="1:6">
      <c r="A32" s="5" t="str">
        <f>'Ingreso codigo'!$E$5</f>
        <v>*3012905201920*</v>
      </c>
      <c r="B32" s="5"/>
      <c r="C32" s="5" t="str">
        <f>'Ingreso codigo'!$E$5</f>
        <v>*3012905201920*</v>
      </c>
      <c r="D32" s="5" t="str">
        <f>'Ingreso codigo'!$E$5</f>
        <v>*3012905201920*</v>
      </c>
      <c r="E32" s="5" t="str">
        <f>'Ingreso codigo'!$E$5</f>
        <v>*3012905201920*</v>
      </c>
      <c r="F32" s="5" t="str">
        <f>'Ingreso codigo'!$E$5</f>
        <v>*3012905201920*</v>
      </c>
    </row>
    <row r="33" spans="1:6">
      <c r="A33" s="8" t="str">
        <f>'Ingreso codigo'!$H$4&amp;" "&amp;'Ingreso codigo'!$G$5</f>
        <v>Kilos 0</v>
      </c>
      <c r="B33" s="8"/>
      <c r="C33" s="8" t="str">
        <f>'Ingreso codigo'!$H$4&amp;" "&amp;'Ingreso codigo'!$G$5</f>
        <v>Kilos 0</v>
      </c>
      <c r="D33" s="8" t="str">
        <f>'Ingreso codigo'!$H$4&amp;" "&amp;'Ingreso codigo'!$G$5</f>
        <v>Kilos 0</v>
      </c>
      <c r="E33" s="8" t="str">
        <f>'Ingreso codigo'!$H$4&amp;" "&amp;'Ingreso codigo'!$G$5</f>
        <v>Kilos 0</v>
      </c>
      <c r="F33" s="8" t="str">
        <f>'Ingreso codigo'!$H$4&amp;" "&amp;'Ingreso codigo'!$G$5</f>
        <v>Kilos 0</v>
      </c>
    </row>
    <row r="34" spans="1:6">
      <c r="A34" s="7" t="str">
        <f>'Ingreso codigo'!$F$5</f>
        <v xml:space="preserve">CYAN SELECCIÓN </v>
      </c>
      <c r="B34" s="7"/>
      <c r="C34" s="7" t="str">
        <f>'Ingreso codigo'!$F$5</f>
        <v xml:space="preserve">CYAN SELECCIÓN </v>
      </c>
      <c r="D34" s="7" t="str">
        <f>'Ingreso codigo'!$F$5</f>
        <v xml:space="preserve">CYAN SELECCIÓN </v>
      </c>
      <c r="E34" s="7" t="str">
        <f>'Ingreso codigo'!$F$5</f>
        <v xml:space="preserve">CYAN SELECCIÓN </v>
      </c>
      <c r="F34" s="7" t="str">
        <f>'Ingreso codigo'!$F$5</f>
        <v xml:space="preserve">CYAN SELECCIÓN </v>
      </c>
    </row>
    <row r="35" spans="1:6" ht="19.5">
      <c r="A35" s="4" t="str">
        <f>'Ingreso codigo'!$E$5</f>
        <v>*3012905201920*</v>
      </c>
      <c r="B35" s="4"/>
      <c r="C35" s="4" t="str">
        <f>'Ingreso codigo'!$E$5</f>
        <v>*3012905201920*</v>
      </c>
      <c r="D35" s="4" t="str">
        <f>'Ingreso codigo'!$E$5</f>
        <v>*3012905201920*</v>
      </c>
      <c r="E35" s="4" t="str">
        <f>'Ingreso codigo'!$E$5</f>
        <v>*3012905201920*</v>
      </c>
      <c r="F35" s="4" t="str">
        <f>'Ingreso codigo'!$E$5</f>
        <v>*3012905201920*</v>
      </c>
    </row>
    <row r="36" spans="1:6">
      <c r="A36" s="5" t="str">
        <f>'Ingreso codigo'!$E$5</f>
        <v>*3012905201920*</v>
      </c>
      <c r="B36" s="5"/>
      <c r="C36" s="5" t="str">
        <f>'Ingreso codigo'!$E$5</f>
        <v>*3012905201920*</v>
      </c>
      <c r="D36" s="5" t="str">
        <f>'Ingreso codigo'!$E$5</f>
        <v>*3012905201920*</v>
      </c>
      <c r="E36" s="5" t="str">
        <f>'Ingreso codigo'!$E$5</f>
        <v>*3012905201920*</v>
      </c>
      <c r="F36" s="5" t="str">
        <f>'Ingreso codigo'!$E$5</f>
        <v>*3012905201920*</v>
      </c>
    </row>
    <row r="37" spans="1:6">
      <c r="A37" s="8" t="str">
        <f>'Ingreso codigo'!$H$4&amp;" "&amp;'Ingreso codigo'!$G$5</f>
        <v>Kilos 0</v>
      </c>
      <c r="B37" s="8"/>
      <c r="C37" s="8" t="str">
        <f>'Ingreso codigo'!$H$4&amp;" "&amp;'Ingreso codigo'!$G$5</f>
        <v>Kilos 0</v>
      </c>
      <c r="D37" s="8" t="str">
        <f>'Ingreso codigo'!$H$4&amp;" "&amp;'Ingreso codigo'!$G$5</f>
        <v>Kilos 0</v>
      </c>
      <c r="E37" s="8" t="str">
        <f>'Ingreso codigo'!$H$4&amp;" "&amp;'Ingreso codigo'!$G$5</f>
        <v>Kilos 0</v>
      </c>
      <c r="F37" s="8" t="str">
        <f>'Ingreso codigo'!$H$4&amp;" "&amp;'Ingreso codigo'!$G$5</f>
        <v>Kilos 0</v>
      </c>
    </row>
    <row r="38" spans="1:6">
      <c r="A38" s="7" t="str">
        <f>'Ingreso codigo'!$F$5</f>
        <v xml:space="preserve">CYAN SELECCIÓN </v>
      </c>
      <c r="B38" s="7"/>
      <c r="C38" s="7" t="str">
        <f>'Ingreso codigo'!$F$5</f>
        <v xml:space="preserve">CYAN SELECCIÓN </v>
      </c>
      <c r="D38" s="7" t="str">
        <f>'Ingreso codigo'!$F$5</f>
        <v xml:space="preserve">CYAN SELECCIÓN </v>
      </c>
      <c r="E38" s="7" t="str">
        <f>'Ingreso codigo'!$F$5</f>
        <v xml:space="preserve">CYAN SELECCIÓN </v>
      </c>
      <c r="F38" s="7" t="str">
        <f>'Ingreso codigo'!$F$5</f>
        <v xml:space="preserve">CYAN SELECCIÓN </v>
      </c>
    </row>
    <row r="39" spans="1:6" ht="19.5">
      <c r="A39" s="4" t="str">
        <f>'Ingreso codigo'!$E$5</f>
        <v>*3012905201920*</v>
      </c>
      <c r="B39" s="4"/>
      <c r="C39" s="4" t="str">
        <f>'Ingreso codigo'!$E$5</f>
        <v>*3012905201920*</v>
      </c>
      <c r="D39" s="4" t="str">
        <f>'Ingreso codigo'!$E$5</f>
        <v>*3012905201920*</v>
      </c>
      <c r="E39" s="4" t="str">
        <f>'Ingreso codigo'!$E$5</f>
        <v>*3012905201920*</v>
      </c>
      <c r="F39" s="4" t="str">
        <f>'Ingreso codigo'!$E$5</f>
        <v>*3012905201920*</v>
      </c>
    </row>
    <row r="40" spans="1:6">
      <c r="A40" s="5" t="str">
        <f>'Ingreso codigo'!$E$5</f>
        <v>*3012905201920*</v>
      </c>
      <c r="B40" s="5"/>
      <c r="C40" s="5" t="str">
        <f>'Ingreso codigo'!$E$5</f>
        <v>*3012905201920*</v>
      </c>
      <c r="D40" s="5" t="str">
        <f>'Ingreso codigo'!$E$5</f>
        <v>*3012905201920*</v>
      </c>
      <c r="E40" s="5" t="str">
        <f>'Ingreso codigo'!$E$5</f>
        <v>*3012905201920*</v>
      </c>
      <c r="F40" s="5" t="str">
        <f>'Ingreso codigo'!$E$5</f>
        <v>*3012905201920*</v>
      </c>
    </row>
    <row r="41" spans="1:6">
      <c r="A41" s="8" t="str">
        <f>'Ingreso codigo'!$H$4&amp;" "&amp;'Ingreso codigo'!$G$5</f>
        <v>Kilos 0</v>
      </c>
      <c r="B41" s="8"/>
      <c r="C41" s="8" t="str">
        <f>'Ingreso codigo'!$H$4&amp;" "&amp;'Ingreso codigo'!$G$5</f>
        <v>Kilos 0</v>
      </c>
      <c r="D41" s="8" t="str">
        <f>'Ingreso codigo'!$H$4&amp;" "&amp;'Ingreso codigo'!$G$5</f>
        <v>Kilos 0</v>
      </c>
      <c r="E41" s="8" t="str">
        <f>'Ingreso codigo'!$H$4&amp;" "&amp;'Ingreso codigo'!$G$5</f>
        <v>Kilos 0</v>
      </c>
      <c r="F41" s="8" t="str">
        <f>'Ingreso codigo'!$H$4&amp;" "&amp;'Ingreso codigo'!$G$5</f>
        <v>Kilos 0</v>
      </c>
    </row>
    <row r="42" spans="1:6">
      <c r="A42" s="7" t="str">
        <f>'Ingreso codigo'!$F$5</f>
        <v xml:space="preserve">CYAN SELECCIÓN </v>
      </c>
      <c r="B42" s="7"/>
      <c r="C42" s="7" t="str">
        <f>'Ingreso codigo'!$F$5</f>
        <v xml:space="preserve">CYAN SELECCIÓN </v>
      </c>
      <c r="D42" s="7" t="str">
        <f>'Ingreso codigo'!$F$5</f>
        <v xml:space="preserve">CYAN SELECCIÓN </v>
      </c>
      <c r="E42" s="7" t="str">
        <f>'Ingreso codigo'!$F$5</f>
        <v xml:space="preserve">CYAN SELECCIÓN </v>
      </c>
      <c r="F42" s="7" t="str">
        <f>'Ingreso codigo'!$F$5</f>
        <v xml:space="preserve">CYAN SELECCIÓN </v>
      </c>
    </row>
    <row r="43" spans="1:6" ht="19.5">
      <c r="A43" s="4" t="str">
        <f>'Ingreso codigo'!$E$5</f>
        <v>*3012905201920*</v>
      </c>
      <c r="B43" s="4"/>
      <c r="C43" s="4" t="str">
        <f>'Ingreso codigo'!$E$5</f>
        <v>*3012905201920*</v>
      </c>
      <c r="D43" s="4" t="str">
        <f>'Ingreso codigo'!$E$5</f>
        <v>*3012905201920*</v>
      </c>
      <c r="E43" s="4" t="str">
        <f>'Ingreso codigo'!$E$5</f>
        <v>*3012905201920*</v>
      </c>
      <c r="F43" s="4" t="str">
        <f>'Ingreso codigo'!$E$5</f>
        <v>*3012905201920*</v>
      </c>
    </row>
    <row r="44" spans="1:6">
      <c r="A44" s="5" t="str">
        <f>'Ingreso codigo'!$E$5</f>
        <v>*3012905201920*</v>
      </c>
      <c r="B44" s="5"/>
      <c r="C44" s="5" t="str">
        <f>'Ingreso codigo'!$E$5</f>
        <v>*3012905201920*</v>
      </c>
      <c r="D44" s="5" t="str">
        <f>'Ingreso codigo'!$E$5</f>
        <v>*3012905201920*</v>
      </c>
      <c r="E44" s="5" t="str">
        <f>'Ingreso codigo'!$E$5</f>
        <v>*3012905201920*</v>
      </c>
      <c r="F44" s="5" t="str">
        <f>'Ingreso codigo'!$E$5</f>
        <v>*3012905201920*</v>
      </c>
    </row>
    <row r="45" spans="1:6">
      <c r="A45" s="8" t="str">
        <f>'Ingreso codigo'!$H$4&amp;" "&amp;'Ingreso codigo'!$G$5</f>
        <v>Kilos 0</v>
      </c>
      <c r="B45" s="8"/>
      <c r="C45" s="8" t="str">
        <f>'Ingreso codigo'!$H$4&amp;" "&amp;'Ingreso codigo'!$G$5</f>
        <v>Kilos 0</v>
      </c>
      <c r="D45" s="8" t="str">
        <f>'Ingreso codigo'!$H$4&amp;" "&amp;'Ingreso codigo'!$G$5</f>
        <v>Kilos 0</v>
      </c>
      <c r="E45" s="8" t="str">
        <f>'Ingreso codigo'!$H$4&amp;" "&amp;'Ingreso codigo'!$G$5</f>
        <v>Kilos 0</v>
      </c>
      <c r="F45" s="8" t="str">
        <f>'Ingreso codigo'!$H$4&amp;" "&amp;'Ingreso codigo'!$G$5</f>
        <v>Kilos 0</v>
      </c>
    </row>
  </sheetData>
  <mergeCells count="3">
    <mergeCell ref="A2:B2"/>
    <mergeCell ref="A1:B1"/>
    <mergeCell ref="A3:B3"/>
  </mergeCells>
  <pageMargins left="0.23622047244094491" right="0.23622047244094491" top="0.35433070866141736" bottom="0.35433070866141736" header="0.31496062992125984" footer="0.31496062992125984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opLeftCell="A49" zoomScale="157" zoomScaleNormal="157" zoomScalePageLayoutView="264" workbookViewId="0">
      <selection activeCell="F13" sqref="F13"/>
    </sheetView>
  </sheetViews>
  <sheetFormatPr baseColWidth="10" defaultRowHeight="15"/>
  <cols>
    <col min="3" max="3" width="3.28515625" customWidth="1"/>
  </cols>
  <sheetData>
    <row r="1" spans="1:5" ht="15" customHeight="1">
      <c r="A1" s="86" t="str">
        <f>'Ingreso codigo'!$F$5</f>
        <v xml:space="preserve">CYAN SELECCIÓN </v>
      </c>
      <c r="B1" s="87"/>
      <c r="D1" s="86" t="str">
        <f>'Ingreso codigo'!$F$15</f>
        <v xml:space="preserve">CYAN SELECCIÓN </v>
      </c>
      <c r="E1" s="87"/>
    </row>
    <row r="2" spans="1:5" ht="15.95" customHeight="1">
      <c r="A2" s="88" t="str">
        <f>'Ingreso codigo'!$E$5</f>
        <v>*3012905201920*</v>
      </c>
      <c r="B2" s="89"/>
      <c r="D2" s="84" t="str">
        <f>'Ingreso codigo'!$E$15</f>
        <v>*3012905201930*</v>
      </c>
      <c r="E2" s="85"/>
    </row>
    <row r="3" spans="1:5" ht="9.9499999999999993" customHeight="1">
      <c r="A3" s="83" t="str">
        <f>'Ingreso codigo'!$E$5</f>
        <v>*3012905201920*</v>
      </c>
      <c r="B3" s="80"/>
      <c r="D3" s="83" t="str">
        <f>'Ingreso codigo'!$E$15</f>
        <v>*3012905201930*</v>
      </c>
      <c r="E3" s="80"/>
    </row>
    <row r="4" spans="1:5">
      <c r="A4" s="33" t="str">
        <f>'Ingreso codigo'!$G$4&amp;" "&amp;'Ingreso codigo'!$G$5</f>
        <v>Metros 0</v>
      </c>
      <c r="B4" s="33" t="str">
        <f>'Ingreso codigo'!$I$4&amp;" "&amp;'Ingreso codigo'!$I$5</f>
        <v>Caja 20</v>
      </c>
      <c r="D4" s="33" t="str">
        <f>'Ingreso codigo'!$G$4&amp;" "&amp;'Ingreso codigo'!$G$15</f>
        <v>Metros 0</v>
      </c>
      <c r="E4" s="33" t="str">
        <f>'Ingreso codigo'!$I$4&amp;" "&amp;'Ingreso codigo'!$I$15</f>
        <v>Caja 30</v>
      </c>
    </row>
    <row r="5" spans="1:5">
      <c r="A5" s="33" t="str">
        <f>'Ingreso codigo'!$H$4&amp;" "&amp;'Ingreso codigo'!$H$5</f>
        <v>Kilos 18.5</v>
      </c>
      <c r="B5" s="33" t="str">
        <f>'Ingreso codigo'!$J$4&amp;" "&amp;INT('Ingreso codigo'!$J$5)</f>
        <v>Piezas 0</v>
      </c>
      <c r="D5" s="33" t="str">
        <f>'Ingreso codigo'!$H$4&amp;" "&amp;'Ingreso codigo'!$H$15</f>
        <v>Kilos 18.5</v>
      </c>
      <c r="E5" s="33" t="str">
        <f>'Ingreso codigo'!$J$4&amp;" "&amp;INT('Ingreso codigo'!$J$15)</f>
        <v>Piezas 0</v>
      </c>
    </row>
    <row r="6" spans="1:5" ht="12.95" customHeight="1"/>
    <row r="7" spans="1:5" ht="15" customHeight="1">
      <c r="A7" s="81" t="str">
        <f>'Ingreso codigo'!$F$6</f>
        <v xml:space="preserve">CYAN SELECCIÓN </v>
      </c>
      <c r="B7" s="82"/>
      <c r="D7" s="81" t="str">
        <f>'Ingreso codigo'!$F$16</f>
        <v>-</v>
      </c>
      <c r="E7" s="82"/>
    </row>
    <row r="8" spans="1:5" ht="15.95" customHeight="1">
      <c r="A8" s="84" t="str">
        <f>'Ingreso codigo'!$E$6</f>
        <v>*3012905201921*</v>
      </c>
      <c r="B8" s="85"/>
      <c r="D8" s="84" t="str">
        <f>'Ingreso codigo'!$E$16</f>
        <v>-</v>
      </c>
      <c r="E8" s="85"/>
    </row>
    <row r="9" spans="1:5" ht="11.1" customHeight="1">
      <c r="A9" s="83" t="str">
        <f>'Ingreso codigo'!$E$6</f>
        <v>*3012905201921*</v>
      </c>
      <c r="B9" s="80"/>
      <c r="D9" s="83" t="str">
        <f>'Ingreso codigo'!$E$16</f>
        <v>-</v>
      </c>
      <c r="E9" s="80"/>
    </row>
    <row r="10" spans="1:5">
      <c r="A10" s="33" t="str">
        <f>'Ingreso codigo'!$G$4&amp;" "&amp;'Ingreso codigo'!$G$6</f>
        <v>Metros 0</v>
      </c>
      <c r="B10" s="33" t="str">
        <f>'Ingreso codigo'!$I$4&amp;" "&amp;'Ingreso codigo'!$I$6</f>
        <v>Caja 21</v>
      </c>
      <c r="D10" s="33" t="str">
        <f>'Ingreso codigo'!$G$4&amp;" "&amp;'Ingreso codigo'!$G$16</f>
        <v>Metros -</v>
      </c>
      <c r="E10" s="33" t="str">
        <f>'Ingreso codigo'!$I$4&amp;" "&amp;'Ingreso codigo'!$I$16</f>
        <v>Caja -</v>
      </c>
    </row>
    <row r="11" spans="1:5">
      <c r="A11" s="29" t="str">
        <f>'Ingreso codigo'!$H$4&amp;" "&amp;'Ingreso codigo'!$H$6</f>
        <v>Kilos 18.5</v>
      </c>
      <c r="B11" s="29" t="str">
        <f>'Ingreso codigo'!$J$4&amp;" "&amp;INT('Ingreso codigo'!$J$6)</f>
        <v>Piezas 0</v>
      </c>
      <c r="D11" s="29" t="str">
        <f>'Ingreso codigo'!$H$4&amp;" "&amp;'Ingreso codigo'!$H$16</f>
        <v>Kilos -</v>
      </c>
      <c r="E11" s="29" t="e">
        <f>'Ingreso codigo'!$J$4&amp;" "&amp;INT('Ingreso codigo'!$J$16)</f>
        <v>#VALUE!</v>
      </c>
    </row>
    <row r="12" spans="1:5" ht="18" customHeight="1"/>
    <row r="13" spans="1:5">
      <c r="A13" s="86" t="str">
        <f>'Ingreso codigo'!$F$7</f>
        <v xml:space="preserve">CYAN SELECCIÓN </v>
      </c>
      <c r="B13" s="87"/>
      <c r="D13" s="86" t="str">
        <f>'Ingreso codigo'!$F$17</f>
        <v>-</v>
      </c>
      <c r="E13" s="87"/>
    </row>
    <row r="14" spans="1:5" ht="15" customHeight="1">
      <c r="A14" s="84" t="str">
        <f>'Ingreso codigo'!$E$7</f>
        <v>*3012905201922*</v>
      </c>
      <c r="B14" s="85"/>
      <c r="D14" s="84" t="str">
        <f>'Ingreso codigo'!$E$17</f>
        <v>-</v>
      </c>
      <c r="E14" s="85"/>
    </row>
    <row r="15" spans="1:5" ht="11.1" customHeight="1">
      <c r="A15" s="83" t="str">
        <f>'Ingreso codigo'!$E$7</f>
        <v>*3012905201922*</v>
      </c>
      <c r="B15" s="80"/>
      <c r="D15" s="83" t="str">
        <f>'Ingreso codigo'!$E$17</f>
        <v>-</v>
      </c>
      <c r="E15" s="80"/>
    </row>
    <row r="16" spans="1:5">
      <c r="A16" s="33" t="str">
        <f>'Ingreso codigo'!$G$4&amp;" "&amp;'Ingreso codigo'!$G$7</f>
        <v>Metros 0</v>
      </c>
      <c r="B16" s="33" t="str">
        <f>'Ingreso codigo'!$I$4&amp;" "&amp;'Ingreso codigo'!$I$7</f>
        <v>Caja 22</v>
      </c>
      <c r="D16" s="33" t="str">
        <f>'Ingreso codigo'!$G$4&amp;" "&amp;'Ingreso codigo'!$G$17</f>
        <v>Metros -</v>
      </c>
      <c r="E16" s="33" t="str">
        <f>'Ingreso codigo'!$I$4&amp;" "&amp;'Ingreso codigo'!$I$17</f>
        <v>Caja -</v>
      </c>
    </row>
    <row r="17" spans="1:5">
      <c r="A17" s="33" t="str">
        <f>'Ingreso codigo'!$H$4&amp;" "&amp;'Ingreso codigo'!$H$7</f>
        <v>Kilos 18.5</v>
      </c>
      <c r="B17" s="33" t="str">
        <f>'Ingreso codigo'!$J$4&amp;" "&amp;INT('Ingreso codigo'!$J$7)</f>
        <v>Piezas 0</v>
      </c>
      <c r="D17" s="33" t="str">
        <f>'Ingreso codigo'!$H$4&amp;" "&amp;'Ingreso codigo'!$H$17</f>
        <v>Kilos -</v>
      </c>
      <c r="E17" s="33" t="e">
        <f>'Ingreso codigo'!$J$4&amp;" "&amp;INT('Ingreso codigo'!$J$17)</f>
        <v>#VALUE!</v>
      </c>
    </row>
    <row r="18" spans="1:5" ht="12.95" customHeight="1"/>
    <row r="19" spans="1:5">
      <c r="A19" s="81" t="str">
        <f>'Ingreso codigo'!$F$8</f>
        <v xml:space="preserve">CYAN SELECCIÓN </v>
      </c>
      <c r="B19" s="82"/>
      <c r="D19" s="81" t="str">
        <f>'Ingreso codigo'!$F$18</f>
        <v>-</v>
      </c>
      <c r="E19" s="82"/>
    </row>
    <row r="20" spans="1:5" ht="12.95" customHeight="1">
      <c r="A20" s="84" t="str">
        <f>'Ingreso codigo'!$E$8</f>
        <v>*3012905201923*</v>
      </c>
      <c r="B20" s="85"/>
      <c r="D20" s="84" t="str">
        <f>'Ingreso codigo'!$E$18</f>
        <v>-</v>
      </c>
      <c r="E20" s="85"/>
    </row>
    <row r="21" spans="1:5" ht="11.1" customHeight="1">
      <c r="A21" s="83" t="str">
        <f>'Ingreso codigo'!$E$8</f>
        <v>*3012905201923*</v>
      </c>
      <c r="B21" s="80"/>
      <c r="D21" s="83" t="str">
        <f>'Ingreso codigo'!$E$18</f>
        <v>-</v>
      </c>
      <c r="E21" s="80"/>
    </row>
    <row r="22" spans="1:5">
      <c r="A22" s="33" t="str">
        <f>'Ingreso codigo'!$G$4&amp;" "&amp;'Ingreso codigo'!$G$8</f>
        <v>Metros 0</v>
      </c>
      <c r="B22" s="33" t="str">
        <f>'Ingreso codigo'!$I$4&amp;" "&amp;'Ingreso codigo'!$I$8</f>
        <v>Caja 23</v>
      </c>
      <c r="D22" s="33" t="str">
        <f>'Ingreso codigo'!$G$4&amp;" "&amp;'Ingreso codigo'!$G$18</f>
        <v>Metros -</v>
      </c>
      <c r="E22" s="33" t="str">
        <f>'Ingreso codigo'!$I$4&amp;" "&amp;'Ingreso codigo'!$I$18</f>
        <v>Caja -</v>
      </c>
    </row>
    <row r="23" spans="1:5">
      <c r="A23" s="29" t="str">
        <f>'Ingreso codigo'!$H$4&amp;" "&amp;'Ingreso codigo'!$H$8</f>
        <v>Kilos 18.5</v>
      </c>
      <c r="B23" s="29" t="str">
        <f>'Ingreso codigo'!$J$4&amp;" "&amp;INT('Ingreso codigo'!$J$8)</f>
        <v>Piezas 0</v>
      </c>
      <c r="D23" s="29" t="str">
        <f>'Ingreso codigo'!$H$4&amp;" "&amp;'Ingreso codigo'!$H$18</f>
        <v>Kilos -</v>
      </c>
      <c r="E23" s="29" t="e">
        <f>'Ingreso codigo'!$J$4&amp;" "&amp;INT('Ingreso codigo'!$J$18)</f>
        <v>#VALUE!</v>
      </c>
    </row>
    <row r="24" spans="1:5" ht="17.100000000000001" customHeight="1"/>
    <row r="25" spans="1:5">
      <c r="A25" s="86" t="str">
        <f>'Ingreso codigo'!$F$9</f>
        <v xml:space="preserve">CYAN SELECCIÓN </v>
      </c>
      <c r="B25" s="87"/>
      <c r="D25" s="86" t="str">
        <f>'Ingreso codigo'!$F$19</f>
        <v>-</v>
      </c>
      <c r="E25" s="87"/>
    </row>
    <row r="26" spans="1:5" ht="15" customHeight="1">
      <c r="A26" s="84" t="str">
        <f>'Ingreso codigo'!$E$9</f>
        <v>*3012905201924*</v>
      </c>
      <c r="B26" s="85"/>
      <c r="D26" s="84" t="str">
        <f>'Ingreso codigo'!$E$19</f>
        <v>-</v>
      </c>
      <c r="E26" s="85"/>
    </row>
    <row r="27" spans="1:5" ht="11.1" customHeight="1">
      <c r="A27" s="83" t="str">
        <f>'Ingreso codigo'!$E$9</f>
        <v>*3012905201924*</v>
      </c>
      <c r="B27" s="80"/>
      <c r="D27" s="83" t="str">
        <f>'Ingreso codigo'!$E$19</f>
        <v>-</v>
      </c>
      <c r="E27" s="80"/>
    </row>
    <row r="28" spans="1:5" ht="12.95" customHeight="1">
      <c r="A28" s="33" t="str">
        <f>'Ingreso codigo'!$G$4&amp;" "&amp;'Ingreso codigo'!$G$9</f>
        <v>Metros 0</v>
      </c>
      <c r="B28" s="33" t="str">
        <f>'Ingreso codigo'!$I$4&amp;" "&amp;'Ingreso codigo'!$I$9</f>
        <v>Caja 24</v>
      </c>
      <c r="D28" s="33" t="str">
        <f>'Ingreso codigo'!$G$4&amp;" "&amp;'Ingreso codigo'!$G$19</f>
        <v>Metros -</v>
      </c>
      <c r="E28" s="33" t="str">
        <f>'Ingreso codigo'!$I$4&amp;" "&amp;'Ingreso codigo'!$I$19</f>
        <v>Caja -</v>
      </c>
    </row>
    <row r="29" spans="1:5" ht="14.1" customHeight="1">
      <c r="A29" s="29" t="str">
        <f>'Ingreso codigo'!$H$4&amp;" "&amp;'Ingreso codigo'!$H$9</f>
        <v>Kilos 18.5</v>
      </c>
      <c r="B29" s="29" t="str">
        <f>'Ingreso codigo'!$J$4&amp;" "&amp;INT('Ingreso codigo'!$J$9)</f>
        <v>Piezas 0</v>
      </c>
      <c r="D29" s="29" t="str">
        <f>'Ingreso codigo'!$H$4&amp;" "&amp;'Ingreso codigo'!$H$19</f>
        <v>Kilos -</v>
      </c>
      <c r="E29" s="29" t="str">
        <f>'Ingreso codigo'!$J$4&amp;" "&amp;INT('Ingreso codigo'!$J$9)</f>
        <v>Piezas 0</v>
      </c>
    </row>
    <row r="30" spans="1:5" ht="17.100000000000001" customHeight="1"/>
    <row r="31" spans="1:5">
      <c r="A31" s="81" t="str">
        <f>'Ingreso codigo'!$F$10</f>
        <v xml:space="preserve">CYAN SELECCIÓN </v>
      </c>
      <c r="B31" s="82"/>
      <c r="D31" s="81" t="str">
        <f>'Ingreso codigo'!$F$20</f>
        <v>-</v>
      </c>
      <c r="E31" s="82"/>
    </row>
    <row r="32" spans="1:5" ht="14.1" customHeight="1">
      <c r="A32" s="84" t="str">
        <f>'Ingreso codigo'!$E$10</f>
        <v>*3012905201925*</v>
      </c>
      <c r="B32" s="85"/>
      <c r="D32" s="84" t="str">
        <f>'Ingreso codigo'!$E$20</f>
        <v>-</v>
      </c>
      <c r="E32" s="85"/>
    </row>
    <row r="33" spans="1:5" ht="11.1" customHeight="1">
      <c r="A33" s="83" t="str">
        <f>'Ingreso codigo'!$E$10</f>
        <v>*3012905201925*</v>
      </c>
      <c r="B33" s="80"/>
      <c r="D33" s="83" t="str">
        <f>'Ingreso codigo'!$E$20</f>
        <v>-</v>
      </c>
      <c r="E33" s="80"/>
    </row>
    <row r="34" spans="1:5">
      <c r="A34" s="33" t="str">
        <f>'Ingreso codigo'!$G$4&amp;" "&amp;'Ingreso codigo'!$G$10</f>
        <v>Metros 0</v>
      </c>
      <c r="B34" s="33" t="str">
        <f>'Ingreso codigo'!$I$4&amp;" "&amp;'Ingreso codigo'!$I$10</f>
        <v>Caja 25</v>
      </c>
      <c r="D34" s="33" t="str">
        <f>'Ingreso codigo'!$G$4&amp;" "&amp;'Ingreso codigo'!$G$20</f>
        <v>Metros -</v>
      </c>
      <c r="E34" s="33" t="str">
        <f>'Ingreso codigo'!$I$4&amp;" "&amp;'Ingreso codigo'!$I$20</f>
        <v>Caja -</v>
      </c>
    </row>
    <row r="35" spans="1:5">
      <c r="A35" s="29" t="str">
        <f>'Ingreso codigo'!$H$4&amp;" "&amp;'Ingreso codigo'!$H$10</f>
        <v>Kilos 18.5</v>
      </c>
      <c r="B35" s="29" t="str">
        <f>'Ingreso codigo'!$J$4&amp;" "&amp;INT('Ingreso codigo'!$J$10)</f>
        <v>Piezas 0</v>
      </c>
      <c r="D35" s="29" t="str">
        <f>'Ingreso codigo'!$H$4&amp;" "&amp;'Ingreso codigo'!$H$20</f>
        <v>Kilos -</v>
      </c>
      <c r="E35" s="29" t="e">
        <f>'Ingreso codigo'!$J$4&amp;" "&amp;INT('Ingreso codigo'!$J$20)</f>
        <v>#VALUE!</v>
      </c>
    </row>
    <row r="36" spans="1:5" ht="20.100000000000001" customHeight="1"/>
    <row r="37" spans="1:5">
      <c r="A37" s="86" t="str">
        <f>'Ingreso codigo'!$F$11</f>
        <v xml:space="preserve">CYAN SELECCIÓN </v>
      </c>
      <c r="B37" s="87"/>
      <c r="D37" s="86" t="str">
        <f>'Ingreso codigo'!$F$21</f>
        <v>-</v>
      </c>
      <c r="E37" s="87"/>
    </row>
    <row r="38" spans="1:5">
      <c r="A38" s="84" t="str">
        <f>'Ingreso codigo'!$E$11</f>
        <v>*3012905201926*</v>
      </c>
      <c r="B38" s="85"/>
      <c r="D38" s="84" t="str">
        <f>'Ingreso codigo'!$E$21</f>
        <v>-</v>
      </c>
      <c r="E38" s="85"/>
    </row>
    <row r="39" spans="1:5" ht="11.1" customHeight="1">
      <c r="A39" s="83" t="str">
        <f>'Ingreso codigo'!$E$11</f>
        <v>*3012905201926*</v>
      </c>
      <c r="B39" s="80"/>
      <c r="D39" s="83" t="str">
        <f>'Ingreso codigo'!$E$21</f>
        <v>-</v>
      </c>
      <c r="E39" s="80"/>
    </row>
    <row r="40" spans="1:5">
      <c r="A40" s="33" t="str">
        <f>'Ingreso codigo'!$G$4&amp;" "&amp;'Ingreso codigo'!$G$11</f>
        <v>Metros 0</v>
      </c>
      <c r="B40" s="33" t="str">
        <f>'Ingreso codigo'!$I$4&amp;" "&amp;'Ingreso codigo'!$I$11</f>
        <v>Caja 26</v>
      </c>
      <c r="D40" s="33" t="str">
        <f>'Ingreso codigo'!$G$4&amp;" "&amp;'Ingreso codigo'!$G$21</f>
        <v>Metros -</v>
      </c>
      <c r="E40" s="33" t="str">
        <f>'Ingreso codigo'!$I$4&amp;" "&amp;'Ingreso codigo'!$I$21</f>
        <v>Caja -</v>
      </c>
    </row>
    <row r="41" spans="1:5">
      <c r="A41" s="33" t="str">
        <f>'Ingreso codigo'!$H$4&amp;" "&amp;'Ingreso codigo'!$H$11</f>
        <v>Kilos 18.5</v>
      </c>
      <c r="B41" s="33" t="str">
        <f>'Ingreso codigo'!$J$4&amp;" "&amp;INT('Ingreso codigo'!$J$11)</f>
        <v>Piezas 0</v>
      </c>
      <c r="D41" s="33" t="str">
        <f>'Ingreso codigo'!$H$4&amp;" "&amp;'Ingreso codigo'!$H$21</f>
        <v>Kilos -</v>
      </c>
      <c r="E41" s="33" t="e">
        <f>'Ingreso codigo'!$J$4&amp;" "&amp;INT('Ingreso codigo'!$J$21)</f>
        <v>#VALUE!</v>
      </c>
    </row>
    <row r="42" spans="1:5" ht="14.1" customHeight="1"/>
    <row r="43" spans="1:5" ht="12.95" customHeight="1">
      <c r="A43" s="81" t="str">
        <f>'Ingreso codigo'!$F$12</f>
        <v xml:space="preserve">CYAN SELECCIÓN </v>
      </c>
      <c r="B43" s="82"/>
      <c r="D43" s="81" t="str">
        <f>'Ingreso codigo'!$F$22</f>
        <v>-</v>
      </c>
      <c r="E43" s="82"/>
    </row>
    <row r="44" spans="1:5" ht="12" customHeight="1">
      <c r="A44" s="84" t="str">
        <f>'Ingreso codigo'!$E$12</f>
        <v>*3012905201927*</v>
      </c>
      <c r="B44" s="85"/>
      <c r="D44" s="84" t="str">
        <f>'Ingreso codigo'!$E$22</f>
        <v>-</v>
      </c>
      <c r="E44" s="85"/>
    </row>
    <row r="45" spans="1:5" ht="11.1" customHeight="1">
      <c r="A45" s="83" t="str">
        <f>'Ingreso codigo'!$E$12</f>
        <v>*3012905201927*</v>
      </c>
      <c r="B45" s="80"/>
      <c r="D45" s="83" t="str">
        <f>'Ingreso codigo'!$E$22</f>
        <v>-</v>
      </c>
      <c r="E45" s="80"/>
    </row>
    <row r="46" spans="1:5">
      <c r="A46" s="33" t="str">
        <f>'Ingreso codigo'!$G$4&amp;" "&amp;'Ingreso codigo'!$G$12</f>
        <v>Metros 0</v>
      </c>
      <c r="B46" s="33" t="str">
        <f>'Ingreso codigo'!$I$4&amp;" "&amp;'Ingreso codigo'!$I$12</f>
        <v>Caja 27</v>
      </c>
      <c r="D46" s="33" t="str">
        <f>'Ingreso codigo'!$G$4&amp;" "&amp;'Ingreso codigo'!$G$22</f>
        <v>Metros -</v>
      </c>
      <c r="E46" s="33" t="str">
        <f>'Ingreso codigo'!$I$4&amp;" "&amp;'Ingreso codigo'!$I$22</f>
        <v>Caja -</v>
      </c>
    </row>
    <row r="47" spans="1:5">
      <c r="A47" s="29" t="str">
        <f>'Ingreso codigo'!$H$4&amp;" "&amp;'Ingreso codigo'!$H$12</f>
        <v>Kilos 18.5</v>
      </c>
      <c r="B47" s="29" t="str">
        <f>'Ingreso codigo'!$J$4&amp;" "&amp;INT('Ingreso codigo'!$J$12)</f>
        <v>Piezas 0</v>
      </c>
      <c r="D47" s="29" t="str">
        <f>'Ingreso codigo'!$H$4&amp;" "&amp;'Ingreso codigo'!$H$22</f>
        <v>Kilos -</v>
      </c>
      <c r="E47" s="29" t="e">
        <f>'Ingreso codigo'!$J$4&amp;" "&amp;INT('Ingreso codigo'!$J$22)</f>
        <v>#VALUE!</v>
      </c>
    </row>
    <row r="48" spans="1:5" ht="17.100000000000001" customHeight="1"/>
    <row r="49" spans="1:5" ht="12.95" customHeight="1">
      <c r="A49" s="86" t="str">
        <f>'Ingreso codigo'!$F$13</f>
        <v xml:space="preserve">CYAN SELECCIÓN </v>
      </c>
      <c r="B49" s="87"/>
      <c r="D49" s="86" t="str">
        <f>'Ingreso codigo'!$F$23</f>
        <v>-</v>
      </c>
      <c r="E49" s="87"/>
    </row>
    <row r="50" spans="1:5" ht="14.1" customHeight="1">
      <c r="A50" s="84" t="str">
        <f>'Ingreso codigo'!$E$13</f>
        <v>*3012905201928*</v>
      </c>
      <c r="B50" s="85"/>
      <c r="D50" s="84" t="str">
        <f>'Ingreso codigo'!$E$23</f>
        <v>-</v>
      </c>
      <c r="E50" s="85"/>
    </row>
    <row r="51" spans="1:5" ht="11.1" customHeight="1">
      <c r="A51" s="83" t="str">
        <f>'Ingreso codigo'!$E$13</f>
        <v>*3012905201928*</v>
      </c>
      <c r="B51" s="80"/>
      <c r="D51" s="83" t="str">
        <f>'Ingreso codigo'!$E$23</f>
        <v>-</v>
      </c>
      <c r="E51" s="80"/>
    </row>
    <row r="52" spans="1:5">
      <c r="A52" s="33" t="str">
        <f>'Ingreso codigo'!$G$4&amp;" "&amp;'Ingreso codigo'!$G$13</f>
        <v>Metros 0</v>
      </c>
      <c r="B52" s="33" t="str">
        <f>'Ingreso codigo'!$I$4&amp;" "&amp;'Ingreso codigo'!$I$13</f>
        <v>Caja 28</v>
      </c>
      <c r="D52" s="33" t="str">
        <f>'Ingreso codigo'!$G$4&amp;" "&amp;'Ingreso codigo'!$G$23</f>
        <v>Metros -</v>
      </c>
      <c r="E52" s="33" t="str">
        <f>'Ingreso codigo'!$I$4&amp;" "&amp;'Ingreso codigo'!$I$23</f>
        <v>Caja -</v>
      </c>
    </row>
    <row r="53" spans="1:5">
      <c r="A53" s="33" t="str">
        <f>'Ingreso codigo'!$H$4&amp;" "&amp;'Ingreso codigo'!$H$13</f>
        <v>Kilos 18.5</v>
      </c>
      <c r="B53" s="33" t="str">
        <f>'Ingreso codigo'!$J$4&amp;" "&amp;INT('Ingreso codigo'!$J$13)</f>
        <v>Piezas 0</v>
      </c>
      <c r="D53" s="33" t="str">
        <f>'Ingreso codigo'!$H$4&amp;" "&amp;'Ingreso codigo'!$H$23</f>
        <v>Kilos -</v>
      </c>
      <c r="E53" s="33" t="e">
        <f>'Ingreso codigo'!$J$4&amp;" "&amp;INT('Ingreso codigo'!$J$23)</f>
        <v>#VALUE!</v>
      </c>
    </row>
    <row r="54" spans="1:5" ht="12.95" customHeight="1"/>
    <row r="55" spans="1:5" ht="15" customHeight="1">
      <c r="A55" s="81" t="str">
        <f>'Ingreso codigo'!$F$14</f>
        <v xml:space="preserve">CYAN SELECCIÓN </v>
      </c>
      <c r="B55" s="82"/>
      <c r="D55" s="81" t="str">
        <f>'Ingreso codigo'!$F$24</f>
        <v>-</v>
      </c>
      <c r="E55" s="82"/>
    </row>
    <row r="56" spans="1:5" ht="14.1" customHeight="1">
      <c r="A56" s="84" t="str">
        <f>'Ingreso codigo'!$E$14</f>
        <v>*3012905201929*</v>
      </c>
      <c r="B56" s="85"/>
      <c r="D56" s="84" t="str">
        <f>'Ingreso codigo'!$E$24</f>
        <v>-</v>
      </c>
      <c r="E56" s="85"/>
    </row>
    <row r="57" spans="1:5" ht="8.1" customHeight="1">
      <c r="A57" s="83" t="str">
        <f>'Ingreso codigo'!$E$14</f>
        <v>*3012905201929*</v>
      </c>
      <c r="B57" s="80"/>
      <c r="D57" s="83" t="str">
        <f>'Ingreso codigo'!$E$24</f>
        <v>-</v>
      </c>
      <c r="E57" s="80"/>
    </row>
    <row r="58" spans="1:5" ht="12" customHeight="1">
      <c r="A58" s="42" t="str">
        <f>'Ingreso codigo'!$G$4&amp;" "&amp;'Ingreso codigo'!$G$14</f>
        <v>Metros 0</v>
      </c>
      <c r="B58" s="42" t="str">
        <f>'Ingreso codigo'!$I$4&amp;" "&amp;'Ingreso codigo'!$I$14</f>
        <v>Caja 29</v>
      </c>
      <c r="C58" s="43"/>
      <c r="D58" s="42" t="str">
        <f>'Ingreso codigo'!$G$4&amp;" "&amp;'Ingreso codigo'!$G$24</f>
        <v>Metros -</v>
      </c>
      <c r="E58" s="42" t="str">
        <f>'Ingreso codigo'!$I$4&amp;" "&amp;'Ingreso codigo'!$I$24</f>
        <v>Caja -</v>
      </c>
    </row>
    <row r="59" spans="1:5" ht="12" customHeight="1">
      <c r="A59" s="44" t="str">
        <f>'Ingreso codigo'!$H$4&amp;" "&amp;'Ingreso codigo'!$H$14</f>
        <v>Kilos 18.5</v>
      </c>
      <c r="B59" s="44" t="str">
        <f>'Ingreso codigo'!$J$4&amp;" "&amp;INT('Ingreso codigo'!$J$14)</f>
        <v>Piezas 0</v>
      </c>
      <c r="C59" s="43"/>
      <c r="D59" s="44" t="str">
        <f>'Ingreso codigo'!$H$4&amp;" "&amp;'Ingreso codigo'!$H$24</f>
        <v>Kilos -</v>
      </c>
      <c r="E59" s="44" t="e">
        <f>'Ingreso codigo'!$J$4&amp;" "&amp;INT('Ingreso codigo'!$J$24)</f>
        <v>#VALUE!</v>
      </c>
    </row>
  </sheetData>
  <sheetProtection algorithmName="SHA-512" hashValue="i0stL2HmIwVU0nWQK/IXLr1vuxoPwhJeT3jhDkzrs/BpSGEtksyPghasgo88Cy+gZyRg+HERqMg8N3DLuX7NvA==" saltValue="p8QFkum0dcMjIm26/RQz1g==" spinCount="100000" sheet="1" objects="1" scenarios="1"/>
  <mergeCells count="60">
    <mergeCell ref="A1:B1"/>
    <mergeCell ref="A2:B2"/>
    <mergeCell ref="A3:B3"/>
    <mergeCell ref="A7:B7"/>
    <mergeCell ref="A8:B8"/>
    <mergeCell ref="D1:E1"/>
    <mergeCell ref="D2:E2"/>
    <mergeCell ref="D3:E3"/>
    <mergeCell ref="D7:E7"/>
    <mergeCell ref="D8:E8"/>
    <mergeCell ref="D9:E9"/>
    <mergeCell ref="A13:B13"/>
    <mergeCell ref="A14:B14"/>
    <mergeCell ref="A15:B15"/>
    <mergeCell ref="A19:B19"/>
    <mergeCell ref="D13:E13"/>
    <mergeCell ref="D14:E14"/>
    <mergeCell ref="D15:E15"/>
    <mergeCell ref="D19:E19"/>
    <mergeCell ref="A9:B9"/>
    <mergeCell ref="A20:B20"/>
    <mergeCell ref="A21:B21"/>
    <mergeCell ref="A25:B25"/>
    <mergeCell ref="A26:B26"/>
    <mergeCell ref="A27:B27"/>
    <mergeCell ref="A31:B31"/>
    <mergeCell ref="A32:B32"/>
    <mergeCell ref="A33:B33"/>
    <mergeCell ref="A37:B37"/>
    <mergeCell ref="A38:B38"/>
    <mergeCell ref="A39:B39"/>
    <mergeCell ref="A43:B43"/>
    <mergeCell ref="A44:B44"/>
    <mergeCell ref="A45:B45"/>
    <mergeCell ref="A49:B49"/>
    <mergeCell ref="A50:B50"/>
    <mergeCell ref="A51:B51"/>
    <mergeCell ref="A55:B55"/>
    <mergeCell ref="A56:B56"/>
    <mergeCell ref="A57:B57"/>
    <mergeCell ref="D20:E20"/>
    <mergeCell ref="D21:E21"/>
    <mergeCell ref="D25:E25"/>
    <mergeCell ref="D26:E26"/>
    <mergeCell ref="D27:E27"/>
    <mergeCell ref="D31:E31"/>
    <mergeCell ref="D32:E32"/>
    <mergeCell ref="D33:E33"/>
    <mergeCell ref="D37:E37"/>
    <mergeCell ref="D38:E38"/>
    <mergeCell ref="D39:E39"/>
    <mergeCell ref="D43:E43"/>
    <mergeCell ref="D44:E44"/>
    <mergeCell ref="D45:E45"/>
    <mergeCell ref="D49:E49"/>
    <mergeCell ref="D50:E50"/>
    <mergeCell ref="D51:E51"/>
    <mergeCell ref="D55:E55"/>
    <mergeCell ref="D56:E56"/>
    <mergeCell ref="D57:E57"/>
  </mergeCells>
  <pageMargins left="0.19685039370078741" right="0.19685039370078741" top="0" bottom="0" header="0" footer="0"/>
  <pageSetup paperSize="513" scale="9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B7" sqref="B7"/>
    </sheetView>
  </sheetViews>
  <sheetFormatPr baseColWidth="10" defaultRowHeight="15"/>
  <cols>
    <col min="1" max="5" width="19.7109375" customWidth="1"/>
    <col min="6" max="6" width="11.85546875" customWidth="1"/>
  </cols>
  <sheetData>
    <row r="1" spans="1:5" s="2" customFormat="1" ht="11.25">
      <c r="A1" s="7" t="str">
        <f>'Ingreso codigo'!$F$5</f>
        <v xml:space="preserve">CYAN SELECCIÓN </v>
      </c>
      <c r="B1" s="7" t="str">
        <f>'Ingreso codigo'!$F$5</f>
        <v xml:space="preserve">CYAN SELECCIÓN </v>
      </c>
      <c r="C1" s="7" t="str">
        <f>'Ingreso codigo'!$F$5</f>
        <v xml:space="preserve">CYAN SELECCIÓN </v>
      </c>
      <c r="D1" s="7" t="str">
        <f>'Ingreso codigo'!$F$5</f>
        <v xml:space="preserve">CYAN SELECCIÓN </v>
      </c>
      <c r="E1" s="7" t="str">
        <f>'Ingreso codigo'!$F$5</f>
        <v xml:space="preserve">CYAN SELECCIÓN </v>
      </c>
    </row>
    <row r="2" spans="1:5" ht="19.5">
      <c r="A2" s="4" t="str">
        <f>'Ingreso codigo'!$E$5</f>
        <v>*3012905201920*</v>
      </c>
      <c r="B2" s="4" t="str">
        <f>'Ingreso codigo'!$E$5</f>
        <v>*3012905201920*</v>
      </c>
      <c r="C2" s="4" t="str">
        <f>'Ingreso codigo'!$E$5</f>
        <v>*3012905201920*</v>
      </c>
      <c r="D2" s="4" t="str">
        <f>'Ingreso codigo'!$E$5</f>
        <v>*3012905201920*</v>
      </c>
      <c r="E2" s="4" t="str">
        <f>'Ingreso codigo'!$E$5</f>
        <v>*3012905201920*</v>
      </c>
    </row>
    <row r="3" spans="1:5">
      <c r="A3" s="5" t="str">
        <f>'Ingreso codigo'!$E$5</f>
        <v>*3012905201920*</v>
      </c>
      <c r="B3" s="5" t="str">
        <f>'Ingreso codigo'!$E$5</f>
        <v>*3012905201920*</v>
      </c>
      <c r="C3" s="5" t="str">
        <f>'Ingreso codigo'!$E$5</f>
        <v>*3012905201920*</v>
      </c>
      <c r="D3" s="5" t="str">
        <f>'Ingreso codigo'!$E$5</f>
        <v>*3012905201920*</v>
      </c>
      <c r="E3" s="5" t="str">
        <f>'Ingreso codigo'!$E$5</f>
        <v>*3012905201920*</v>
      </c>
    </row>
    <row r="4" spans="1:5" s="3" customFormat="1">
      <c r="A4" s="8" t="str">
        <f>'Ingreso codigo'!$H$4&amp;" "&amp;'Ingreso codigo'!$G$5</f>
        <v>Kilos 0</v>
      </c>
      <c r="B4" s="8" t="str">
        <f>'Ingreso codigo'!$H$4&amp;" "&amp;'Ingreso codigo'!$G$5</f>
        <v>Kilos 0</v>
      </c>
      <c r="C4" s="8" t="str">
        <f>'Ingreso codigo'!$H$4&amp;" "&amp;'Ingreso codigo'!$G$5</f>
        <v>Kilos 0</v>
      </c>
      <c r="D4" s="8" t="str">
        <f>'Ingreso codigo'!$H$4&amp;" "&amp;'Ingreso codigo'!$G$5</f>
        <v>Kilos 0</v>
      </c>
      <c r="E4" s="8" t="str">
        <f>'Ingreso codigo'!$H$4&amp;" "&amp;'Ingreso codigo'!$G$5</f>
        <v>Kilos 0</v>
      </c>
    </row>
    <row r="5" spans="1:5">
      <c r="A5" s="7" t="str">
        <f>'Ingreso codigo'!$F$5</f>
        <v xml:space="preserve">CYAN SELECCIÓN </v>
      </c>
      <c r="B5" s="7" t="str">
        <f>'Ingreso codigo'!$F$5</f>
        <v xml:space="preserve">CYAN SELECCIÓN </v>
      </c>
      <c r="C5" s="7" t="str">
        <f>'Ingreso codigo'!$F$5</f>
        <v xml:space="preserve">CYAN SELECCIÓN </v>
      </c>
      <c r="D5" s="7" t="str">
        <f>'Ingreso codigo'!$F$5</f>
        <v xml:space="preserve">CYAN SELECCIÓN </v>
      </c>
      <c r="E5" s="7" t="str">
        <f>'Ingreso codigo'!$F$5</f>
        <v xml:space="preserve">CYAN SELECCIÓN </v>
      </c>
    </row>
    <row r="6" spans="1:5" ht="19.5">
      <c r="A6" s="4" t="str">
        <f>'Ingreso codigo'!$E$5</f>
        <v>*3012905201920*</v>
      </c>
      <c r="B6" s="4" t="str">
        <f>'Ingreso codigo'!$E$5</f>
        <v>*3012905201920*</v>
      </c>
      <c r="C6" s="4" t="str">
        <f>'Ingreso codigo'!$E$5</f>
        <v>*3012905201920*</v>
      </c>
      <c r="D6" s="4" t="str">
        <f>'Ingreso codigo'!$E$5</f>
        <v>*3012905201920*</v>
      </c>
      <c r="E6" s="4" t="str">
        <f>'Ingreso codigo'!$E$5</f>
        <v>*3012905201920*</v>
      </c>
    </row>
    <row r="7" spans="1:5">
      <c r="A7" s="5" t="str">
        <f>'Ingreso codigo'!$E$5</f>
        <v>*3012905201920*</v>
      </c>
      <c r="B7" s="5" t="str">
        <f>'Ingreso codigo'!$E$5</f>
        <v>*3012905201920*</v>
      </c>
      <c r="C7" s="5" t="str">
        <f>'Ingreso codigo'!$E$5</f>
        <v>*3012905201920*</v>
      </c>
      <c r="D7" s="5" t="str">
        <f>'Ingreso codigo'!$E$5</f>
        <v>*3012905201920*</v>
      </c>
      <c r="E7" s="5" t="str">
        <f>'Ingreso codigo'!$E$5</f>
        <v>*3012905201920*</v>
      </c>
    </row>
    <row r="8" spans="1:5">
      <c r="A8" s="8" t="str">
        <f>'Ingreso codigo'!$H$4&amp;" "&amp;'Ingreso codigo'!$G$5</f>
        <v>Kilos 0</v>
      </c>
      <c r="B8" s="8" t="str">
        <f>'Ingreso codigo'!$H$4&amp;" "&amp;'Ingreso codigo'!$G$5</f>
        <v>Kilos 0</v>
      </c>
      <c r="C8" s="8" t="str">
        <f>'Ingreso codigo'!$H$4&amp;" "&amp;'Ingreso codigo'!$G$5</f>
        <v>Kilos 0</v>
      </c>
      <c r="D8" s="8" t="str">
        <f>'Ingreso codigo'!$H$4&amp;" "&amp;'Ingreso codigo'!$G$5</f>
        <v>Kilos 0</v>
      </c>
      <c r="E8" s="8" t="str">
        <f>'Ingreso codigo'!$H$4&amp;" "&amp;'Ingreso codigo'!$G$5</f>
        <v>Kilos 0</v>
      </c>
    </row>
    <row r="9" spans="1:5">
      <c r="A9" s="7" t="str">
        <f>'Ingreso codigo'!$F$5</f>
        <v xml:space="preserve">CYAN SELECCIÓN </v>
      </c>
      <c r="B9" s="7" t="str">
        <f>'Ingreso codigo'!$F$5</f>
        <v xml:space="preserve">CYAN SELECCIÓN </v>
      </c>
      <c r="C9" s="7" t="str">
        <f>'Ingreso codigo'!$F$5</f>
        <v xml:space="preserve">CYAN SELECCIÓN </v>
      </c>
      <c r="D9" s="7" t="str">
        <f>'Ingreso codigo'!$F$5</f>
        <v xml:space="preserve">CYAN SELECCIÓN </v>
      </c>
      <c r="E9" s="7" t="str">
        <f>'Ingreso codigo'!$F$5</f>
        <v xml:space="preserve">CYAN SELECCIÓN </v>
      </c>
    </row>
    <row r="10" spans="1:5" ht="19.5">
      <c r="A10" s="4" t="str">
        <f>'Ingreso codigo'!$E$5</f>
        <v>*3012905201920*</v>
      </c>
      <c r="B10" s="4" t="str">
        <f>'Ingreso codigo'!$E$5</f>
        <v>*3012905201920*</v>
      </c>
      <c r="C10" s="4" t="str">
        <f>'Ingreso codigo'!$E$5</f>
        <v>*3012905201920*</v>
      </c>
      <c r="D10" s="4" t="str">
        <f>'Ingreso codigo'!$E$5</f>
        <v>*3012905201920*</v>
      </c>
      <c r="E10" s="4" t="str">
        <f>'Ingreso codigo'!$E$5</f>
        <v>*3012905201920*</v>
      </c>
    </row>
    <row r="11" spans="1:5">
      <c r="A11" s="5" t="str">
        <f>'Ingreso codigo'!$E$5</f>
        <v>*3012905201920*</v>
      </c>
      <c r="B11" s="5" t="str">
        <f>'Ingreso codigo'!$E$5</f>
        <v>*3012905201920*</v>
      </c>
      <c r="C11" s="5" t="str">
        <f>'Ingreso codigo'!$E$5</f>
        <v>*3012905201920*</v>
      </c>
      <c r="D11" s="5" t="str">
        <f>'Ingreso codigo'!$E$5</f>
        <v>*3012905201920*</v>
      </c>
      <c r="E11" s="5" t="str">
        <f>'Ingreso codigo'!$E$5</f>
        <v>*3012905201920*</v>
      </c>
    </row>
    <row r="12" spans="1:5">
      <c r="A12" s="8" t="str">
        <f>'Ingreso codigo'!$H$4&amp;" "&amp;'Ingreso codigo'!$G$5</f>
        <v>Kilos 0</v>
      </c>
      <c r="B12" s="8" t="str">
        <f>'Ingreso codigo'!$H$4&amp;" "&amp;'Ingreso codigo'!$G$5</f>
        <v>Kilos 0</v>
      </c>
      <c r="C12" s="8" t="str">
        <f>'Ingreso codigo'!$H$4&amp;" "&amp;'Ingreso codigo'!$G$5</f>
        <v>Kilos 0</v>
      </c>
      <c r="D12" s="8" t="str">
        <f>'Ingreso codigo'!$H$4&amp;" "&amp;'Ingreso codigo'!$G$5</f>
        <v>Kilos 0</v>
      </c>
      <c r="E12" s="8" t="str">
        <f>'Ingreso codigo'!$H$4&amp;" "&amp;'Ingreso codigo'!$G$5</f>
        <v>Kilos 0</v>
      </c>
    </row>
    <row r="13" spans="1:5">
      <c r="A13" s="7" t="str">
        <f>'Ingreso codigo'!$F$5</f>
        <v xml:space="preserve">CYAN SELECCIÓN </v>
      </c>
      <c r="B13" s="7" t="str">
        <f>'Ingreso codigo'!$F$5</f>
        <v xml:space="preserve">CYAN SELECCIÓN </v>
      </c>
      <c r="C13" s="7" t="str">
        <f>'Ingreso codigo'!$F$5</f>
        <v xml:space="preserve">CYAN SELECCIÓN </v>
      </c>
      <c r="D13" s="7" t="str">
        <f>'Ingreso codigo'!$F$5</f>
        <v xml:space="preserve">CYAN SELECCIÓN </v>
      </c>
      <c r="E13" s="7" t="str">
        <f>'Ingreso codigo'!$F$5</f>
        <v xml:space="preserve">CYAN SELECCIÓN </v>
      </c>
    </row>
    <row r="14" spans="1:5" ht="19.5">
      <c r="A14" s="4" t="str">
        <f>'Ingreso codigo'!$E$5</f>
        <v>*3012905201920*</v>
      </c>
      <c r="B14" s="4" t="str">
        <f>'Ingreso codigo'!$E$5</f>
        <v>*3012905201920*</v>
      </c>
      <c r="C14" s="4" t="str">
        <f>'Ingreso codigo'!$E$5</f>
        <v>*3012905201920*</v>
      </c>
      <c r="D14" s="4" t="str">
        <f>'Ingreso codigo'!$E$5</f>
        <v>*3012905201920*</v>
      </c>
      <c r="E14" s="4" t="str">
        <f>'Ingreso codigo'!$E$5</f>
        <v>*3012905201920*</v>
      </c>
    </row>
    <row r="15" spans="1:5">
      <c r="A15" s="5" t="str">
        <f>'Ingreso codigo'!$E$5</f>
        <v>*3012905201920*</v>
      </c>
      <c r="B15" s="5" t="str">
        <f>'Ingreso codigo'!$E$5</f>
        <v>*3012905201920*</v>
      </c>
      <c r="C15" s="5" t="str">
        <f>'Ingreso codigo'!$E$5</f>
        <v>*3012905201920*</v>
      </c>
      <c r="D15" s="5" t="str">
        <f>'Ingreso codigo'!$E$5</f>
        <v>*3012905201920*</v>
      </c>
      <c r="E15" s="5" t="str">
        <f>'Ingreso codigo'!$E$5</f>
        <v>*3012905201920*</v>
      </c>
    </row>
    <row r="16" spans="1:5">
      <c r="A16" s="8" t="str">
        <f>'Ingreso codigo'!$H$4&amp;" "&amp;'Ingreso codigo'!$G$5</f>
        <v>Kilos 0</v>
      </c>
      <c r="B16" s="8" t="str">
        <f>'Ingreso codigo'!$H$4&amp;" "&amp;'Ingreso codigo'!$G$5</f>
        <v>Kilos 0</v>
      </c>
      <c r="C16" s="8" t="str">
        <f>'Ingreso codigo'!$H$4&amp;" "&amp;'Ingreso codigo'!$G$5</f>
        <v>Kilos 0</v>
      </c>
      <c r="D16" s="8" t="str">
        <f>'Ingreso codigo'!$H$4&amp;" "&amp;'Ingreso codigo'!$G$5</f>
        <v>Kilos 0</v>
      </c>
      <c r="E16" s="8" t="str">
        <f>'Ingreso codigo'!$H$4&amp;" "&amp;'Ingreso codigo'!$G$5</f>
        <v>Kilos 0</v>
      </c>
    </row>
    <row r="17" spans="1:5" ht="8.25" customHeight="1">
      <c r="A17" s="9"/>
      <c r="B17" s="9"/>
      <c r="C17" s="9"/>
      <c r="D17" s="9"/>
      <c r="E17" s="9"/>
    </row>
    <row r="18" spans="1:5">
      <c r="A18" s="7" t="str">
        <f>'Ingreso codigo'!$F$6</f>
        <v xml:space="preserve">CYAN SELECCIÓN </v>
      </c>
      <c r="B18" s="7" t="str">
        <f>'Ingreso codigo'!$F$6</f>
        <v xml:space="preserve">CYAN SELECCIÓN </v>
      </c>
      <c r="C18" s="7" t="str">
        <f>'Ingreso codigo'!$F$6</f>
        <v xml:space="preserve">CYAN SELECCIÓN </v>
      </c>
      <c r="D18" s="7" t="str">
        <f>'Ingreso codigo'!$F$6</f>
        <v xml:space="preserve">CYAN SELECCIÓN </v>
      </c>
      <c r="E18" s="7" t="str">
        <f>'Ingreso codigo'!$F$6</f>
        <v xml:space="preserve">CYAN SELECCIÓN </v>
      </c>
    </row>
    <row r="19" spans="1:5" ht="19.5">
      <c r="A19" s="4" t="str">
        <f>'Ingreso codigo'!$E$6</f>
        <v>*3012905201921*</v>
      </c>
      <c r="B19" s="4" t="str">
        <f>'Ingreso codigo'!$E$6</f>
        <v>*3012905201921*</v>
      </c>
      <c r="C19" s="4" t="str">
        <f>'Ingreso codigo'!$E$6</f>
        <v>*3012905201921*</v>
      </c>
      <c r="D19" s="4" t="str">
        <f>'Ingreso codigo'!$E$6</f>
        <v>*3012905201921*</v>
      </c>
      <c r="E19" s="4" t="str">
        <f>'Ingreso codigo'!$E$6</f>
        <v>*3012905201921*</v>
      </c>
    </row>
    <row r="20" spans="1:5">
      <c r="A20" s="5" t="str">
        <f>'Ingreso codigo'!$E$6</f>
        <v>*3012905201921*</v>
      </c>
      <c r="B20" s="5" t="str">
        <f>'Ingreso codigo'!$E$6</f>
        <v>*3012905201921*</v>
      </c>
      <c r="C20" s="5" t="str">
        <f>'Ingreso codigo'!$E$6</f>
        <v>*3012905201921*</v>
      </c>
      <c r="D20" s="5" t="str">
        <f>'Ingreso codigo'!$E$6</f>
        <v>*3012905201921*</v>
      </c>
      <c r="E20" s="5" t="str">
        <f>'Ingreso codigo'!$E$6</f>
        <v>*3012905201921*</v>
      </c>
    </row>
    <row r="21" spans="1:5">
      <c r="A21" s="6" t="str">
        <f>'Ingreso codigo'!$H$4&amp;" "&amp;'Ingreso codigo'!$G$6</f>
        <v>Kilos 0</v>
      </c>
      <c r="B21" s="6" t="str">
        <f>'Ingreso codigo'!$H$4&amp;" "&amp;'Ingreso codigo'!$G$6</f>
        <v>Kilos 0</v>
      </c>
      <c r="C21" s="6" t="str">
        <f>'Ingreso codigo'!$H$4&amp;" "&amp;'Ingreso codigo'!$G$6</f>
        <v>Kilos 0</v>
      </c>
      <c r="D21" s="6" t="str">
        <f>'Ingreso codigo'!$H$4&amp;" "&amp;'Ingreso codigo'!$G$6</f>
        <v>Kilos 0</v>
      </c>
      <c r="E21" s="6" t="str">
        <f>'Ingreso codigo'!$H$4&amp;" "&amp;'Ingreso codigo'!$G$6</f>
        <v>Kilos 0</v>
      </c>
    </row>
    <row r="22" spans="1:5">
      <c r="A22" s="7" t="str">
        <f>'Ingreso codigo'!$F$6</f>
        <v xml:space="preserve">CYAN SELECCIÓN </v>
      </c>
      <c r="B22" s="7" t="str">
        <f>'Ingreso codigo'!$F$6</f>
        <v xml:space="preserve">CYAN SELECCIÓN </v>
      </c>
      <c r="C22" s="7" t="str">
        <f>'Ingreso codigo'!$F$6</f>
        <v xml:space="preserve">CYAN SELECCIÓN </v>
      </c>
      <c r="D22" s="7" t="str">
        <f>'Ingreso codigo'!$F$6</f>
        <v xml:space="preserve">CYAN SELECCIÓN </v>
      </c>
      <c r="E22" s="7" t="str">
        <f>'Ingreso codigo'!$F$6</f>
        <v xml:space="preserve">CYAN SELECCIÓN </v>
      </c>
    </row>
    <row r="23" spans="1:5" ht="19.5">
      <c r="A23" s="4" t="str">
        <f>'Ingreso codigo'!$E$6</f>
        <v>*3012905201921*</v>
      </c>
      <c r="B23" s="4" t="str">
        <f>'Ingreso codigo'!$E$6</f>
        <v>*3012905201921*</v>
      </c>
      <c r="C23" s="4" t="str">
        <f>'Ingreso codigo'!$E$6</f>
        <v>*3012905201921*</v>
      </c>
      <c r="D23" s="4" t="str">
        <f>'Ingreso codigo'!$E$6</f>
        <v>*3012905201921*</v>
      </c>
      <c r="E23" s="4" t="str">
        <f>'Ingreso codigo'!$E$6</f>
        <v>*3012905201921*</v>
      </c>
    </row>
    <row r="24" spans="1:5">
      <c r="A24" s="5" t="str">
        <f>'Ingreso codigo'!$E$6</f>
        <v>*3012905201921*</v>
      </c>
      <c r="B24" s="5" t="str">
        <f>'Ingreso codigo'!$E$6</f>
        <v>*3012905201921*</v>
      </c>
      <c r="C24" s="5" t="str">
        <f>'Ingreso codigo'!$E$6</f>
        <v>*3012905201921*</v>
      </c>
      <c r="D24" s="5" t="str">
        <f>'Ingreso codigo'!$E$6</f>
        <v>*3012905201921*</v>
      </c>
      <c r="E24" s="5" t="str">
        <f>'Ingreso codigo'!$E$6</f>
        <v>*3012905201921*</v>
      </c>
    </row>
    <row r="25" spans="1:5">
      <c r="A25" s="6" t="str">
        <f>'Ingreso codigo'!$H$4&amp;" "&amp;'Ingreso codigo'!$G$6</f>
        <v>Kilos 0</v>
      </c>
      <c r="B25" s="6" t="str">
        <f>'Ingreso codigo'!$H$4&amp;" "&amp;'Ingreso codigo'!$G$6</f>
        <v>Kilos 0</v>
      </c>
      <c r="C25" s="6" t="str">
        <f>'Ingreso codigo'!$H$4&amp;" "&amp;'Ingreso codigo'!$G$6</f>
        <v>Kilos 0</v>
      </c>
      <c r="D25" s="6" t="str">
        <f>'Ingreso codigo'!$H$4&amp;" "&amp;'Ingreso codigo'!$G$6</f>
        <v>Kilos 0</v>
      </c>
      <c r="E25" s="6" t="str">
        <f>'Ingreso codigo'!$H$4&amp;" "&amp;'Ingreso codigo'!$G$6</f>
        <v>Kilos 0</v>
      </c>
    </row>
    <row r="26" spans="1:5">
      <c r="A26" s="7" t="str">
        <f>'Ingreso codigo'!$F$6</f>
        <v xml:space="preserve">CYAN SELECCIÓN </v>
      </c>
      <c r="B26" s="7" t="str">
        <f>'Ingreso codigo'!$F$6</f>
        <v xml:space="preserve">CYAN SELECCIÓN </v>
      </c>
      <c r="C26" s="7" t="str">
        <f>'Ingreso codigo'!$F$6</f>
        <v xml:space="preserve">CYAN SELECCIÓN </v>
      </c>
      <c r="D26" s="7" t="str">
        <f>'Ingreso codigo'!$F$6</f>
        <v xml:space="preserve">CYAN SELECCIÓN </v>
      </c>
      <c r="E26" s="7" t="str">
        <f>'Ingreso codigo'!$F$6</f>
        <v xml:space="preserve">CYAN SELECCIÓN </v>
      </c>
    </row>
    <row r="27" spans="1:5" ht="19.5">
      <c r="A27" s="4" t="str">
        <f>'Ingreso codigo'!$E$6</f>
        <v>*3012905201921*</v>
      </c>
      <c r="B27" s="4" t="str">
        <f>'Ingreso codigo'!$E$6</f>
        <v>*3012905201921*</v>
      </c>
      <c r="C27" s="4" t="str">
        <f>'Ingreso codigo'!$E$6</f>
        <v>*3012905201921*</v>
      </c>
      <c r="D27" s="4" t="str">
        <f>'Ingreso codigo'!$E$6</f>
        <v>*3012905201921*</v>
      </c>
      <c r="E27" s="4" t="str">
        <f>'Ingreso codigo'!$E$6</f>
        <v>*3012905201921*</v>
      </c>
    </row>
    <row r="28" spans="1:5">
      <c r="A28" s="5" t="str">
        <f>'Ingreso codigo'!$E$6</f>
        <v>*3012905201921*</v>
      </c>
      <c r="B28" s="5" t="str">
        <f>'Ingreso codigo'!$E$6</f>
        <v>*3012905201921*</v>
      </c>
      <c r="C28" s="5" t="str">
        <f>'Ingreso codigo'!$E$6</f>
        <v>*3012905201921*</v>
      </c>
      <c r="D28" s="5" t="str">
        <f>'Ingreso codigo'!$E$6</f>
        <v>*3012905201921*</v>
      </c>
      <c r="E28" s="5" t="str">
        <f>'Ingreso codigo'!$E$6</f>
        <v>*3012905201921*</v>
      </c>
    </row>
    <row r="29" spans="1:5">
      <c r="A29" s="6" t="str">
        <f>'Ingreso codigo'!$H$4&amp;" "&amp;'Ingreso codigo'!$G$6</f>
        <v>Kilos 0</v>
      </c>
      <c r="B29" s="6" t="str">
        <f>'Ingreso codigo'!$H$4&amp;" "&amp;'Ingreso codigo'!$G$6</f>
        <v>Kilos 0</v>
      </c>
      <c r="C29" s="6" t="str">
        <f>'Ingreso codigo'!$H$4&amp;" "&amp;'Ingreso codigo'!$G$6</f>
        <v>Kilos 0</v>
      </c>
      <c r="D29" s="6" t="str">
        <f>'Ingreso codigo'!$H$4&amp;" "&amp;'Ingreso codigo'!$G$6</f>
        <v>Kilos 0</v>
      </c>
      <c r="E29" s="6" t="str">
        <f>'Ingreso codigo'!$H$4&amp;" "&amp;'Ingreso codigo'!$G$6</f>
        <v>Kilos 0</v>
      </c>
    </row>
    <row r="30" spans="1:5">
      <c r="A30" s="7" t="str">
        <f>'Ingreso codigo'!$F$6</f>
        <v xml:space="preserve">CYAN SELECCIÓN </v>
      </c>
      <c r="B30" s="7" t="str">
        <f>'Ingreso codigo'!$F$6</f>
        <v xml:space="preserve">CYAN SELECCIÓN </v>
      </c>
      <c r="C30" s="7" t="str">
        <f>'Ingreso codigo'!$F$6</f>
        <v xml:space="preserve">CYAN SELECCIÓN </v>
      </c>
      <c r="D30" s="7" t="str">
        <f>'Ingreso codigo'!$F$6</f>
        <v xml:space="preserve">CYAN SELECCIÓN </v>
      </c>
      <c r="E30" s="7" t="str">
        <f>'Ingreso codigo'!$F$6</f>
        <v xml:space="preserve">CYAN SELECCIÓN </v>
      </c>
    </row>
    <row r="31" spans="1:5" ht="19.5">
      <c r="A31" s="4" t="str">
        <f>'Ingreso codigo'!$E$6</f>
        <v>*3012905201921*</v>
      </c>
      <c r="B31" s="4" t="str">
        <f>'Ingreso codigo'!$E$6</f>
        <v>*3012905201921*</v>
      </c>
      <c r="C31" s="4" t="str">
        <f>'Ingreso codigo'!$E$6</f>
        <v>*3012905201921*</v>
      </c>
      <c r="D31" s="4" t="str">
        <f>'Ingreso codigo'!$E$6</f>
        <v>*3012905201921*</v>
      </c>
      <c r="E31" s="4" t="str">
        <f>'Ingreso codigo'!$E$6</f>
        <v>*3012905201921*</v>
      </c>
    </row>
    <row r="32" spans="1:5">
      <c r="A32" s="5" t="str">
        <f>'Ingreso codigo'!$E$6</f>
        <v>*3012905201921*</v>
      </c>
      <c r="B32" s="5" t="str">
        <f>'Ingreso codigo'!$E$6</f>
        <v>*3012905201921*</v>
      </c>
      <c r="C32" s="5" t="str">
        <f>'Ingreso codigo'!$E$6</f>
        <v>*3012905201921*</v>
      </c>
      <c r="D32" s="5" t="str">
        <f>'Ingreso codigo'!$E$6</f>
        <v>*3012905201921*</v>
      </c>
      <c r="E32" s="5" t="str">
        <f>'Ingreso codigo'!$E$6</f>
        <v>*3012905201921*</v>
      </c>
    </row>
    <row r="33" spans="1:5">
      <c r="A33" s="6" t="str">
        <f>'Ingreso codigo'!$H$4&amp;" "&amp;'Ingreso codigo'!$G$6</f>
        <v>Kilos 0</v>
      </c>
      <c r="B33" s="6" t="str">
        <f>'Ingreso codigo'!$H$4&amp;" "&amp;'Ingreso codigo'!$G$6</f>
        <v>Kilos 0</v>
      </c>
      <c r="C33" s="6" t="str">
        <f>'Ingreso codigo'!$H$4&amp;" "&amp;'Ingreso codigo'!$G$6</f>
        <v>Kilos 0</v>
      </c>
      <c r="D33" s="6" t="str">
        <f>'Ingreso codigo'!$H$4&amp;" "&amp;'Ingreso codigo'!$G$6</f>
        <v>Kilos 0</v>
      </c>
      <c r="E33" s="6" t="str">
        <f>'Ingreso codigo'!$H$4&amp;" "&amp;'Ingreso codigo'!$G$6</f>
        <v>Kilos 0</v>
      </c>
    </row>
    <row r="34" spans="1:5" ht="7.5" customHeight="1">
      <c r="A34" s="9"/>
      <c r="B34" s="9"/>
      <c r="C34" s="9"/>
      <c r="D34" s="9"/>
      <c r="E34" s="9"/>
    </row>
    <row r="35" spans="1:5">
      <c r="A35" s="7" t="str">
        <f>'Ingreso codigo'!$F$7</f>
        <v xml:space="preserve">CYAN SELECCIÓN </v>
      </c>
      <c r="B35" s="7" t="str">
        <f>'Ingreso codigo'!$F$7</f>
        <v xml:space="preserve">CYAN SELECCIÓN </v>
      </c>
      <c r="C35" s="7" t="str">
        <f>'Ingreso codigo'!$F$7</f>
        <v xml:space="preserve">CYAN SELECCIÓN </v>
      </c>
      <c r="D35" s="7" t="str">
        <f>'Ingreso codigo'!$F$7</f>
        <v xml:space="preserve">CYAN SELECCIÓN </v>
      </c>
      <c r="E35" s="7" t="str">
        <f>'Ingreso codigo'!$F$7</f>
        <v xml:space="preserve">CYAN SELECCIÓN </v>
      </c>
    </row>
    <row r="36" spans="1:5" ht="19.5">
      <c r="A36" s="4" t="str">
        <f>'Ingreso codigo'!$E$7</f>
        <v>*3012905201922*</v>
      </c>
      <c r="B36" s="4" t="str">
        <f>'Ingreso codigo'!$E$7</f>
        <v>*3012905201922*</v>
      </c>
      <c r="C36" s="4" t="str">
        <f>'Ingreso codigo'!$E$7</f>
        <v>*3012905201922*</v>
      </c>
      <c r="D36" s="4" t="str">
        <f>'Ingreso codigo'!$E$7</f>
        <v>*3012905201922*</v>
      </c>
      <c r="E36" s="4" t="str">
        <f>'Ingreso codigo'!$E$7</f>
        <v>*3012905201922*</v>
      </c>
    </row>
    <row r="37" spans="1:5">
      <c r="A37" s="5" t="str">
        <f>'Ingreso codigo'!$E$7</f>
        <v>*3012905201922*</v>
      </c>
      <c r="B37" s="5" t="str">
        <f>'Ingreso codigo'!$E$7</f>
        <v>*3012905201922*</v>
      </c>
      <c r="C37" s="5" t="str">
        <f>'Ingreso codigo'!$E$7</f>
        <v>*3012905201922*</v>
      </c>
      <c r="D37" s="5" t="str">
        <f>'Ingreso codigo'!$E$7</f>
        <v>*3012905201922*</v>
      </c>
      <c r="E37" s="5" t="str">
        <f>'Ingreso codigo'!$E$7</f>
        <v>*3012905201922*</v>
      </c>
    </row>
    <row r="38" spans="1:5">
      <c r="A38" s="6" t="str">
        <f>'Ingreso codigo'!$H$4&amp;" "&amp;'Ingreso codigo'!$G$7</f>
        <v>Kilos 0</v>
      </c>
      <c r="B38" s="6" t="str">
        <f>'Ingreso codigo'!$H$4&amp;" "&amp;'Ingreso codigo'!$G$7</f>
        <v>Kilos 0</v>
      </c>
      <c r="C38" s="6" t="str">
        <f>'Ingreso codigo'!$H$4&amp;" "&amp;'Ingreso codigo'!$G$7</f>
        <v>Kilos 0</v>
      </c>
      <c r="D38" s="6" t="str">
        <f>'Ingreso codigo'!$H$4&amp;" "&amp;'Ingreso codigo'!$G$7</f>
        <v>Kilos 0</v>
      </c>
      <c r="E38" s="6" t="str">
        <f>'Ingreso codigo'!$H$4&amp;" "&amp;'Ingreso codigo'!$G$7</f>
        <v>Kilos 0</v>
      </c>
    </row>
    <row r="39" spans="1:5">
      <c r="A39" s="7" t="str">
        <f>'Ingreso codigo'!$F$7</f>
        <v xml:space="preserve">CYAN SELECCIÓN </v>
      </c>
      <c r="B39" s="7" t="str">
        <f>'Ingreso codigo'!$F$7</f>
        <v xml:space="preserve">CYAN SELECCIÓN </v>
      </c>
      <c r="C39" s="7" t="str">
        <f>'Ingreso codigo'!$F$7</f>
        <v xml:space="preserve">CYAN SELECCIÓN </v>
      </c>
      <c r="D39" s="7" t="str">
        <f>'Ingreso codigo'!$F$7</f>
        <v xml:space="preserve">CYAN SELECCIÓN </v>
      </c>
      <c r="E39" s="7" t="str">
        <f>'Ingreso codigo'!$F$7</f>
        <v xml:space="preserve">CYAN SELECCIÓN </v>
      </c>
    </row>
    <row r="40" spans="1:5" ht="19.5">
      <c r="A40" s="4" t="str">
        <f>'Ingreso codigo'!$E$7</f>
        <v>*3012905201922*</v>
      </c>
      <c r="B40" s="4" t="str">
        <f>'Ingreso codigo'!$E$7</f>
        <v>*3012905201922*</v>
      </c>
      <c r="C40" s="4" t="str">
        <f>'Ingreso codigo'!$E$7</f>
        <v>*3012905201922*</v>
      </c>
      <c r="D40" s="4" t="str">
        <f>'Ingreso codigo'!$E$7</f>
        <v>*3012905201922*</v>
      </c>
      <c r="E40" s="4" t="str">
        <f>'Ingreso codigo'!$E$7</f>
        <v>*3012905201922*</v>
      </c>
    </row>
    <row r="41" spans="1:5">
      <c r="A41" s="5" t="str">
        <f>'Ingreso codigo'!$E$7</f>
        <v>*3012905201922*</v>
      </c>
      <c r="B41" s="5" t="str">
        <f>'Ingreso codigo'!$E$7</f>
        <v>*3012905201922*</v>
      </c>
      <c r="C41" s="5" t="str">
        <f>'Ingreso codigo'!$E$7</f>
        <v>*3012905201922*</v>
      </c>
      <c r="D41" s="5" t="str">
        <f>'Ingreso codigo'!$E$7</f>
        <v>*3012905201922*</v>
      </c>
      <c r="E41" s="5" t="str">
        <f>'Ingreso codigo'!$E$7</f>
        <v>*3012905201922*</v>
      </c>
    </row>
    <row r="42" spans="1:5">
      <c r="A42" s="6" t="str">
        <f>'Ingreso codigo'!$H$4&amp;" "&amp;'Ingreso codigo'!$G$7</f>
        <v>Kilos 0</v>
      </c>
      <c r="B42" s="6" t="str">
        <f>'Ingreso codigo'!$H$4&amp;" "&amp;'Ingreso codigo'!$G$7</f>
        <v>Kilos 0</v>
      </c>
      <c r="C42" s="6" t="str">
        <f>'Ingreso codigo'!$H$4&amp;" "&amp;'Ingreso codigo'!$G$7</f>
        <v>Kilos 0</v>
      </c>
      <c r="D42" s="6" t="str">
        <f>'Ingreso codigo'!$H$4&amp;" "&amp;'Ingreso codigo'!$G$7</f>
        <v>Kilos 0</v>
      </c>
      <c r="E42" s="6" t="str">
        <f>'Ingreso codigo'!$H$4&amp;" "&amp;'Ingreso codigo'!$G$7</f>
        <v>Kilos 0</v>
      </c>
    </row>
    <row r="43" spans="1:5">
      <c r="A43" s="7" t="str">
        <f>'Ingreso codigo'!$F$7</f>
        <v xml:space="preserve">CYAN SELECCIÓN </v>
      </c>
      <c r="B43" s="7" t="str">
        <f>'Ingreso codigo'!$F$7</f>
        <v xml:space="preserve">CYAN SELECCIÓN </v>
      </c>
      <c r="C43" s="7" t="str">
        <f>'Ingreso codigo'!$F$7</f>
        <v xml:space="preserve">CYAN SELECCIÓN </v>
      </c>
      <c r="D43" s="7" t="str">
        <f>'Ingreso codigo'!$F$7</f>
        <v xml:space="preserve">CYAN SELECCIÓN </v>
      </c>
      <c r="E43" s="7" t="str">
        <f>'Ingreso codigo'!$F$7</f>
        <v xml:space="preserve">CYAN SELECCIÓN </v>
      </c>
    </row>
    <row r="44" spans="1:5" ht="19.5">
      <c r="A44" s="4" t="str">
        <f>'Ingreso codigo'!$E$7</f>
        <v>*3012905201922*</v>
      </c>
      <c r="B44" s="4" t="str">
        <f>'Ingreso codigo'!$E$7</f>
        <v>*3012905201922*</v>
      </c>
      <c r="C44" s="4" t="str">
        <f>'Ingreso codigo'!$E$7</f>
        <v>*3012905201922*</v>
      </c>
      <c r="D44" s="4" t="str">
        <f>'Ingreso codigo'!$E$7</f>
        <v>*3012905201922*</v>
      </c>
      <c r="E44" s="4" t="str">
        <f>'Ingreso codigo'!$E$7</f>
        <v>*3012905201922*</v>
      </c>
    </row>
    <row r="45" spans="1:5">
      <c r="A45" s="5" t="str">
        <f>'Ingreso codigo'!$E$7</f>
        <v>*3012905201922*</v>
      </c>
      <c r="B45" s="5" t="str">
        <f>'Ingreso codigo'!$E$7</f>
        <v>*3012905201922*</v>
      </c>
      <c r="C45" s="5" t="str">
        <f>'Ingreso codigo'!$E$7</f>
        <v>*3012905201922*</v>
      </c>
      <c r="D45" s="5" t="str">
        <f>'Ingreso codigo'!$E$7</f>
        <v>*3012905201922*</v>
      </c>
      <c r="E45" s="5" t="str">
        <f>'Ingreso codigo'!$E$7</f>
        <v>*3012905201922*</v>
      </c>
    </row>
    <row r="46" spans="1:5">
      <c r="A46" s="6" t="str">
        <f>'Ingreso codigo'!$H$4&amp;" "&amp;'Ingreso codigo'!$G$7</f>
        <v>Kilos 0</v>
      </c>
      <c r="B46" s="6" t="str">
        <f>'Ingreso codigo'!$H$4&amp;" "&amp;'Ingreso codigo'!$G$7</f>
        <v>Kilos 0</v>
      </c>
      <c r="C46" s="6" t="str">
        <f>'Ingreso codigo'!$H$4&amp;" "&amp;'Ingreso codigo'!$G$7</f>
        <v>Kilos 0</v>
      </c>
      <c r="D46" s="6" t="str">
        <f>'Ingreso codigo'!$H$4&amp;" "&amp;'Ingreso codigo'!$G$7</f>
        <v>Kilos 0</v>
      </c>
      <c r="E46" s="6" t="str">
        <f>'Ingreso codigo'!$H$4&amp;" "&amp;'Ingreso codigo'!$G$7</f>
        <v>Kilos 0</v>
      </c>
    </row>
  </sheetData>
  <pageMargins left="0.23622047244094491" right="0.23622047244094491" top="0.35433070866141736" bottom="0.35433070866141736" header="0.31496062992125984" footer="0.31496062992125984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I6" sqref="I6"/>
    </sheetView>
  </sheetViews>
  <sheetFormatPr baseColWidth="10" defaultRowHeight="15"/>
  <cols>
    <col min="1" max="5" width="19.7109375" customWidth="1"/>
    <col min="6" max="6" width="11.85546875" customWidth="1"/>
  </cols>
  <sheetData>
    <row r="1" spans="1:5" s="2" customFormat="1" ht="11.25">
      <c r="A1" s="7" t="str">
        <f>'Ingreso codigo'!$F$5</f>
        <v xml:space="preserve">CYAN SELECCIÓN </v>
      </c>
      <c r="B1" s="7" t="str">
        <f>'Ingreso codigo'!$F$6</f>
        <v xml:space="preserve">CYAN SELECCIÓN </v>
      </c>
      <c r="C1" s="7" t="str">
        <f>'Ingreso codigo'!$F$7</f>
        <v xml:space="preserve">CYAN SELECCIÓN </v>
      </c>
      <c r="D1" s="7" t="str">
        <f>'Ingreso codigo'!$F$8</f>
        <v xml:space="preserve">CYAN SELECCIÓN </v>
      </c>
      <c r="E1" s="7" t="str">
        <f>'Ingreso codigo'!$F$9</f>
        <v xml:space="preserve">CYAN SELECCIÓN </v>
      </c>
    </row>
    <row r="2" spans="1:5" ht="19.5">
      <c r="A2" s="4" t="str">
        <f>'Ingreso codigo'!$E$5</f>
        <v>*3012905201920*</v>
      </c>
      <c r="B2" s="4" t="str">
        <f>'Ingreso codigo'!$E$6</f>
        <v>*3012905201921*</v>
      </c>
      <c r="C2" s="4" t="str">
        <f>'Ingreso codigo'!$E$7</f>
        <v>*3012905201922*</v>
      </c>
      <c r="D2" s="4" t="str">
        <f>'Ingreso codigo'!$E$8</f>
        <v>*3012905201923*</v>
      </c>
      <c r="E2" s="4" t="str">
        <f>'Ingreso codigo'!$E$9</f>
        <v>*3012905201924*</v>
      </c>
    </row>
    <row r="3" spans="1:5">
      <c r="A3" s="5" t="str">
        <f>'Ingreso codigo'!$E$5</f>
        <v>*3012905201920*</v>
      </c>
      <c r="B3" s="5" t="str">
        <f>'Ingreso codigo'!$E$6</f>
        <v>*3012905201921*</v>
      </c>
      <c r="C3" s="5" t="str">
        <f>'Ingreso codigo'!$E$7</f>
        <v>*3012905201922*</v>
      </c>
      <c r="D3" s="5" t="str">
        <f>'Ingreso codigo'!$E$8</f>
        <v>*3012905201923*</v>
      </c>
      <c r="E3" s="5" t="str">
        <f>'Ingreso codigo'!$E$9</f>
        <v>*3012905201924*</v>
      </c>
    </row>
    <row r="4" spans="1:5" s="3" customFormat="1">
      <c r="A4" s="8" t="str">
        <f>'Ingreso codigo'!$H$4&amp;" "&amp;'Ingreso codigo'!$G$5</f>
        <v>Kilos 0</v>
      </c>
      <c r="B4" s="8" t="str">
        <f>'Ingreso codigo'!$H$4&amp;" "&amp;'Ingreso codigo'!$G$6</f>
        <v>Kilos 0</v>
      </c>
      <c r="C4" s="8" t="str">
        <f>'Ingreso codigo'!$H$4&amp;" "&amp;'Ingreso codigo'!$G$7</f>
        <v>Kilos 0</v>
      </c>
      <c r="D4" s="8" t="str">
        <f>'Ingreso codigo'!$H$4&amp;" "&amp;'Ingreso codigo'!$G$8</f>
        <v>Kilos 0</v>
      </c>
      <c r="E4" s="8" t="str">
        <f>'Ingreso codigo'!$H$4&amp;" "&amp;'Ingreso codigo'!$G$9</f>
        <v>Kilos 0</v>
      </c>
    </row>
    <row r="5" spans="1:5">
      <c r="A5" s="7" t="str">
        <f>'Ingreso codigo'!$F$5</f>
        <v xml:space="preserve">CYAN SELECCIÓN </v>
      </c>
      <c r="B5" s="7" t="str">
        <f>'Ingreso codigo'!$F$6</f>
        <v xml:space="preserve">CYAN SELECCIÓN </v>
      </c>
      <c r="C5" s="7" t="str">
        <f>'Ingreso codigo'!$F$7</f>
        <v xml:space="preserve">CYAN SELECCIÓN </v>
      </c>
      <c r="D5" s="7" t="str">
        <f>'Ingreso codigo'!$F$8</f>
        <v xml:space="preserve">CYAN SELECCIÓN </v>
      </c>
      <c r="E5" s="7" t="str">
        <f>'Ingreso codigo'!$F$9</f>
        <v xml:space="preserve">CYAN SELECCIÓN </v>
      </c>
    </row>
    <row r="6" spans="1:5" ht="19.5">
      <c r="A6" s="4" t="str">
        <f>'Ingreso codigo'!$E$5</f>
        <v>*3012905201920*</v>
      </c>
      <c r="B6" s="4" t="str">
        <f>'Ingreso codigo'!$E$6</f>
        <v>*3012905201921*</v>
      </c>
      <c r="C6" s="4" t="str">
        <f>'Ingreso codigo'!$E$7</f>
        <v>*3012905201922*</v>
      </c>
      <c r="D6" s="4" t="str">
        <f>'Ingreso codigo'!$E$8</f>
        <v>*3012905201923*</v>
      </c>
      <c r="E6" s="4" t="str">
        <f>'Ingreso codigo'!$E$9</f>
        <v>*3012905201924*</v>
      </c>
    </row>
    <row r="7" spans="1:5">
      <c r="A7" s="5" t="str">
        <f>'Ingreso codigo'!$E$5</f>
        <v>*3012905201920*</v>
      </c>
      <c r="B7" s="5" t="str">
        <f>'Ingreso codigo'!$E$6</f>
        <v>*3012905201921*</v>
      </c>
      <c r="C7" s="5" t="str">
        <f>'Ingreso codigo'!$E$7</f>
        <v>*3012905201922*</v>
      </c>
      <c r="D7" s="5" t="str">
        <f>'Ingreso codigo'!$E$8</f>
        <v>*3012905201923*</v>
      </c>
      <c r="E7" s="5" t="str">
        <f>'Ingreso codigo'!$E$9</f>
        <v>*3012905201924*</v>
      </c>
    </row>
    <row r="8" spans="1:5">
      <c r="A8" s="8" t="str">
        <f>'Ingreso codigo'!$H$4&amp;" "&amp;'Ingreso codigo'!$G$5</f>
        <v>Kilos 0</v>
      </c>
      <c r="B8" s="8" t="str">
        <f>'Ingreso codigo'!$H$4&amp;" "&amp;'Ingreso codigo'!$G$6</f>
        <v>Kilos 0</v>
      </c>
      <c r="C8" s="8" t="str">
        <f>'Ingreso codigo'!$H$4&amp;" "&amp;'Ingreso codigo'!$G$7</f>
        <v>Kilos 0</v>
      </c>
      <c r="D8" s="8" t="str">
        <f>'Ingreso codigo'!$H$4&amp;" "&amp;'Ingreso codigo'!$G$8</f>
        <v>Kilos 0</v>
      </c>
      <c r="E8" s="8" t="str">
        <f>'Ingreso codigo'!$H$4&amp;" "&amp;'Ingreso codigo'!$G$9</f>
        <v>Kilos 0</v>
      </c>
    </row>
    <row r="9" spans="1:5">
      <c r="A9" s="7" t="str">
        <f>'Ingreso codigo'!$F$5</f>
        <v xml:space="preserve">CYAN SELECCIÓN </v>
      </c>
      <c r="B9" s="7" t="str">
        <f>'Ingreso codigo'!$F$6</f>
        <v xml:space="preserve">CYAN SELECCIÓN </v>
      </c>
      <c r="C9" s="7" t="str">
        <f>'Ingreso codigo'!$F$7</f>
        <v xml:space="preserve">CYAN SELECCIÓN </v>
      </c>
      <c r="D9" s="7" t="str">
        <f>'Ingreso codigo'!$F$8</f>
        <v xml:space="preserve">CYAN SELECCIÓN </v>
      </c>
      <c r="E9" s="7" t="str">
        <f>'Ingreso codigo'!$F$9</f>
        <v xml:space="preserve">CYAN SELECCIÓN </v>
      </c>
    </row>
    <row r="10" spans="1:5" ht="19.5">
      <c r="A10" s="4" t="str">
        <f>'Ingreso codigo'!$E$5</f>
        <v>*3012905201920*</v>
      </c>
      <c r="B10" s="4" t="str">
        <f>'Ingreso codigo'!$E$6</f>
        <v>*3012905201921*</v>
      </c>
      <c r="C10" s="4" t="str">
        <f>'Ingreso codigo'!$E$7</f>
        <v>*3012905201922*</v>
      </c>
      <c r="D10" s="4" t="str">
        <f>'Ingreso codigo'!$E$8</f>
        <v>*3012905201923*</v>
      </c>
      <c r="E10" s="4" t="str">
        <f>'Ingreso codigo'!$E$9</f>
        <v>*3012905201924*</v>
      </c>
    </row>
    <row r="11" spans="1:5">
      <c r="A11" s="5" t="str">
        <f>'Ingreso codigo'!$E$5</f>
        <v>*3012905201920*</v>
      </c>
      <c r="B11" s="5" t="str">
        <f>'Ingreso codigo'!$E$6</f>
        <v>*3012905201921*</v>
      </c>
      <c r="C11" s="5" t="str">
        <f>'Ingreso codigo'!$E$7</f>
        <v>*3012905201922*</v>
      </c>
      <c r="D11" s="5" t="str">
        <f>'Ingreso codigo'!$E$8</f>
        <v>*3012905201923*</v>
      </c>
      <c r="E11" s="5" t="str">
        <f>'Ingreso codigo'!$E$9</f>
        <v>*3012905201924*</v>
      </c>
    </row>
    <row r="12" spans="1:5">
      <c r="A12" s="8" t="str">
        <f>'Ingreso codigo'!$H$4&amp;" "&amp;'Ingreso codigo'!$G$5</f>
        <v>Kilos 0</v>
      </c>
      <c r="B12" s="8" t="str">
        <f>'Ingreso codigo'!$H$4&amp;" "&amp;'Ingreso codigo'!$G$6</f>
        <v>Kilos 0</v>
      </c>
      <c r="C12" s="8" t="str">
        <f>'Ingreso codigo'!$H$4&amp;" "&amp;'Ingreso codigo'!$G$7</f>
        <v>Kilos 0</v>
      </c>
      <c r="D12" s="8" t="str">
        <f>'Ingreso codigo'!$H$4&amp;" "&amp;'Ingreso codigo'!$G$8</f>
        <v>Kilos 0</v>
      </c>
      <c r="E12" s="8" t="str">
        <f>'Ingreso codigo'!$H$4&amp;" "&amp;'Ingreso codigo'!$G$9</f>
        <v>Kilos 0</v>
      </c>
    </row>
    <row r="13" spans="1:5">
      <c r="A13" s="7" t="str">
        <f>'Ingreso codigo'!$F$5</f>
        <v xml:space="preserve">CYAN SELECCIÓN </v>
      </c>
      <c r="B13" s="7" t="str">
        <f>'Ingreso codigo'!$F$6</f>
        <v xml:space="preserve">CYAN SELECCIÓN </v>
      </c>
      <c r="C13" s="7" t="str">
        <f>'Ingreso codigo'!$F$7</f>
        <v xml:space="preserve">CYAN SELECCIÓN </v>
      </c>
      <c r="D13" s="7" t="str">
        <f>'Ingreso codigo'!$F$8</f>
        <v xml:space="preserve">CYAN SELECCIÓN </v>
      </c>
      <c r="E13" s="7" t="str">
        <f>'Ingreso codigo'!$F$9</f>
        <v xml:space="preserve">CYAN SELECCIÓN </v>
      </c>
    </row>
    <row r="14" spans="1:5" ht="19.5">
      <c r="A14" s="4" t="str">
        <f>'Ingreso codigo'!$E$5</f>
        <v>*3012905201920*</v>
      </c>
      <c r="B14" s="4" t="str">
        <f>'Ingreso codigo'!$E$6</f>
        <v>*3012905201921*</v>
      </c>
      <c r="C14" s="4" t="str">
        <f>'Ingreso codigo'!$E$7</f>
        <v>*3012905201922*</v>
      </c>
      <c r="D14" s="4" t="str">
        <f>'Ingreso codigo'!$E$8</f>
        <v>*3012905201923*</v>
      </c>
      <c r="E14" s="4" t="str">
        <f>'Ingreso codigo'!$E$9</f>
        <v>*3012905201924*</v>
      </c>
    </row>
    <row r="15" spans="1:5">
      <c r="A15" s="5" t="str">
        <f>'Ingreso codigo'!$E$5</f>
        <v>*3012905201920*</v>
      </c>
      <c r="B15" s="5" t="str">
        <f>'Ingreso codigo'!$E$6</f>
        <v>*3012905201921*</v>
      </c>
      <c r="C15" s="5" t="str">
        <f>'Ingreso codigo'!$E$7</f>
        <v>*3012905201922*</v>
      </c>
      <c r="D15" s="5" t="str">
        <f>'Ingreso codigo'!$E$8</f>
        <v>*3012905201923*</v>
      </c>
      <c r="E15" s="5" t="str">
        <f>'Ingreso codigo'!$E$9</f>
        <v>*3012905201924*</v>
      </c>
    </row>
    <row r="16" spans="1:5">
      <c r="A16" s="8" t="str">
        <f>'Ingreso codigo'!$H$4&amp;" "&amp;'Ingreso codigo'!$G$5</f>
        <v>Kilos 0</v>
      </c>
      <c r="B16" s="8" t="str">
        <f>'Ingreso codigo'!$H$4&amp;" "&amp;'Ingreso codigo'!$G$6</f>
        <v>Kilos 0</v>
      </c>
      <c r="C16" s="8" t="str">
        <f>'Ingreso codigo'!$H$4&amp;" "&amp;'Ingreso codigo'!$G$7</f>
        <v>Kilos 0</v>
      </c>
      <c r="D16" s="8" t="str">
        <f>'Ingreso codigo'!$H$4&amp;" "&amp;'Ingreso codigo'!$G$8</f>
        <v>Kilos 0</v>
      </c>
      <c r="E16" s="8" t="str">
        <f>'Ingreso codigo'!$H$4&amp;" "&amp;'Ingreso codigo'!$G$9</f>
        <v>Kilos 0</v>
      </c>
    </row>
    <row r="17" spans="1:5">
      <c r="A17" s="7" t="str">
        <f>'Ingreso codigo'!$F$5</f>
        <v xml:space="preserve">CYAN SELECCIÓN </v>
      </c>
      <c r="B17" s="7" t="str">
        <f>'Ingreso codigo'!$F$6</f>
        <v xml:space="preserve">CYAN SELECCIÓN </v>
      </c>
      <c r="C17" s="7" t="str">
        <f>'Ingreso codigo'!$F$7</f>
        <v xml:space="preserve">CYAN SELECCIÓN </v>
      </c>
      <c r="D17" s="7" t="str">
        <f>'Ingreso codigo'!$F$8</f>
        <v xml:space="preserve">CYAN SELECCIÓN </v>
      </c>
      <c r="E17" s="7" t="str">
        <f>'Ingreso codigo'!$F$9</f>
        <v xml:space="preserve">CYAN SELECCIÓN </v>
      </c>
    </row>
    <row r="18" spans="1:5" ht="19.5">
      <c r="A18" s="4" t="str">
        <f>'Ingreso codigo'!$E$5</f>
        <v>*3012905201920*</v>
      </c>
      <c r="B18" s="4" t="str">
        <f>'Ingreso codigo'!$E$6</f>
        <v>*3012905201921*</v>
      </c>
      <c r="C18" s="4" t="str">
        <f>'Ingreso codigo'!$E$7</f>
        <v>*3012905201922*</v>
      </c>
      <c r="D18" s="4" t="str">
        <f>'Ingreso codigo'!$E$8</f>
        <v>*3012905201923*</v>
      </c>
      <c r="E18" s="4" t="str">
        <f>'Ingreso codigo'!$E$9</f>
        <v>*3012905201924*</v>
      </c>
    </row>
    <row r="19" spans="1:5">
      <c r="A19" s="5" t="str">
        <f>'Ingreso codigo'!$E$5</f>
        <v>*3012905201920*</v>
      </c>
      <c r="B19" s="5" t="str">
        <f>'Ingreso codigo'!$E$6</f>
        <v>*3012905201921*</v>
      </c>
      <c r="C19" s="5" t="str">
        <f>'Ingreso codigo'!$E$7</f>
        <v>*3012905201922*</v>
      </c>
      <c r="D19" s="5" t="str">
        <f>'Ingreso codigo'!$E$8</f>
        <v>*3012905201923*</v>
      </c>
      <c r="E19" s="5" t="str">
        <f>'Ingreso codigo'!$E$9</f>
        <v>*3012905201924*</v>
      </c>
    </row>
    <row r="20" spans="1:5">
      <c r="A20" s="8" t="str">
        <f>'Ingreso codigo'!$H$4&amp;" "&amp;'Ingreso codigo'!$G$5</f>
        <v>Kilos 0</v>
      </c>
      <c r="B20" s="8" t="str">
        <f>'Ingreso codigo'!$H$4&amp;" "&amp;'Ingreso codigo'!$G$6</f>
        <v>Kilos 0</v>
      </c>
      <c r="C20" s="8" t="str">
        <f>'Ingreso codigo'!$H$4&amp;" "&amp;'Ingreso codigo'!$G$7</f>
        <v>Kilos 0</v>
      </c>
      <c r="D20" s="8" t="str">
        <f>'Ingreso codigo'!$H$4&amp;" "&amp;'Ingreso codigo'!$G$8</f>
        <v>Kilos 0</v>
      </c>
      <c r="E20" s="8" t="str">
        <f>'Ingreso codigo'!$H$4&amp;" "&amp;'Ingreso codigo'!$G$9</f>
        <v>Kilos 0</v>
      </c>
    </row>
    <row r="21" spans="1:5">
      <c r="A21" s="7" t="str">
        <f>'Ingreso codigo'!$F$5</f>
        <v xml:space="preserve">CYAN SELECCIÓN </v>
      </c>
      <c r="B21" s="7" t="str">
        <f>'Ingreso codigo'!$F$6</f>
        <v xml:space="preserve">CYAN SELECCIÓN </v>
      </c>
      <c r="C21" s="7" t="str">
        <f>'Ingreso codigo'!$F$7</f>
        <v xml:space="preserve">CYAN SELECCIÓN </v>
      </c>
      <c r="D21" s="7" t="str">
        <f>'Ingreso codigo'!$F$8</f>
        <v xml:space="preserve">CYAN SELECCIÓN </v>
      </c>
      <c r="E21" s="7" t="str">
        <f>'Ingreso codigo'!$F$9</f>
        <v xml:space="preserve">CYAN SELECCIÓN </v>
      </c>
    </row>
    <row r="22" spans="1:5" ht="19.5">
      <c r="A22" s="4" t="str">
        <f>'Ingreso codigo'!$E$5</f>
        <v>*3012905201920*</v>
      </c>
      <c r="B22" s="4" t="str">
        <f>'Ingreso codigo'!$E$6</f>
        <v>*3012905201921*</v>
      </c>
      <c r="C22" s="4" t="str">
        <f>'Ingreso codigo'!$E$7</f>
        <v>*3012905201922*</v>
      </c>
      <c r="D22" s="4" t="str">
        <f>'Ingreso codigo'!$E$8</f>
        <v>*3012905201923*</v>
      </c>
      <c r="E22" s="4" t="str">
        <f>'Ingreso codigo'!$E$9</f>
        <v>*3012905201924*</v>
      </c>
    </row>
    <row r="23" spans="1:5">
      <c r="A23" s="5" t="str">
        <f>'Ingreso codigo'!$E$5</f>
        <v>*3012905201920*</v>
      </c>
      <c r="B23" s="5" t="str">
        <f>'Ingreso codigo'!$E$6</f>
        <v>*3012905201921*</v>
      </c>
      <c r="C23" s="5" t="str">
        <f>'Ingreso codigo'!$E$7</f>
        <v>*3012905201922*</v>
      </c>
      <c r="D23" s="5" t="str">
        <f>'Ingreso codigo'!$E$8</f>
        <v>*3012905201923*</v>
      </c>
      <c r="E23" s="5" t="str">
        <f>'Ingreso codigo'!$E$9</f>
        <v>*3012905201924*</v>
      </c>
    </row>
    <row r="24" spans="1:5">
      <c r="A24" s="8" t="str">
        <f>'Ingreso codigo'!$H$4&amp;" "&amp;'Ingreso codigo'!$G$5</f>
        <v>Kilos 0</v>
      </c>
      <c r="B24" s="8" t="str">
        <f>'Ingreso codigo'!$H$4&amp;" "&amp;'Ingreso codigo'!$G$6</f>
        <v>Kilos 0</v>
      </c>
      <c r="C24" s="8" t="str">
        <f>'Ingreso codigo'!$H$4&amp;" "&amp;'Ingreso codigo'!$G$7</f>
        <v>Kilos 0</v>
      </c>
      <c r="D24" s="8" t="str">
        <f>'Ingreso codigo'!$H$4&amp;" "&amp;'Ingreso codigo'!$G$8</f>
        <v>Kilos 0</v>
      </c>
      <c r="E24" s="8" t="str">
        <f>'Ingreso codigo'!$H$4&amp;" "&amp;'Ingreso codigo'!$G$9</f>
        <v>Kilos 0</v>
      </c>
    </row>
    <row r="25" spans="1:5">
      <c r="A25" s="7" t="str">
        <f>'Ingreso codigo'!$F$5</f>
        <v xml:space="preserve">CYAN SELECCIÓN </v>
      </c>
      <c r="B25" s="7" t="str">
        <f>'Ingreso codigo'!$F$6</f>
        <v xml:space="preserve">CYAN SELECCIÓN </v>
      </c>
      <c r="C25" s="7" t="str">
        <f>'Ingreso codigo'!$F$7</f>
        <v xml:space="preserve">CYAN SELECCIÓN </v>
      </c>
      <c r="D25" s="7" t="str">
        <f>'Ingreso codigo'!$F$8</f>
        <v xml:space="preserve">CYAN SELECCIÓN </v>
      </c>
      <c r="E25" s="7" t="str">
        <f>'Ingreso codigo'!$F$9</f>
        <v xml:space="preserve">CYAN SELECCIÓN </v>
      </c>
    </row>
    <row r="26" spans="1:5" ht="19.5">
      <c r="A26" s="4" t="str">
        <f>'Ingreso codigo'!$E$5</f>
        <v>*3012905201920*</v>
      </c>
      <c r="B26" s="4" t="str">
        <f>'Ingreso codigo'!$E$6</f>
        <v>*3012905201921*</v>
      </c>
      <c r="C26" s="4" t="str">
        <f>'Ingreso codigo'!$E$7</f>
        <v>*3012905201922*</v>
      </c>
      <c r="D26" s="4" t="str">
        <f>'Ingreso codigo'!$E$8</f>
        <v>*3012905201923*</v>
      </c>
      <c r="E26" s="4" t="str">
        <f>'Ingreso codigo'!$E$9</f>
        <v>*3012905201924*</v>
      </c>
    </row>
    <row r="27" spans="1:5">
      <c r="A27" s="5" t="str">
        <f>'Ingreso codigo'!$E$5</f>
        <v>*3012905201920*</v>
      </c>
      <c r="B27" s="5" t="str">
        <f>'Ingreso codigo'!$E$6</f>
        <v>*3012905201921*</v>
      </c>
      <c r="C27" s="5" t="str">
        <f>'Ingreso codigo'!$E$7</f>
        <v>*3012905201922*</v>
      </c>
      <c r="D27" s="5" t="str">
        <f>'Ingreso codigo'!$E$8</f>
        <v>*3012905201923*</v>
      </c>
      <c r="E27" s="5" t="str">
        <f>'Ingreso codigo'!$E$9</f>
        <v>*3012905201924*</v>
      </c>
    </row>
    <row r="28" spans="1:5">
      <c r="A28" s="8" t="str">
        <f>'Ingreso codigo'!$H$4&amp;" "&amp;'Ingreso codigo'!$G$5</f>
        <v>Kilos 0</v>
      </c>
      <c r="B28" s="8" t="str">
        <f>'Ingreso codigo'!$H$4&amp;" "&amp;'Ingreso codigo'!$G$6</f>
        <v>Kilos 0</v>
      </c>
      <c r="C28" s="8" t="str">
        <f>'Ingreso codigo'!$H$4&amp;" "&amp;'Ingreso codigo'!$G$7</f>
        <v>Kilos 0</v>
      </c>
      <c r="D28" s="8" t="str">
        <f>'Ingreso codigo'!$H$4&amp;" "&amp;'Ingreso codigo'!$G$8</f>
        <v>Kilos 0</v>
      </c>
      <c r="E28" s="8" t="str">
        <f>'Ingreso codigo'!$H$4&amp;" "&amp;'Ingreso codigo'!$G$9</f>
        <v>Kilos 0</v>
      </c>
    </row>
    <row r="29" spans="1:5">
      <c r="A29" s="7" t="str">
        <f>'Ingreso codigo'!$F$5</f>
        <v xml:space="preserve">CYAN SELECCIÓN </v>
      </c>
      <c r="B29" s="7" t="str">
        <f>'Ingreso codigo'!$F$6</f>
        <v xml:space="preserve">CYAN SELECCIÓN </v>
      </c>
      <c r="C29" s="7" t="str">
        <f>'Ingreso codigo'!$F$7</f>
        <v xml:space="preserve">CYAN SELECCIÓN </v>
      </c>
      <c r="D29" s="7" t="str">
        <f>'Ingreso codigo'!$F$8</f>
        <v xml:space="preserve">CYAN SELECCIÓN </v>
      </c>
      <c r="E29" s="7" t="str">
        <f>'Ingreso codigo'!$F$9</f>
        <v xml:space="preserve">CYAN SELECCIÓN </v>
      </c>
    </row>
    <row r="30" spans="1:5" ht="19.5">
      <c r="A30" s="4" t="str">
        <f>'Ingreso codigo'!$E$5</f>
        <v>*3012905201920*</v>
      </c>
      <c r="B30" s="4" t="str">
        <f>'Ingreso codigo'!$E$6</f>
        <v>*3012905201921*</v>
      </c>
      <c r="C30" s="4" t="str">
        <f>'Ingreso codigo'!$E$7</f>
        <v>*3012905201922*</v>
      </c>
      <c r="D30" s="4" t="str">
        <f>'Ingreso codigo'!$E$8</f>
        <v>*3012905201923*</v>
      </c>
      <c r="E30" s="4" t="str">
        <f>'Ingreso codigo'!$E$9</f>
        <v>*3012905201924*</v>
      </c>
    </row>
    <row r="31" spans="1:5">
      <c r="A31" s="5" t="str">
        <f>'Ingreso codigo'!$E$5</f>
        <v>*3012905201920*</v>
      </c>
      <c r="B31" s="5" t="str">
        <f>'Ingreso codigo'!$E$6</f>
        <v>*3012905201921*</v>
      </c>
      <c r="C31" s="5" t="str">
        <f>'Ingreso codigo'!$E$7</f>
        <v>*3012905201922*</v>
      </c>
      <c r="D31" s="5" t="str">
        <f>'Ingreso codigo'!$E$8</f>
        <v>*3012905201923*</v>
      </c>
      <c r="E31" s="5" t="str">
        <f>'Ingreso codigo'!$E$9</f>
        <v>*3012905201924*</v>
      </c>
    </row>
    <row r="32" spans="1:5">
      <c r="A32" s="8" t="str">
        <f>'Ingreso codigo'!$H$4&amp;" "&amp;'Ingreso codigo'!$G$5</f>
        <v>Kilos 0</v>
      </c>
      <c r="B32" s="8" t="str">
        <f>'Ingreso codigo'!$H$4&amp;" "&amp;'Ingreso codigo'!$G$6</f>
        <v>Kilos 0</v>
      </c>
      <c r="C32" s="8" t="str">
        <f>'Ingreso codigo'!$H$4&amp;" "&amp;'Ingreso codigo'!$G$7</f>
        <v>Kilos 0</v>
      </c>
      <c r="D32" s="8" t="str">
        <f>'Ingreso codigo'!$H$4&amp;" "&amp;'Ingreso codigo'!$G$8</f>
        <v>Kilos 0</v>
      </c>
      <c r="E32" s="8" t="str">
        <f>'Ingreso codigo'!$H$4&amp;" "&amp;'Ingreso codigo'!$G$9</f>
        <v>Kilos 0</v>
      </c>
    </row>
    <row r="33" spans="1:5">
      <c r="A33" s="7" t="str">
        <f>'Ingreso codigo'!$F$5</f>
        <v xml:space="preserve">CYAN SELECCIÓN </v>
      </c>
      <c r="B33" s="7" t="str">
        <f>'Ingreso codigo'!$F$6</f>
        <v xml:space="preserve">CYAN SELECCIÓN </v>
      </c>
      <c r="C33" s="7" t="str">
        <f>'Ingreso codigo'!$F$7</f>
        <v xml:space="preserve">CYAN SELECCIÓN </v>
      </c>
      <c r="D33" s="7" t="str">
        <f>'Ingreso codigo'!$F$8</f>
        <v xml:space="preserve">CYAN SELECCIÓN </v>
      </c>
      <c r="E33" s="7" t="str">
        <f>'Ingreso codigo'!$F$9</f>
        <v xml:space="preserve">CYAN SELECCIÓN </v>
      </c>
    </row>
    <row r="34" spans="1:5" ht="19.5">
      <c r="A34" s="4" t="str">
        <f>'Ingreso codigo'!$E$5</f>
        <v>*3012905201920*</v>
      </c>
      <c r="B34" s="4" t="str">
        <f>'Ingreso codigo'!$E$6</f>
        <v>*3012905201921*</v>
      </c>
      <c r="C34" s="4" t="str">
        <f>'Ingreso codigo'!$E$7</f>
        <v>*3012905201922*</v>
      </c>
      <c r="D34" s="4" t="str">
        <f>'Ingreso codigo'!$E$8</f>
        <v>*3012905201923*</v>
      </c>
      <c r="E34" s="4" t="str">
        <f>'Ingreso codigo'!$E$9</f>
        <v>*3012905201924*</v>
      </c>
    </row>
    <row r="35" spans="1:5">
      <c r="A35" s="5" t="str">
        <f>'Ingreso codigo'!$E$5</f>
        <v>*3012905201920*</v>
      </c>
      <c r="B35" s="5" t="str">
        <f>'Ingreso codigo'!$E$6</f>
        <v>*3012905201921*</v>
      </c>
      <c r="C35" s="5" t="str">
        <f>'Ingreso codigo'!$E$7</f>
        <v>*3012905201922*</v>
      </c>
      <c r="D35" s="5" t="str">
        <f>'Ingreso codigo'!$E$8</f>
        <v>*3012905201923*</v>
      </c>
      <c r="E35" s="5" t="str">
        <f>'Ingreso codigo'!$E$9</f>
        <v>*3012905201924*</v>
      </c>
    </row>
    <row r="36" spans="1:5">
      <c r="A36" s="8" t="str">
        <f>'Ingreso codigo'!$H$4&amp;" "&amp;'Ingreso codigo'!$G$5</f>
        <v>Kilos 0</v>
      </c>
      <c r="B36" s="8" t="str">
        <f>'Ingreso codigo'!$H$4&amp;" "&amp;'Ingreso codigo'!$G$6</f>
        <v>Kilos 0</v>
      </c>
      <c r="C36" s="8" t="str">
        <f>'Ingreso codigo'!$H$4&amp;" "&amp;'Ingreso codigo'!$G$7</f>
        <v>Kilos 0</v>
      </c>
      <c r="D36" s="8" t="str">
        <f>'Ingreso codigo'!$H$4&amp;" "&amp;'Ingreso codigo'!$G$8</f>
        <v>Kilos 0</v>
      </c>
      <c r="E36" s="8" t="str">
        <f>'Ingreso codigo'!$H$4&amp;" "&amp;'Ingreso codigo'!$G$9</f>
        <v>Kilos 0</v>
      </c>
    </row>
    <row r="37" spans="1:5">
      <c r="A37" s="7" t="str">
        <f>'Ingreso codigo'!$F$5</f>
        <v xml:space="preserve">CYAN SELECCIÓN </v>
      </c>
      <c r="B37" s="7" t="str">
        <f>'Ingreso codigo'!$F$6</f>
        <v xml:space="preserve">CYAN SELECCIÓN </v>
      </c>
      <c r="C37" s="7" t="str">
        <f>'Ingreso codigo'!$F$7</f>
        <v xml:space="preserve">CYAN SELECCIÓN </v>
      </c>
      <c r="D37" s="7" t="str">
        <f>'Ingreso codigo'!$F$8</f>
        <v xml:space="preserve">CYAN SELECCIÓN </v>
      </c>
      <c r="E37" s="7" t="str">
        <f>'Ingreso codigo'!$F$9</f>
        <v xml:space="preserve">CYAN SELECCIÓN </v>
      </c>
    </row>
    <row r="38" spans="1:5" ht="19.5">
      <c r="A38" s="4" t="str">
        <f>'Ingreso codigo'!$E$5</f>
        <v>*3012905201920*</v>
      </c>
      <c r="B38" s="4" t="str">
        <f>'Ingreso codigo'!$E$6</f>
        <v>*3012905201921*</v>
      </c>
      <c r="C38" s="4" t="str">
        <f>'Ingreso codigo'!$E$7</f>
        <v>*3012905201922*</v>
      </c>
      <c r="D38" s="4" t="str">
        <f>'Ingreso codigo'!$E$8</f>
        <v>*3012905201923*</v>
      </c>
      <c r="E38" s="4" t="str">
        <f>'Ingreso codigo'!$E$9</f>
        <v>*3012905201924*</v>
      </c>
    </row>
    <row r="39" spans="1:5">
      <c r="A39" s="5" t="str">
        <f>'Ingreso codigo'!$E$5</f>
        <v>*3012905201920*</v>
      </c>
      <c r="B39" s="5" t="str">
        <f>'Ingreso codigo'!$E$6</f>
        <v>*3012905201921*</v>
      </c>
      <c r="C39" s="5" t="str">
        <f>'Ingreso codigo'!$E$7</f>
        <v>*3012905201922*</v>
      </c>
      <c r="D39" s="5" t="str">
        <f>'Ingreso codigo'!$E$8</f>
        <v>*3012905201923*</v>
      </c>
      <c r="E39" s="5" t="str">
        <f>'Ingreso codigo'!$E$9</f>
        <v>*3012905201924*</v>
      </c>
    </row>
    <row r="40" spans="1:5">
      <c r="A40" s="8" t="str">
        <f>'Ingreso codigo'!$H$4&amp;" "&amp;'Ingreso codigo'!$G$5</f>
        <v>Kilos 0</v>
      </c>
      <c r="B40" s="8" t="str">
        <f>'Ingreso codigo'!$H$4&amp;" "&amp;'Ingreso codigo'!$G$6</f>
        <v>Kilos 0</v>
      </c>
      <c r="C40" s="8" t="str">
        <f>'Ingreso codigo'!$H$4&amp;" "&amp;'Ingreso codigo'!$G$7</f>
        <v>Kilos 0</v>
      </c>
      <c r="D40" s="8" t="str">
        <f>'Ingreso codigo'!$H$4&amp;" "&amp;'Ingreso codigo'!$G$8</f>
        <v>Kilos 0</v>
      </c>
      <c r="E40" s="8" t="str">
        <f>'Ingreso codigo'!$H$4&amp;" "&amp;'Ingreso codigo'!$G$9</f>
        <v>Kilos 0</v>
      </c>
    </row>
    <row r="41" spans="1:5">
      <c r="A41" s="7" t="str">
        <f>'Ingreso codigo'!$F$5</f>
        <v xml:space="preserve">CYAN SELECCIÓN </v>
      </c>
      <c r="B41" s="7" t="str">
        <f>'Ingreso codigo'!$F$6</f>
        <v xml:space="preserve">CYAN SELECCIÓN </v>
      </c>
      <c r="C41" s="7" t="str">
        <f>'Ingreso codigo'!$F$7</f>
        <v xml:space="preserve">CYAN SELECCIÓN </v>
      </c>
      <c r="D41" s="7" t="str">
        <f>'Ingreso codigo'!$F$8</f>
        <v xml:space="preserve">CYAN SELECCIÓN </v>
      </c>
      <c r="E41" s="7" t="str">
        <f>'Ingreso codigo'!$F$9</f>
        <v xml:space="preserve">CYAN SELECCIÓN </v>
      </c>
    </row>
    <row r="42" spans="1:5" ht="19.5">
      <c r="A42" s="4" t="str">
        <f>'Ingreso codigo'!$E$5</f>
        <v>*3012905201920*</v>
      </c>
      <c r="B42" s="4" t="str">
        <f>'Ingreso codigo'!$E$6</f>
        <v>*3012905201921*</v>
      </c>
      <c r="C42" s="4" t="str">
        <f>'Ingreso codigo'!$E$7</f>
        <v>*3012905201922*</v>
      </c>
      <c r="D42" s="4" t="str">
        <f>'Ingreso codigo'!$E$8</f>
        <v>*3012905201923*</v>
      </c>
      <c r="E42" s="4" t="str">
        <f>'Ingreso codigo'!$E$9</f>
        <v>*3012905201924*</v>
      </c>
    </row>
    <row r="43" spans="1:5">
      <c r="A43" s="5" t="str">
        <f>'Ingreso codigo'!$E$5</f>
        <v>*3012905201920*</v>
      </c>
      <c r="B43" s="5" t="str">
        <f>'Ingreso codigo'!$E$6</f>
        <v>*3012905201921*</v>
      </c>
      <c r="C43" s="5" t="str">
        <f>'Ingreso codigo'!$E$7</f>
        <v>*3012905201922*</v>
      </c>
      <c r="D43" s="5" t="str">
        <f>'Ingreso codigo'!$E$8</f>
        <v>*3012905201923*</v>
      </c>
      <c r="E43" s="5" t="str">
        <f>'Ingreso codigo'!$E$9</f>
        <v>*3012905201924*</v>
      </c>
    </row>
    <row r="44" spans="1:5">
      <c r="A44" s="8" t="str">
        <f>'Ingreso codigo'!$H$4&amp;" "&amp;'Ingreso codigo'!$G$5</f>
        <v>Kilos 0</v>
      </c>
      <c r="B44" s="8" t="str">
        <f>'Ingreso codigo'!$H$4&amp;" "&amp;'Ingreso codigo'!$G$6</f>
        <v>Kilos 0</v>
      </c>
      <c r="C44" s="8" t="str">
        <f>'Ingreso codigo'!$H$4&amp;" "&amp;'Ingreso codigo'!$G$7</f>
        <v>Kilos 0</v>
      </c>
      <c r="D44" s="8" t="str">
        <f>'Ingreso codigo'!$H$4&amp;" "&amp;'Ingreso codigo'!$G$8</f>
        <v>Kilos 0</v>
      </c>
      <c r="E44" s="8" t="str">
        <f>'Ingreso codigo'!$H$4&amp;" "&amp;'Ingreso codigo'!$G$9</f>
        <v>Kilos 0</v>
      </c>
    </row>
  </sheetData>
  <pageMargins left="0.25" right="0.25" top="0.75" bottom="0.75" header="0.3" footer="0.3"/>
  <pageSetup orientation="portrait" horizontalDpi="4294967293" verticalDpi="4294967293" r:id="rId1"/>
  <ignoredErrors>
    <ignoredError sqref="B1:B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de datos</vt:lpstr>
      <vt:lpstr>Ingreso codigo</vt:lpstr>
      <vt:lpstr>Imp. 1 item pagina</vt:lpstr>
      <vt:lpstr>Hoja1</vt:lpstr>
      <vt:lpstr>imp. 3 item pagina</vt:lpstr>
      <vt:lpstr>Imp. 5 item pagina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</dc:creator>
  <cp:lastModifiedBy>Almacen</cp:lastModifiedBy>
  <cp:lastPrinted>2019-05-29T22:12:54Z</cp:lastPrinted>
  <dcterms:created xsi:type="dcterms:W3CDTF">2015-04-03T16:27:55Z</dcterms:created>
  <dcterms:modified xsi:type="dcterms:W3CDTF">2019-05-30T20:23:59Z</dcterms:modified>
</cp:coreProperties>
</file>