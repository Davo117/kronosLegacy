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62\kronos\Kronos_Sys\Documentos\"/>
    </mc:Choice>
  </mc:AlternateContent>
  <bookViews>
    <workbookView xWindow="0" yWindow="0" windowWidth="25125" windowHeight="13425"/>
  </bookViews>
  <sheets>
    <sheet name="Productos" sheetId="15" r:id="rId1"/>
    <sheet name="Pantones" sheetId="16" r:id="rId2"/>
  </sheets>
  <definedNames>
    <definedName name="_xlnm._FilterDatabase" localSheetId="1" hidden="1">Pantones!$A$1:$C$56</definedName>
    <definedName name="_xlnm._FilterDatabase" localSheetId="0" hidden="1">Productos!$A$1:$AB$30</definedName>
  </definedNames>
  <calcPr calcId="152511"/>
</workbook>
</file>

<file path=xl/calcChain.xml><?xml version="1.0" encoding="utf-8"?>
<calcChain xmlns="http://schemas.openxmlformats.org/spreadsheetml/2006/main">
  <c r="P30" i="15" l="1"/>
  <c r="P29" i="15"/>
  <c r="P28" i="15"/>
  <c r="P27" i="15"/>
  <c r="P26" i="15"/>
  <c r="P25" i="15"/>
  <c r="P24" i="15"/>
  <c r="P23" i="15"/>
  <c r="P17" i="15"/>
  <c r="P16" i="15"/>
  <c r="P14" i="15"/>
  <c r="P13" i="15"/>
  <c r="P12" i="15"/>
  <c r="P11" i="15"/>
  <c r="P10" i="15"/>
  <c r="P9" i="15"/>
  <c r="P8" i="15"/>
  <c r="P7" i="15"/>
  <c r="P6" i="15"/>
  <c r="P5" i="15"/>
  <c r="P4" i="15"/>
  <c r="P3" i="15"/>
  <c r="D7" i="15"/>
  <c r="D9" i="15"/>
  <c r="D30" i="15" l="1"/>
  <c r="D29" i="15"/>
  <c r="D28" i="15"/>
  <c r="D27" i="15"/>
  <c r="R17" i="15" l="1"/>
  <c r="R18" i="15"/>
  <c r="R16" i="15"/>
  <c r="D21" i="15" l="1"/>
  <c r="D23" i="15"/>
  <c r="D25" i="15"/>
  <c r="D24" i="15"/>
  <c r="D18" i="15"/>
  <c r="D14" i="15"/>
  <c r="D13" i="15"/>
  <c r="D12" i="15"/>
  <c r="D11" i="15"/>
  <c r="D10" i="15"/>
  <c r="D8" i="15"/>
  <c r="D6" i="15"/>
  <c r="D5" i="15"/>
  <c r="D4" i="15"/>
  <c r="D3" i="15"/>
  <c r="D17" i="15" l="1"/>
  <c r="D16" i="15"/>
  <c r="D22" i="15" l="1"/>
  <c r="D20" i="15"/>
  <c r="D19" i="15"/>
</calcChain>
</file>

<file path=xl/sharedStrings.xml><?xml version="1.0" encoding="utf-8"?>
<sst xmlns="http://schemas.openxmlformats.org/spreadsheetml/2006/main" count="405" uniqueCount="138">
  <si>
    <t>Sustrato</t>
  </si>
  <si>
    <t>Holograma</t>
  </si>
  <si>
    <t>Diseño</t>
  </si>
  <si>
    <t>Impresión</t>
  </si>
  <si>
    <t>Bevi</t>
  </si>
  <si>
    <t>Pantone</t>
  </si>
  <si>
    <t>Consumo</t>
  </si>
  <si>
    <t>Coca-cola</t>
  </si>
  <si>
    <t>Pantone Black C</t>
  </si>
  <si>
    <t>Comex</t>
  </si>
  <si>
    <t>Thinner Americano 960 ml 274.5x127mm</t>
  </si>
  <si>
    <t>Thinner Meridian 960ml 274.5x127mm</t>
  </si>
  <si>
    <t>Thinner Estandar 500 ml 230x85mm</t>
  </si>
  <si>
    <t>Gasolina Blanca 960ml 274.5x127mm</t>
  </si>
  <si>
    <t>Disolvente</t>
  </si>
  <si>
    <t>Cristal Estrella3 107x70mm</t>
  </si>
  <si>
    <t>Cristal Estrella3 C/Leyenda 107x70mm</t>
  </si>
  <si>
    <t>Cristal Gota3 107x70mm</t>
  </si>
  <si>
    <t>Cristal 600ml agua purificada 216x42.5mm</t>
  </si>
  <si>
    <t>cristal</t>
  </si>
  <si>
    <t>epura</t>
  </si>
  <si>
    <t>generico gepp</t>
  </si>
  <si>
    <t>Adhesivo</t>
  </si>
  <si>
    <t>Laminado</t>
  </si>
  <si>
    <t>Acabado</t>
  </si>
  <si>
    <t xml:space="preserve">Sello/2 Termoencogible BEVI </t>
  </si>
  <si>
    <t>Thinner Estandar3 960 ml 274.5x127mm</t>
  </si>
  <si>
    <t>Coca-Cola 1.25L Sin azucar ensal. 294.5x64.5</t>
  </si>
  <si>
    <t>Coca-Cola 1.25L Clasica ensal.294.5x64.5</t>
  </si>
  <si>
    <t>Coca-Cola 1.25L Orig.Menos Azucar Fam.Fooding 294.5x64.5</t>
  </si>
  <si>
    <t>Generico Gepp3 108x75mm Blanco</t>
  </si>
  <si>
    <t>Generico Gepp3 97x68mm Blanco</t>
  </si>
  <si>
    <t>Generico Gepp3 97x74mm Blanco</t>
  </si>
  <si>
    <t xml:space="preserve">Generico Gepp3 97x74mm Blanco Punteado solo corte </t>
  </si>
  <si>
    <t>Poly Form alcohol 960ml 274.5x127 (Tinta al alcohol)</t>
  </si>
  <si>
    <t>Aguarrás sintético 500ml 230x85</t>
  </si>
  <si>
    <t>Coca-Cola 2.5L menos azucar 369x81mm</t>
  </si>
  <si>
    <t>Cristal</t>
  </si>
  <si>
    <t>Genérico Gepp</t>
  </si>
  <si>
    <t>Process White C Alto</t>
  </si>
  <si>
    <t>Pantone Coke Red</t>
  </si>
  <si>
    <t>Pantone Cool Gray 8C</t>
  </si>
  <si>
    <t>Pantone Cool Gray 3C</t>
  </si>
  <si>
    <t>Pantone Cool Gray 11C</t>
  </si>
  <si>
    <t>pantone 294 c Gota 3</t>
  </si>
  <si>
    <t>pantone 305 c Gota 3</t>
  </si>
  <si>
    <t>pantone 2945 C Gota3</t>
  </si>
  <si>
    <t>pantone 286 c Estrella 3</t>
  </si>
  <si>
    <t>Pantone Warm Gray 4 C Estrella 3</t>
  </si>
  <si>
    <t>pantone 2935 c Estrella 3</t>
  </si>
  <si>
    <t>Process White C Alto Cristal / Estrella 3</t>
  </si>
  <si>
    <t>pantone 2147 c Epura 88</t>
  </si>
  <si>
    <t>pantone 432 c Trupper 90</t>
  </si>
  <si>
    <t>Process Black C Trupper 90</t>
  </si>
  <si>
    <t>pantone 165 c Trupper 90</t>
  </si>
  <si>
    <t>Process White C Alto Tinta al Aceite</t>
  </si>
  <si>
    <t xml:space="preserve">Pantone 307 C Tinta al aceite </t>
  </si>
  <si>
    <t xml:space="preserve">Pantone Red 032 C Tinta al aceite </t>
  </si>
  <si>
    <t xml:space="preserve">Pantone 478 C Tinta al aceite </t>
  </si>
  <si>
    <t xml:space="preserve">Process Magenta Tinta al aceite </t>
  </si>
  <si>
    <t xml:space="preserve">Process Yellow Tinta al aceite </t>
  </si>
  <si>
    <t xml:space="preserve">Process Black C Tinta al aceite </t>
  </si>
  <si>
    <t>Pantone Red 032 C Tinta al alcohol</t>
  </si>
  <si>
    <t>pantone 167 C Tinta al alcohol</t>
  </si>
  <si>
    <t>Process Cian C Tinta al alcohol</t>
  </si>
  <si>
    <t>Process Magenta Tinta al alcohol</t>
  </si>
  <si>
    <t>Process Black Tinta al alcohol</t>
  </si>
  <si>
    <t>Process Yellow Tinta al alcohol</t>
  </si>
  <si>
    <t>Process White C Alto Epura 88</t>
  </si>
  <si>
    <t>Process Cian C Thinner Meridian</t>
  </si>
  <si>
    <t xml:space="preserve">Pantone Red 032 C Thinner Meridian </t>
  </si>
  <si>
    <t>Process Black C Thinner Meridian</t>
  </si>
  <si>
    <t>Process Yellow C Thinner Meridian</t>
  </si>
  <si>
    <t>Pantone 689 C Thinner Meridian</t>
  </si>
  <si>
    <t xml:space="preserve">Pantone Red 032 C Thinner Estandar </t>
  </si>
  <si>
    <t>Process Cian C Thinner Estandar</t>
  </si>
  <si>
    <t>Pantone 400 C Thinner Estandar</t>
  </si>
  <si>
    <t xml:space="preserve">Process Yellow Thinner Estandar </t>
  </si>
  <si>
    <t xml:space="preserve">Process Black C Thinner Estandar </t>
  </si>
  <si>
    <t xml:space="preserve">Process Cian C Gasolina Blanca </t>
  </si>
  <si>
    <t>Pantone Red 032 C Gasolina Blanca</t>
  </si>
  <si>
    <t>Process Yellow C Gasolina Blanca</t>
  </si>
  <si>
    <t xml:space="preserve">Process Black C Gasolina Blanca </t>
  </si>
  <si>
    <t>Pantone 400 C Gasolina Blanca</t>
  </si>
  <si>
    <t xml:space="preserve">Pantone 617 C Gasolina Blanca </t>
  </si>
  <si>
    <t>Pantone 2945 C Genérico Gepp</t>
  </si>
  <si>
    <t>Pantone 7483 C Genérico Gepp</t>
  </si>
  <si>
    <t>Process Cian C Genérico Gepp</t>
  </si>
  <si>
    <t>Pantone 185 C Genérico Gepp</t>
  </si>
  <si>
    <t>Process Magenta C Genérico Gepp</t>
  </si>
  <si>
    <t xml:space="preserve">Process White C Alto C Genérico Gepp </t>
  </si>
  <si>
    <t>Process Yellow Genérico Gepp</t>
  </si>
  <si>
    <t>Poly Form alcohol 480ml 274.5x127 (Tinta al alcohol)</t>
  </si>
  <si>
    <t xml:space="preserve">Poly Form aceite 960ml 274.5x127 (Tinta al aceite) </t>
  </si>
  <si>
    <t>Rasqueta</t>
  </si>
  <si>
    <t xml:space="preserve">Solvente </t>
  </si>
  <si>
    <t>Tolueno</t>
  </si>
  <si>
    <t>N/A</t>
  </si>
  <si>
    <t>Cristal 20 litros 313.5 x 120</t>
  </si>
  <si>
    <t xml:space="preserve">Blanco Monocapa </t>
  </si>
  <si>
    <t xml:space="preserve">Generico Gepp Porton 108x75mm </t>
  </si>
  <si>
    <t>Generico Gepp Porton 97x68mm</t>
  </si>
  <si>
    <t xml:space="preserve">Generico Gepp Porton 97x74mm </t>
  </si>
  <si>
    <t>Generico Gepp Porton 97x74mm con Punteado</t>
  </si>
  <si>
    <t xml:space="preserve">Magenta Porton </t>
  </si>
  <si>
    <t>Negro Porton</t>
  </si>
  <si>
    <t>2945 Porton</t>
  </si>
  <si>
    <t xml:space="preserve">Amarillo Porton </t>
  </si>
  <si>
    <t xml:space="preserve">Blanco Porton </t>
  </si>
  <si>
    <t xml:space="preserve">185 Porton </t>
  </si>
  <si>
    <t xml:space="preserve">7483 Porton </t>
  </si>
  <si>
    <t>PEL086</t>
  </si>
  <si>
    <t>SUS063</t>
  </si>
  <si>
    <t>SUS064</t>
  </si>
  <si>
    <t>SUS021</t>
  </si>
  <si>
    <t>SUS044</t>
  </si>
  <si>
    <t>PEL026</t>
  </si>
  <si>
    <t>SUS065</t>
  </si>
  <si>
    <t>SUS054</t>
  </si>
  <si>
    <t>SUS029</t>
  </si>
  <si>
    <t>Epura3 88x37mm 10.1lt P2147 2017P</t>
  </si>
  <si>
    <t>Epura3 88x37mm 10.1lt P2147 2017 Con Punteado</t>
  </si>
  <si>
    <t>SUS056</t>
  </si>
  <si>
    <t>ADH014</t>
  </si>
  <si>
    <t>ADH015</t>
  </si>
  <si>
    <t>ADH016</t>
  </si>
  <si>
    <t>SOL004</t>
  </si>
  <si>
    <t>TRE033</t>
  </si>
  <si>
    <t>SOL002</t>
  </si>
  <si>
    <t>SOL001</t>
  </si>
  <si>
    <t>PEL024</t>
  </si>
  <si>
    <t>PEL070</t>
  </si>
  <si>
    <t>SUS066</t>
  </si>
  <si>
    <t>HOL017</t>
  </si>
  <si>
    <t>HOL018</t>
  </si>
  <si>
    <t>RAS004</t>
  </si>
  <si>
    <t>Rendimiento Sustrato (Kilos por millar)</t>
  </si>
  <si>
    <t>Consumo (Kilo por millar)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</si>
</sst>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262626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Fill="1"/>
    <xf numFmtId="0" fontId="0" fillId="2" borderId="0" xfId="0" applyFill="1"/>
    <xf numFmtId="0" fontId="2" fillId="0" borderId="0" xfId="0" applyFont="1"/>
    <xf numFmtId="2" fontId="0" fillId="2" borderId="0" xfId="0" applyNumberFormat="1" applyFill="1"/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1" xfId="0" applyFill="1" applyBorder="1" applyAlignment="1">
      <alignment horizontal="left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3" fillId="0" borderId="1" xfId="0" applyFont="1" applyFill="1" applyBorder="1"/>
    <xf numFmtId="0" fontId="5" fillId="3" borderId="0" xfId="0" applyFont="1" applyFill="1"/>
    <xf numFmtId="0" fontId="0" fillId="0" borderId="2" xfId="0" applyFill="1" applyBorder="1"/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/>
    <xf numFmtId="0" fontId="0" fillId="0" borderId="1" xfId="0" applyFont="1" applyFill="1" applyBorder="1"/>
    <xf numFmtId="164" fontId="0" fillId="0" borderId="0" xfId="0" applyNumberFormat="1"/>
    <xf numFmtId="0" fontId="0" fillId="0" borderId="1" xfId="0" applyBorder="1"/>
    <xf numFmtId="0" fontId="0" fillId="0" borderId="3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abSelected="1" zoomScaleNormal="100" workbookViewId="0">
      <pane ySplit="1" topLeftCell="A2" activePane="bottomLeft" state="frozen"/>
      <selection pane="bottomLeft" activeCell="R27" sqref="R27"/>
    </sheetView>
  </sheetViews>
  <sheetFormatPr baseColWidth="10" defaultColWidth="13.42578125" defaultRowHeight="15" x14ac:dyDescent="0.25"/>
  <cols>
    <col min="1" max="1" width="13.5703125" bestFit="1" customWidth="1"/>
    <col min="2" max="2" width="53.5703125" bestFit="1" customWidth="1"/>
    <col min="3" max="3" width="10.5703125" bestFit="1" customWidth="1"/>
    <col min="4" max="4" width="38.28515625" style="5" bestFit="1" customWidth="1"/>
    <col min="5" max="5" width="11.5703125" bestFit="1" customWidth="1"/>
    <col min="6" max="6" width="26.140625" bestFit="1" customWidth="1"/>
    <col min="7" max="7" width="10.5703125" bestFit="1" customWidth="1"/>
    <col min="8" max="8" width="11.5703125" bestFit="1" customWidth="1"/>
    <col min="9" max="9" width="10.85546875" bestFit="1" customWidth="1"/>
    <col min="10" max="14" width="11.5703125" bestFit="1" customWidth="1"/>
    <col min="15" max="15" width="11.85546875" bestFit="1" customWidth="1"/>
    <col min="16" max="16" width="11.5703125" bestFit="1" customWidth="1"/>
    <col min="17" max="17" width="14.140625" bestFit="1" customWidth="1"/>
    <col min="18" max="18" width="11.5703125" bestFit="1" customWidth="1"/>
    <col min="19" max="19" width="11.42578125" bestFit="1" customWidth="1"/>
    <col min="20" max="20" width="11.5703125" bestFit="1" customWidth="1"/>
  </cols>
  <sheetData>
    <row r="1" spans="1:20" x14ac:dyDescent="0.25">
      <c r="A1" s="2" t="s">
        <v>2</v>
      </c>
      <c r="B1" s="2" t="s">
        <v>3</v>
      </c>
      <c r="C1" s="2" t="s">
        <v>0</v>
      </c>
      <c r="D1" s="4" t="s">
        <v>136</v>
      </c>
      <c r="E1" s="2" t="s">
        <v>22</v>
      </c>
      <c r="F1" s="2" t="s">
        <v>137</v>
      </c>
      <c r="G1" s="2" t="s">
        <v>96</v>
      </c>
      <c r="H1" s="2" t="s">
        <v>6</v>
      </c>
      <c r="I1" s="2" t="s">
        <v>24</v>
      </c>
      <c r="J1" s="2" t="s">
        <v>6</v>
      </c>
      <c r="K1" s="2" t="s">
        <v>95</v>
      </c>
      <c r="L1" s="2" t="s">
        <v>6</v>
      </c>
      <c r="M1" s="2" t="s">
        <v>95</v>
      </c>
      <c r="N1" s="2" t="s">
        <v>6</v>
      </c>
      <c r="O1" s="2" t="s">
        <v>23</v>
      </c>
      <c r="P1" s="2" t="s">
        <v>6</v>
      </c>
      <c r="Q1" s="2" t="s">
        <v>1</v>
      </c>
      <c r="R1" s="2" t="s">
        <v>6</v>
      </c>
      <c r="S1" s="2" t="s">
        <v>94</v>
      </c>
      <c r="T1" s="2" t="s">
        <v>6</v>
      </c>
    </row>
    <row r="2" spans="1:20" s="1" customFormat="1" x14ac:dyDescent="0.25">
      <c r="A2" s="8" t="s">
        <v>4</v>
      </c>
      <c r="B2" s="15" t="s">
        <v>25</v>
      </c>
      <c r="C2" s="8" t="s">
        <v>117</v>
      </c>
      <c r="D2" s="9">
        <v>0</v>
      </c>
      <c r="E2" s="10" t="s">
        <v>97</v>
      </c>
      <c r="F2" s="10">
        <v>0</v>
      </c>
      <c r="G2" s="10" t="s">
        <v>97</v>
      </c>
      <c r="H2" s="10">
        <v>0</v>
      </c>
      <c r="I2" s="10" t="s">
        <v>97</v>
      </c>
      <c r="J2" s="10">
        <v>0</v>
      </c>
      <c r="K2" s="10" t="s">
        <v>128</v>
      </c>
      <c r="L2" s="10">
        <v>1.8749999999999999E-2</v>
      </c>
      <c r="M2" s="10" t="s">
        <v>97</v>
      </c>
      <c r="N2" s="10">
        <v>0</v>
      </c>
      <c r="O2" s="10" t="s">
        <v>97</v>
      </c>
      <c r="P2" s="9">
        <v>0</v>
      </c>
      <c r="Q2" s="14" t="s">
        <v>97</v>
      </c>
      <c r="R2" s="14">
        <v>0</v>
      </c>
      <c r="S2" s="10" t="s">
        <v>135</v>
      </c>
      <c r="T2" s="10">
        <v>1.1123000000000001</v>
      </c>
    </row>
    <row r="3" spans="1:20" s="1" customFormat="1" x14ac:dyDescent="0.25">
      <c r="A3" s="11" t="s">
        <v>7</v>
      </c>
      <c r="B3" s="12" t="s">
        <v>29</v>
      </c>
      <c r="C3" s="19" t="s">
        <v>111</v>
      </c>
      <c r="D3" s="9">
        <f>50/91680</f>
        <v>5.4537521815008726E-4</v>
      </c>
      <c r="E3" s="10" t="s">
        <v>97</v>
      </c>
      <c r="F3" s="10">
        <v>0</v>
      </c>
      <c r="G3" s="10" t="s">
        <v>97</v>
      </c>
      <c r="H3" s="10">
        <v>0</v>
      </c>
      <c r="I3" s="10" t="s">
        <v>127</v>
      </c>
      <c r="J3" s="10">
        <v>0</v>
      </c>
      <c r="K3" s="10" t="s">
        <v>97</v>
      </c>
      <c r="L3" s="10">
        <v>0</v>
      </c>
      <c r="M3" s="10" t="s">
        <v>129</v>
      </c>
      <c r="N3" s="10">
        <v>5.6250000000000001E-2</v>
      </c>
      <c r="O3" s="10" t="s">
        <v>97</v>
      </c>
      <c r="P3" s="9">
        <f>50/91680</f>
        <v>5.4537521815008726E-4</v>
      </c>
      <c r="Q3" s="14" t="s">
        <v>97</v>
      </c>
      <c r="R3" s="14">
        <v>64.5</v>
      </c>
      <c r="S3" s="10" t="s">
        <v>135</v>
      </c>
      <c r="T3" s="10">
        <v>1.1123000000000001</v>
      </c>
    </row>
    <row r="4" spans="1:20" s="1" customFormat="1" x14ac:dyDescent="0.25">
      <c r="A4" s="11" t="s">
        <v>7</v>
      </c>
      <c r="B4" s="12" t="s">
        <v>36</v>
      </c>
      <c r="C4" s="19" t="s">
        <v>112</v>
      </c>
      <c r="D4" s="9">
        <f>50/56910</f>
        <v>8.7858021437357229E-4</v>
      </c>
      <c r="E4" s="10" t="s">
        <v>97</v>
      </c>
      <c r="F4" s="10">
        <v>0</v>
      </c>
      <c r="G4" s="10" t="s">
        <v>97</v>
      </c>
      <c r="H4" s="10">
        <v>0</v>
      </c>
      <c r="I4" s="10" t="s">
        <v>97</v>
      </c>
      <c r="J4" s="10">
        <v>0</v>
      </c>
      <c r="K4" s="10" t="s">
        <v>97</v>
      </c>
      <c r="L4" s="10">
        <v>0</v>
      </c>
      <c r="M4" s="10" t="s">
        <v>129</v>
      </c>
      <c r="N4" s="10">
        <v>2.2499999999999999E-2</v>
      </c>
      <c r="O4" s="10" t="s">
        <v>97</v>
      </c>
      <c r="P4" s="9">
        <f>50/56910</f>
        <v>8.7858021437357229E-4</v>
      </c>
      <c r="Q4" s="14" t="s">
        <v>97</v>
      </c>
      <c r="R4" s="14">
        <v>81</v>
      </c>
      <c r="S4" s="10" t="s">
        <v>135</v>
      </c>
      <c r="T4" s="10">
        <v>1.1123000000000001</v>
      </c>
    </row>
    <row r="5" spans="1:20" s="1" customFormat="1" x14ac:dyDescent="0.25">
      <c r="A5" s="11" t="s">
        <v>7</v>
      </c>
      <c r="B5" s="12" t="s">
        <v>28</v>
      </c>
      <c r="C5" s="19" t="s">
        <v>111</v>
      </c>
      <c r="D5" s="9">
        <f>50/91680</f>
        <v>5.4537521815008726E-4</v>
      </c>
      <c r="E5" s="10" t="s">
        <v>97</v>
      </c>
      <c r="F5" s="10">
        <v>0</v>
      </c>
      <c r="G5" s="10" t="s">
        <v>97</v>
      </c>
      <c r="H5" s="10">
        <v>0</v>
      </c>
      <c r="I5" s="10" t="s">
        <v>97</v>
      </c>
      <c r="J5" s="10">
        <v>0</v>
      </c>
      <c r="K5" s="10" t="s">
        <v>97</v>
      </c>
      <c r="L5" s="10">
        <v>0</v>
      </c>
      <c r="M5" s="10" t="s">
        <v>129</v>
      </c>
      <c r="N5" s="10">
        <v>2.2499999999999999E-2</v>
      </c>
      <c r="O5" s="10" t="s">
        <v>97</v>
      </c>
      <c r="P5" s="9">
        <f>50/91680</f>
        <v>5.4537521815008726E-4</v>
      </c>
      <c r="Q5" s="14" t="s">
        <v>97</v>
      </c>
      <c r="R5" s="14">
        <v>64.5</v>
      </c>
      <c r="S5" s="10" t="s">
        <v>135</v>
      </c>
      <c r="T5" s="10">
        <v>1.1123000000000001</v>
      </c>
    </row>
    <row r="6" spans="1:20" s="1" customFormat="1" x14ac:dyDescent="0.25">
      <c r="A6" s="11" t="s">
        <v>7</v>
      </c>
      <c r="B6" s="16" t="s">
        <v>27</v>
      </c>
      <c r="C6" s="19" t="s">
        <v>111</v>
      </c>
      <c r="D6" s="9">
        <f>50/91680</f>
        <v>5.4537521815008726E-4</v>
      </c>
      <c r="E6" s="10" t="s">
        <v>97</v>
      </c>
      <c r="F6" s="10">
        <v>0</v>
      </c>
      <c r="G6" s="10" t="s">
        <v>97</v>
      </c>
      <c r="H6" s="10">
        <v>0</v>
      </c>
      <c r="I6" s="10" t="s">
        <v>97</v>
      </c>
      <c r="J6" s="10">
        <v>0</v>
      </c>
      <c r="K6" s="10" t="s">
        <v>97</v>
      </c>
      <c r="L6" s="10">
        <v>0</v>
      </c>
      <c r="M6" s="10" t="s">
        <v>129</v>
      </c>
      <c r="N6" s="10">
        <v>2.2499999999999999E-2</v>
      </c>
      <c r="O6" s="10" t="s">
        <v>97</v>
      </c>
      <c r="P6" s="9">
        <f>50/91680</f>
        <v>5.4537521815008726E-4</v>
      </c>
      <c r="Q6" s="14" t="s">
        <v>97</v>
      </c>
      <c r="R6" s="14">
        <v>64.5</v>
      </c>
      <c r="S6" s="10" t="s">
        <v>135</v>
      </c>
      <c r="T6" s="10">
        <v>1.1123000000000001</v>
      </c>
    </row>
    <row r="7" spans="1:20" s="1" customFormat="1" x14ac:dyDescent="0.25">
      <c r="A7" s="11" t="s">
        <v>9</v>
      </c>
      <c r="B7" s="12" t="s">
        <v>26</v>
      </c>
      <c r="C7" s="10" t="s">
        <v>113</v>
      </c>
      <c r="D7" s="9">
        <f>33/54644</f>
        <v>6.0390893785228022E-4</v>
      </c>
      <c r="E7" s="10" t="s">
        <v>125</v>
      </c>
      <c r="F7" s="10">
        <v>0.23400000000000001</v>
      </c>
      <c r="G7" s="10" t="s">
        <v>126</v>
      </c>
      <c r="H7" s="10">
        <v>7.2999999999999995E-2</v>
      </c>
      <c r="I7" s="10" t="s">
        <v>97</v>
      </c>
      <c r="J7" s="10">
        <v>0</v>
      </c>
      <c r="K7" s="10" t="s">
        <v>97</v>
      </c>
      <c r="L7" s="10">
        <v>0</v>
      </c>
      <c r="M7" s="10" t="s">
        <v>129</v>
      </c>
      <c r="N7" s="10">
        <v>6.7500000000000004E-2</v>
      </c>
      <c r="O7" s="10" t="s">
        <v>130</v>
      </c>
      <c r="P7" s="9">
        <f>33/54644</f>
        <v>6.0390893785228022E-4</v>
      </c>
      <c r="Q7" s="14" t="s">
        <v>97</v>
      </c>
      <c r="R7" s="14">
        <v>127</v>
      </c>
      <c r="S7" s="10" t="s">
        <v>135</v>
      </c>
      <c r="T7" s="10">
        <v>1.1123000000000001</v>
      </c>
    </row>
    <row r="8" spans="1:20" s="1" customFormat="1" x14ac:dyDescent="0.25">
      <c r="A8" s="11" t="s">
        <v>9</v>
      </c>
      <c r="B8" s="12" t="s">
        <v>10</v>
      </c>
      <c r="C8" s="10" t="s">
        <v>113</v>
      </c>
      <c r="D8" s="9">
        <f>50/43715</f>
        <v>1.1437721605856114E-3</v>
      </c>
      <c r="E8" s="10" t="s">
        <v>125</v>
      </c>
      <c r="F8" s="10">
        <v>0.23400000000000001</v>
      </c>
      <c r="G8" s="10" t="s">
        <v>126</v>
      </c>
      <c r="H8" s="10">
        <v>7.2999999999999995E-2</v>
      </c>
      <c r="I8" s="10" t="s">
        <v>97</v>
      </c>
      <c r="J8" s="10">
        <v>0</v>
      </c>
      <c r="K8" s="10" t="s">
        <v>97</v>
      </c>
      <c r="L8" s="10">
        <v>0</v>
      </c>
      <c r="M8" s="10" t="s">
        <v>129</v>
      </c>
      <c r="N8" s="10">
        <v>5.6250000000000001E-2</v>
      </c>
      <c r="O8" s="10" t="s">
        <v>130</v>
      </c>
      <c r="P8" s="9">
        <f>50/43715</f>
        <v>1.1437721605856114E-3</v>
      </c>
      <c r="Q8" s="14" t="s">
        <v>97</v>
      </c>
      <c r="R8" s="14">
        <v>127</v>
      </c>
      <c r="S8" s="10" t="s">
        <v>135</v>
      </c>
      <c r="T8" s="10">
        <v>1.1123000000000001</v>
      </c>
    </row>
    <row r="9" spans="1:20" s="1" customFormat="1" x14ac:dyDescent="0.25">
      <c r="A9" s="11" t="s">
        <v>9</v>
      </c>
      <c r="B9" s="12" t="s">
        <v>11</v>
      </c>
      <c r="C9" s="10" t="s">
        <v>113</v>
      </c>
      <c r="D9" s="9">
        <f>50/43715</f>
        <v>1.1437721605856114E-3</v>
      </c>
      <c r="E9" s="10" t="s">
        <v>125</v>
      </c>
      <c r="F9" s="10">
        <v>0.23400000000000001</v>
      </c>
      <c r="G9" s="10" t="s">
        <v>126</v>
      </c>
      <c r="H9" s="10">
        <v>7.2999999999999995E-2</v>
      </c>
      <c r="I9" s="10" t="s">
        <v>97</v>
      </c>
      <c r="J9" s="10">
        <v>0</v>
      </c>
      <c r="K9" s="10" t="s">
        <v>97</v>
      </c>
      <c r="L9" s="10">
        <v>0</v>
      </c>
      <c r="M9" s="10" t="s">
        <v>129</v>
      </c>
      <c r="N9" s="10">
        <v>5.6250000000000001E-2</v>
      </c>
      <c r="O9" s="10" t="s">
        <v>132</v>
      </c>
      <c r="P9" s="9">
        <f>50/43715</f>
        <v>1.1437721605856114E-3</v>
      </c>
      <c r="Q9" s="14" t="s">
        <v>97</v>
      </c>
      <c r="R9" s="14">
        <v>127</v>
      </c>
      <c r="S9" s="10" t="s">
        <v>135</v>
      </c>
      <c r="T9" s="10">
        <v>1.1123000000000001</v>
      </c>
    </row>
    <row r="10" spans="1:20" s="1" customFormat="1" x14ac:dyDescent="0.25">
      <c r="A10" s="11" t="s">
        <v>9</v>
      </c>
      <c r="B10" s="12" t="s">
        <v>12</v>
      </c>
      <c r="C10" s="10" t="s">
        <v>113</v>
      </c>
      <c r="D10" s="9">
        <f>50/78260</f>
        <v>6.3889598773319699E-4</v>
      </c>
      <c r="E10" s="10" t="s">
        <v>125</v>
      </c>
      <c r="F10" s="10">
        <v>0</v>
      </c>
      <c r="G10" s="10" t="s">
        <v>126</v>
      </c>
      <c r="H10" s="10">
        <v>7.2999999999999995E-2</v>
      </c>
      <c r="I10" s="10" t="s">
        <v>97</v>
      </c>
      <c r="J10" s="10">
        <v>0</v>
      </c>
      <c r="K10" s="10" t="s">
        <v>97</v>
      </c>
      <c r="L10" s="10">
        <v>0</v>
      </c>
      <c r="M10" s="10" t="s">
        <v>129</v>
      </c>
      <c r="N10" s="10">
        <v>6.7500000000000004E-2</v>
      </c>
      <c r="O10" s="10" t="s">
        <v>130</v>
      </c>
      <c r="P10" s="9">
        <f>50/78260</f>
        <v>6.3889598773319699E-4</v>
      </c>
      <c r="Q10" s="14" t="s">
        <v>97</v>
      </c>
      <c r="R10" s="14">
        <v>85</v>
      </c>
      <c r="S10" s="10" t="s">
        <v>135</v>
      </c>
      <c r="T10" s="10">
        <v>1.1123000000000001</v>
      </c>
    </row>
    <row r="11" spans="1:20" s="1" customFormat="1" x14ac:dyDescent="0.25">
      <c r="A11" s="11" t="s">
        <v>9</v>
      </c>
      <c r="B11" s="12" t="s">
        <v>13</v>
      </c>
      <c r="C11" s="10" t="s">
        <v>113</v>
      </c>
      <c r="D11" s="9">
        <f>50/21857</f>
        <v>2.2875966509585031E-3</v>
      </c>
      <c r="E11" s="10" t="s">
        <v>125</v>
      </c>
      <c r="F11" s="10">
        <v>0.23400000000000001</v>
      </c>
      <c r="G11" s="10" t="s">
        <v>126</v>
      </c>
      <c r="H11" s="10">
        <v>7.2999999999999995E-2</v>
      </c>
      <c r="I11" s="10" t="s">
        <v>97</v>
      </c>
      <c r="J11" s="10">
        <v>0</v>
      </c>
      <c r="K11" s="10" t="s">
        <v>97</v>
      </c>
      <c r="L11" s="10">
        <v>0</v>
      </c>
      <c r="M11" s="10" t="s">
        <v>129</v>
      </c>
      <c r="N11" s="10">
        <v>6.7500000000000004E-2</v>
      </c>
      <c r="O11" s="10" t="s">
        <v>130</v>
      </c>
      <c r="P11" s="9">
        <f>50/21857</f>
        <v>2.2875966509585031E-3</v>
      </c>
      <c r="Q11" s="14" t="s">
        <v>97</v>
      </c>
      <c r="R11" s="14">
        <v>127</v>
      </c>
      <c r="S11" s="10" t="s">
        <v>135</v>
      </c>
      <c r="T11" s="10">
        <v>1.1123000000000001</v>
      </c>
    </row>
    <row r="12" spans="1:20" s="1" customFormat="1" x14ac:dyDescent="0.25">
      <c r="A12" s="11" t="s">
        <v>9</v>
      </c>
      <c r="B12" s="12" t="s">
        <v>93</v>
      </c>
      <c r="C12" s="10" t="s">
        <v>116</v>
      </c>
      <c r="D12" s="9">
        <f>50/32786</f>
        <v>1.5250411761117549E-3</v>
      </c>
      <c r="E12" s="10" t="s">
        <v>124</v>
      </c>
      <c r="F12" s="10">
        <v>0</v>
      </c>
      <c r="G12" s="10" t="s">
        <v>126</v>
      </c>
      <c r="H12" s="10">
        <v>0</v>
      </c>
      <c r="I12" s="10" t="s">
        <v>97</v>
      </c>
      <c r="J12" s="10">
        <v>0</v>
      </c>
      <c r="K12" s="10" t="s">
        <v>128</v>
      </c>
      <c r="L12" s="10">
        <v>1.8749999999999999E-2</v>
      </c>
      <c r="M12" s="10" t="s">
        <v>129</v>
      </c>
      <c r="N12" s="10">
        <v>6.7500000000000004E-2</v>
      </c>
      <c r="O12" s="10" t="s">
        <v>131</v>
      </c>
      <c r="P12" s="9">
        <f>50/32786</f>
        <v>1.5250411761117549E-3</v>
      </c>
      <c r="Q12" s="14" t="s">
        <v>97</v>
      </c>
      <c r="R12" s="14">
        <v>127</v>
      </c>
      <c r="S12" s="10" t="s">
        <v>135</v>
      </c>
      <c r="T12" s="10">
        <v>1.1123000000000001</v>
      </c>
    </row>
    <row r="13" spans="1:20" s="1" customFormat="1" x14ac:dyDescent="0.25">
      <c r="A13" s="11" t="s">
        <v>9</v>
      </c>
      <c r="B13" s="12" t="s">
        <v>92</v>
      </c>
      <c r="C13" s="10" t="s">
        <v>113</v>
      </c>
      <c r="D13" s="9">
        <f>50/32786</f>
        <v>1.5250411761117549E-3</v>
      </c>
      <c r="E13" s="10" t="s">
        <v>125</v>
      </c>
      <c r="F13" s="10">
        <v>0.23400000000000001</v>
      </c>
      <c r="G13" s="10" t="s">
        <v>126</v>
      </c>
      <c r="H13" s="10">
        <v>7.2999999999999995E-2</v>
      </c>
      <c r="I13" s="10" t="s">
        <v>97</v>
      </c>
      <c r="J13" s="10">
        <v>0</v>
      </c>
      <c r="K13" s="10" t="s">
        <v>97</v>
      </c>
      <c r="L13" s="10">
        <v>0</v>
      </c>
      <c r="M13" s="10" t="s">
        <v>129</v>
      </c>
      <c r="N13" s="10">
        <v>6.7500000000000004E-2</v>
      </c>
      <c r="O13" s="10" t="s">
        <v>132</v>
      </c>
      <c r="P13" s="9">
        <f>50/32786</f>
        <v>1.5250411761117549E-3</v>
      </c>
      <c r="Q13" s="14" t="s">
        <v>97</v>
      </c>
      <c r="R13" s="14">
        <v>127</v>
      </c>
      <c r="S13" s="10" t="s">
        <v>135</v>
      </c>
      <c r="T13" s="10">
        <v>1.1123000000000001</v>
      </c>
    </row>
    <row r="14" spans="1:20" s="1" customFormat="1" x14ac:dyDescent="0.25">
      <c r="A14" s="11" t="s">
        <v>9</v>
      </c>
      <c r="B14" s="12" t="s">
        <v>34</v>
      </c>
      <c r="C14" s="10" t="s">
        <v>116</v>
      </c>
      <c r="D14" s="9">
        <f>50/32786</f>
        <v>1.5250411761117549E-3</v>
      </c>
      <c r="E14" s="10" t="s">
        <v>124</v>
      </c>
      <c r="F14" s="10">
        <v>0</v>
      </c>
      <c r="G14" s="10" t="s">
        <v>126</v>
      </c>
      <c r="H14" s="10">
        <v>0</v>
      </c>
      <c r="I14" s="10" t="s">
        <v>97</v>
      </c>
      <c r="J14" s="10">
        <v>0</v>
      </c>
      <c r="K14" s="10" t="s">
        <v>97</v>
      </c>
      <c r="L14" s="10">
        <v>0</v>
      </c>
      <c r="M14" s="10" t="s">
        <v>129</v>
      </c>
      <c r="N14" s="10">
        <v>6.7500000000000004E-2</v>
      </c>
      <c r="O14" s="10" t="s">
        <v>131</v>
      </c>
      <c r="P14" s="9">
        <f>50/32786</f>
        <v>1.5250411761117549E-3</v>
      </c>
      <c r="Q14" s="14" t="s">
        <v>97</v>
      </c>
      <c r="R14" s="14">
        <v>127</v>
      </c>
      <c r="S14" s="10" t="s">
        <v>135</v>
      </c>
      <c r="T14" s="10">
        <v>1.1123000000000001</v>
      </c>
    </row>
    <row r="15" spans="1:20" s="1" customFormat="1" x14ac:dyDescent="0.25">
      <c r="A15" s="11" t="s">
        <v>9</v>
      </c>
      <c r="B15" s="12" t="s">
        <v>35</v>
      </c>
      <c r="C15" s="10" t="s">
        <v>113</v>
      </c>
      <c r="D15" s="9">
        <v>0</v>
      </c>
      <c r="E15" s="10" t="s">
        <v>125</v>
      </c>
      <c r="F15" s="10">
        <v>0</v>
      </c>
      <c r="G15" s="10" t="s">
        <v>126</v>
      </c>
      <c r="H15" s="10">
        <v>0</v>
      </c>
      <c r="I15" s="10" t="s">
        <v>97</v>
      </c>
      <c r="J15" s="10">
        <v>0</v>
      </c>
      <c r="K15" s="10" t="s">
        <v>97</v>
      </c>
      <c r="L15" s="10">
        <v>0</v>
      </c>
      <c r="M15" s="10" t="s">
        <v>129</v>
      </c>
      <c r="N15" s="10">
        <v>6.7500000000000004E-2</v>
      </c>
      <c r="O15" s="10" t="s">
        <v>130</v>
      </c>
      <c r="P15" s="9">
        <v>0</v>
      </c>
      <c r="Q15" s="14" t="s">
        <v>97</v>
      </c>
      <c r="R15" s="14">
        <v>85</v>
      </c>
      <c r="S15" s="10" t="s">
        <v>135</v>
      </c>
      <c r="T15" s="10">
        <v>1.1123000000000001</v>
      </c>
    </row>
    <row r="16" spans="1:20" s="1" customFormat="1" x14ac:dyDescent="0.25">
      <c r="A16" s="11" t="s">
        <v>19</v>
      </c>
      <c r="B16" s="12" t="s">
        <v>15</v>
      </c>
      <c r="C16" s="10" t="s">
        <v>118</v>
      </c>
      <c r="D16" s="9">
        <f>90/128000</f>
        <v>7.0312499999999997E-4</v>
      </c>
      <c r="E16" s="10" t="s">
        <v>97</v>
      </c>
      <c r="F16" s="10">
        <v>0</v>
      </c>
      <c r="G16" s="10" t="s">
        <v>126</v>
      </c>
      <c r="H16" s="10">
        <v>0</v>
      </c>
      <c r="I16" s="10" t="s">
        <v>97</v>
      </c>
      <c r="J16" s="10">
        <v>0</v>
      </c>
      <c r="K16" s="10" t="s">
        <v>128</v>
      </c>
      <c r="L16" s="10">
        <v>3.7499999999999999E-2</v>
      </c>
      <c r="M16" s="10" t="s">
        <v>129</v>
      </c>
      <c r="N16" s="10">
        <v>3.3750000000000002E-2</v>
      </c>
      <c r="O16" s="10" t="s">
        <v>97</v>
      </c>
      <c r="P16" s="9">
        <f>90/128000</f>
        <v>7.0312499999999997E-4</v>
      </c>
      <c r="Q16" s="14" t="s">
        <v>134</v>
      </c>
      <c r="R16" s="14">
        <f>1000*0.07</f>
        <v>70</v>
      </c>
      <c r="S16" s="10" t="s">
        <v>135</v>
      </c>
      <c r="T16" s="10">
        <v>1.1123000000000001</v>
      </c>
    </row>
    <row r="17" spans="1:20" s="1" customFormat="1" x14ac:dyDescent="0.25">
      <c r="A17" s="11" t="s">
        <v>19</v>
      </c>
      <c r="B17" s="12" t="s">
        <v>16</v>
      </c>
      <c r="C17" s="10" t="s">
        <v>118</v>
      </c>
      <c r="D17" s="9">
        <f>90/128000</f>
        <v>7.0312499999999997E-4</v>
      </c>
      <c r="E17" s="10" t="s">
        <v>97</v>
      </c>
      <c r="F17" s="10">
        <v>0</v>
      </c>
      <c r="G17" s="10" t="s">
        <v>126</v>
      </c>
      <c r="H17" s="10">
        <v>0</v>
      </c>
      <c r="I17" s="10" t="s">
        <v>97</v>
      </c>
      <c r="J17" s="10">
        <v>0</v>
      </c>
      <c r="K17" s="10" t="s">
        <v>128</v>
      </c>
      <c r="L17" s="10">
        <v>3.7499999999999999E-2</v>
      </c>
      <c r="M17" s="10" t="s">
        <v>129</v>
      </c>
      <c r="N17" s="10">
        <v>3.3750000000000002E-2</v>
      </c>
      <c r="O17" s="10" t="s">
        <v>97</v>
      </c>
      <c r="P17" s="9">
        <f>90/128000</f>
        <v>7.0312499999999997E-4</v>
      </c>
      <c r="Q17" s="14" t="s">
        <v>134</v>
      </c>
      <c r="R17" s="14">
        <f t="shared" ref="R17:R18" si="0">1000*0.07</f>
        <v>70</v>
      </c>
      <c r="S17" s="10" t="s">
        <v>135</v>
      </c>
      <c r="T17" s="10">
        <v>1.1123000000000001</v>
      </c>
    </row>
    <row r="18" spans="1:20" s="1" customFormat="1" x14ac:dyDescent="0.25">
      <c r="A18" s="11" t="s">
        <v>19</v>
      </c>
      <c r="B18" s="12" t="s">
        <v>17</v>
      </c>
      <c r="C18" s="10" t="s">
        <v>118</v>
      </c>
      <c r="D18" s="9">
        <f>90/128000</f>
        <v>7.0312499999999997E-4</v>
      </c>
      <c r="E18" s="10" t="s">
        <v>97</v>
      </c>
      <c r="F18" s="10">
        <v>0</v>
      </c>
      <c r="G18" s="10" t="s">
        <v>126</v>
      </c>
      <c r="H18" s="10">
        <v>0</v>
      </c>
      <c r="I18" s="10" t="s">
        <v>97</v>
      </c>
      <c r="J18" s="10">
        <v>0</v>
      </c>
      <c r="K18" s="10" t="s">
        <v>128</v>
      </c>
      <c r="L18" s="10">
        <v>1.8749999999999999E-2</v>
      </c>
      <c r="M18" s="10" t="s">
        <v>129</v>
      </c>
      <c r="N18" s="10">
        <v>3.3750000000000002E-2</v>
      </c>
      <c r="O18" s="10" t="s">
        <v>97</v>
      </c>
      <c r="P18" s="9">
        <v>0</v>
      </c>
      <c r="Q18" s="14" t="s">
        <v>133</v>
      </c>
      <c r="R18" s="14">
        <f t="shared" si="0"/>
        <v>70</v>
      </c>
      <c r="S18" s="10" t="s">
        <v>135</v>
      </c>
      <c r="T18" s="10">
        <v>1.1123000000000001</v>
      </c>
    </row>
    <row r="19" spans="1:20" s="1" customFormat="1" x14ac:dyDescent="0.25">
      <c r="A19" s="11" t="s">
        <v>21</v>
      </c>
      <c r="B19" s="12" t="s">
        <v>30</v>
      </c>
      <c r="C19" s="10" t="s">
        <v>122</v>
      </c>
      <c r="D19" s="9">
        <f>90/120000</f>
        <v>7.5000000000000002E-4</v>
      </c>
      <c r="E19" s="10" t="s">
        <v>97</v>
      </c>
      <c r="F19" s="10">
        <v>0</v>
      </c>
      <c r="G19" s="10" t="s">
        <v>126</v>
      </c>
      <c r="H19" s="10">
        <v>0</v>
      </c>
      <c r="I19" s="10" t="s">
        <v>97</v>
      </c>
      <c r="J19" s="10">
        <v>0</v>
      </c>
      <c r="K19" s="10" t="s">
        <v>128</v>
      </c>
      <c r="L19" s="10">
        <v>1.8749999999999999E-2</v>
      </c>
      <c r="M19" s="10" t="s">
        <v>129</v>
      </c>
      <c r="N19" s="10">
        <v>6.7500000000000004E-2</v>
      </c>
      <c r="O19" s="10" t="s">
        <v>97</v>
      </c>
      <c r="P19" s="9">
        <v>0</v>
      </c>
      <c r="Q19" s="14" t="s">
        <v>38</v>
      </c>
      <c r="R19" s="14">
        <v>75</v>
      </c>
      <c r="S19" s="10" t="s">
        <v>135</v>
      </c>
      <c r="T19" s="10">
        <v>1.1123000000000001</v>
      </c>
    </row>
    <row r="20" spans="1:20" s="1" customFormat="1" x14ac:dyDescent="0.25">
      <c r="A20" s="11" t="s">
        <v>21</v>
      </c>
      <c r="B20" s="12" t="s">
        <v>31</v>
      </c>
      <c r="C20" s="10" t="s">
        <v>119</v>
      </c>
      <c r="D20" s="9">
        <f>90/132000</f>
        <v>6.8181818181818187E-4</v>
      </c>
      <c r="E20" s="10" t="s">
        <v>97</v>
      </c>
      <c r="F20" s="10">
        <v>0</v>
      </c>
      <c r="G20" s="10" t="s">
        <v>126</v>
      </c>
      <c r="H20" s="10">
        <v>0</v>
      </c>
      <c r="I20" s="10" t="s">
        <v>97</v>
      </c>
      <c r="J20" s="10">
        <v>0</v>
      </c>
      <c r="K20" s="10" t="s">
        <v>128</v>
      </c>
      <c r="L20" s="10">
        <v>1.8749999999999999E-2</v>
      </c>
      <c r="M20" s="10" t="s">
        <v>129</v>
      </c>
      <c r="N20" s="10">
        <v>6.7500000000000004E-2</v>
      </c>
      <c r="O20" s="10" t="s">
        <v>97</v>
      </c>
      <c r="P20" s="9">
        <v>0</v>
      </c>
      <c r="Q20" s="14" t="s">
        <v>38</v>
      </c>
      <c r="R20" s="14">
        <v>68</v>
      </c>
      <c r="S20" s="10" t="s">
        <v>135</v>
      </c>
      <c r="T20" s="10">
        <v>1.1123000000000001</v>
      </c>
    </row>
    <row r="21" spans="1:20" s="1" customFormat="1" x14ac:dyDescent="0.25">
      <c r="A21" s="11" t="s">
        <v>21</v>
      </c>
      <c r="B21" s="12" t="s">
        <v>32</v>
      </c>
      <c r="C21" s="10" t="s">
        <v>119</v>
      </c>
      <c r="D21" s="9">
        <f>90/121000</f>
        <v>7.4380165289256194E-4</v>
      </c>
      <c r="E21" s="10" t="s">
        <v>97</v>
      </c>
      <c r="F21" s="10">
        <v>0</v>
      </c>
      <c r="G21" s="10" t="s">
        <v>126</v>
      </c>
      <c r="H21" s="10">
        <v>0</v>
      </c>
      <c r="I21" s="10" t="s">
        <v>97</v>
      </c>
      <c r="J21" s="10">
        <v>0</v>
      </c>
      <c r="K21" s="10" t="s">
        <v>128</v>
      </c>
      <c r="L21" s="10">
        <v>1.8749999999999999E-2</v>
      </c>
      <c r="M21" s="10" t="s">
        <v>129</v>
      </c>
      <c r="N21" s="10">
        <v>6.7500000000000004E-2</v>
      </c>
      <c r="O21" s="10" t="s">
        <v>97</v>
      </c>
      <c r="P21" s="9">
        <v>0</v>
      </c>
      <c r="Q21" s="14" t="s">
        <v>38</v>
      </c>
      <c r="R21" s="14">
        <v>74</v>
      </c>
      <c r="S21" s="10" t="s">
        <v>135</v>
      </c>
      <c r="T21" s="10">
        <v>1.1123000000000001</v>
      </c>
    </row>
    <row r="22" spans="1:20" s="1" customFormat="1" x14ac:dyDescent="0.25">
      <c r="A22" s="11" t="s">
        <v>21</v>
      </c>
      <c r="B22" s="12" t="s">
        <v>33</v>
      </c>
      <c r="C22" s="10" t="s">
        <v>119</v>
      </c>
      <c r="D22" s="9">
        <f>90/121000</f>
        <v>7.4380165289256194E-4</v>
      </c>
      <c r="E22" s="10" t="s">
        <v>97</v>
      </c>
      <c r="F22" s="10">
        <v>0</v>
      </c>
      <c r="G22" s="10" t="s">
        <v>126</v>
      </c>
      <c r="H22" s="10">
        <v>0</v>
      </c>
      <c r="I22" s="10" t="s">
        <v>97</v>
      </c>
      <c r="J22" s="10">
        <v>0</v>
      </c>
      <c r="K22" s="10" t="s">
        <v>128</v>
      </c>
      <c r="L22" s="10">
        <v>1.8749999999999999E-2</v>
      </c>
      <c r="M22" s="10" t="s">
        <v>129</v>
      </c>
      <c r="N22" s="10">
        <v>6.7500000000000004E-2</v>
      </c>
      <c r="O22" s="10" t="s">
        <v>97</v>
      </c>
      <c r="P22" s="9">
        <v>0</v>
      </c>
      <c r="Q22" s="14" t="s">
        <v>38</v>
      </c>
      <c r="R22" s="14">
        <v>74</v>
      </c>
      <c r="S22" s="10" t="s">
        <v>135</v>
      </c>
      <c r="T22" s="10">
        <v>1.1123000000000001</v>
      </c>
    </row>
    <row r="23" spans="1:20" s="1" customFormat="1" x14ac:dyDescent="0.25">
      <c r="A23" s="11" t="s">
        <v>19</v>
      </c>
      <c r="B23" s="12" t="s">
        <v>18</v>
      </c>
      <c r="C23" s="10" t="s">
        <v>115</v>
      </c>
      <c r="D23" s="9">
        <f>90/180555</f>
        <v>4.9846307219406831E-4</v>
      </c>
      <c r="E23" s="10" t="s">
        <v>123</v>
      </c>
      <c r="F23" s="10">
        <v>0</v>
      </c>
      <c r="G23" s="10" t="s">
        <v>126</v>
      </c>
      <c r="H23" s="10">
        <v>0</v>
      </c>
      <c r="I23" s="10" t="s">
        <v>97</v>
      </c>
      <c r="J23" s="10">
        <v>0</v>
      </c>
      <c r="K23" s="10" t="s">
        <v>97</v>
      </c>
      <c r="L23" s="10">
        <v>0</v>
      </c>
      <c r="M23" s="10" t="s">
        <v>97</v>
      </c>
      <c r="N23" s="10">
        <v>0</v>
      </c>
      <c r="O23" s="10" t="s">
        <v>115</v>
      </c>
      <c r="P23" s="9">
        <f>90/180555</f>
        <v>4.9846307219406831E-4</v>
      </c>
      <c r="Q23" s="14" t="s">
        <v>97</v>
      </c>
      <c r="R23" s="14">
        <v>0</v>
      </c>
      <c r="S23" s="10" t="s">
        <v>135</v>
      </c>
      <c r="T23" s="10">
        <v>1.1123000000000001</v>
      </c>
    </row>
    <row r="24" spans="1:20" s="1" customFormat="1" x14ac:dyDescent="0.25">
      <c r="A24" s="11" t="s">
        <v>20</v>
      </c>
      <c r="B24" s="12" t="s">
        <v>120</v>
      </c>
      <c r="C24" s="10" t="s">
        <v>119</v>
      </c>
      <c r="D24" s="9">
        <f>90/243243</f>
        <v>3.7000037000037002E-4</v>
      </c>
      <c r="E24" s="10" t="s">
        <v>97</v>
      </c>
      <c r="F24" s="10">
        <v>0</v>
      </c>
      <c r="G24" s="10" t="s">
        <v>126</v>
      </c>
      <c r="H24" s="10">
        <v>0</v>
      </c>
      <c r="I24" s="10" t="s">
        <v>97</v>
      </c>
      <c r="J24" s="10">
        <v>0</v>
      </c>
      <c r="K24" s="10" t="s">
        <v>128</v>
      </c>
      <c r="L24" s="10">
        <v>1.8749999999999999E-2</v>
      </c>
      <c r="M24" s="10" t="s">
        <v>129</v>
      </c>
      <c r="N24" s="10">
        <v>1.125E-2</v>
      </c>
      <c r="O24" s="10" t="s">
        <v>97</v>
      </c>
      <c r="P24" s="9">
        <f>90/243243</f>
        <v>3.7000037000037002E-4</v>
      </c>
      <c r="Q24" s="14" t="s">
        <v>97</v>
      </c>
      <c r="R24" s="14">
        <v>37</v>
      </c>
      <c r="S24" s="10" t="s">
        <v>135</v>
      </c>
      <c r="T24" s="10">
        <v>1.1123000000000001</v>
      </c>
    </row>
    <row r="25" spans="1:20" s="1" customFormat="1" x14ac:dyDescent="0.25">
      <c r="A25" s="11" t="s">
        <v>20</v>
      </c>
      <c r="B25" s="12" t="s">
        <v>121</v>
      </c>
      <c r="C25" s="10" t="s">
        <v>119</v>
      </c>
      <c r="D25" s="9">
        <f>90/243243</f>
        <v>3.7000037000037002E-4</v>
      </c>
      <c r="E25" s="10" t="s">
        <v>97</v>
      </c>
      <c r="F25" s="10">
        <v>0</v>
      </c>
      <c r="G25" s="10" t="s">
        <v>126</v>
      </c>
      <c r="H25" s="10">
        <v>0</v>
      </c>
      <c r="I25" s="10" t="s">
        <v>97</v>
      </c>
      <c r="J25" s="10">
        <v>0</v>
      </c>
      <c r="K25" s="10" t="s">
        <v>128</v>
      </c>
      <c r="L25" s="10">
        <v>1.8749999999999999E-2</v>
      </c>
      <c r="M25" s="10" t="s">
        <v>129</v>
      </c>
      <c r="N25" s="10">
        <v>1.125E-2</v>
      </c>
      <c r="O25" s="10" t="s">
        <v>97</v>
      </c>
      <c r="P25" s="9">
        <f>90/243243</f>
        <v>3.7000037000037002E-4</v>
      </c>
      <c r="Q25" s="14" t="s">
        <v>97</v>
      </c>
      <c r="R25" s="14">
        <v>37</v>
      </c>
      <c r="S25" s="10" t="s">
        <v>135</v>
      </c>
      <c r="T25" s="10">
        <v>1.1123000000000001</v>
      </c>
    </row>
    <row r="26" spans="1:20" s="1" customFormat="1" x14ac:dyDescent="0.25">
      <c r="A26" s="17" t="s">
        <v>37</v>
      </c>
      <c r="B26" s="10" t="s">
        <v>98</v>
      </c>
      <c r="C26" s="10" t="s">
        <v>114</v>
      </c>
      <c r="D26" s="9">
        <v>0</v>
      </c>
      <c r="E26" s="10" t="s">
        <v>97</v>
      </c>
      <c r="F26" s="10">
        <v>0</v>
      </c>
      <c r="G26" s="10" t="s">
        <v>97</v>
      </c>
      <c r="H26" s="10">
        <v>0</v>
      </c>
      <c r="I26" s="10" t="s">
        <v>97</v>
      </c>
      <c r="J26" s="10">
        <v>0</v>
      </c>
      <c r="K26" s="10" t="s">
        <v>97</v>
      </c>
      <c r="L26" s="10">
        <v>0</v>
      </c>
      <c r="M26" s="10" t="s">
        <v>97</v>
      </c>
      <c r="N26" s="10">
        <v>0</v>
      </c>
      <c r="O26" s="10" t="s">
        <v>115</v>
      </c>
      <c r="P26" s="9">
        <f>50/25000</f>
        <v>2E-3</v>
      </c>
      <c r="Q26" s="14" t="s">
        <v>97</v>
      </c>
      <c r="R26" s="10">
        <v>0</v>
      </c>
      <c r="S26" s="10" t="s">
        <v>135</v>
      </c>
      <c r="T26" s="10">
        <v>0</v>
      </c>
    </row>
    <row r="27" spans="1:20" x14ac:dyDescent="0.25">
      <c r="A27" s="11" t="s">
        <v>21</v>
      </c>
      <c r="B27" s="12" t="s">
        <v>100</v>
      </c>
      <c r="C27" s="10" t="s">
        <v>122</v>
      </c>
      <c r="D27" s="9">
        <f>90/120000</f>
        <v>7.5000000000000002E-4</v>
      </c>
      <c r="E27" s="10" t="s">
        <v>97</v>
      </c>
      <c r="F27" s="10">
        <v>0</v>
      </c>
      <c r="G27" s="10" t="s">
        <v>97</v>
      </c>
      <c r="H27" s="10">
        <v>0</v>
      </c>
      <c r="I27" s="10" t="s">
        <v>97</v>
      </c>
      <c r="J27" s="10">
        <v>0</v>
      </c>
      <c r="K27" s="10" t="s">
        <v>128</v>
      </c>
      <c r="L27" s="10">
        <v>1.8749999999999999E-2</v>
      </c>
      <c r="M27" s="10" t="s">
        <v>129</v>
      </c>
      <c r="N27" s="10">
        <v>6.7500000000000004E-2</v>
      </c>
      <c r="O27" s="10" t="s">
        <v>97</v>
      </c>
      <c r="P27" s="9">
        <f>90/120000</f>
        <v>7.5000000000000002E-4</v>
      </c>
      <c r="Q27" s="14" t="s">
        <v>38</v>
      </c>
      <c r="R27" s="14">
        <v>75</v>
      </c>
      <c r="S27" s="10" t="s">
        <v>135</v>
      </c>
      <c r="T27" s="10">
        <v>1.1123000000000001</v>
      </c>
    </row>
    <row r="28" spans="1:20" x14ac:dyDescent="0.25">
      <c r="A28" s="11" t="s">
        <v>21</v>
      </c>
      <c r="B28" s="12" t="s">
        <v>101</v>
      </c>
      <c r="C28" s="10" t="s">
        <v>119</v>
      </c>
      <c r="D28" s="9">
        <f>90/132000</f>
        <v>6.8181818181818187E-4</v>
      </c>
      <c r="E28" s="10" t="s">
        <v>97</v>
      </c>
      <c r="F28" s="10">
        <v>0</v>
      </c>
      <c r="G28" s="10" t="s">
        <v>97</v>
      </c>
      <c r="H28" s="10">
        <v>0</v>
      </c>
      <c r="I28" s="10" t="s">
        <v>97</v>
      </c>
      <c r="J28" s="10">
        <v>0</v>
      </c>
      <c r="K28" s="10" t="s">
        <v>128</v>
      </c>
      <c r="L28" s="10">
        <v>1.8749999999999999E-2</v>
      </c>
      <c r="M28" s="10" t="s">
        <v>129</v>
      </c>
      <c r="N28" s="10">
        <v>6.7500000000000004E-2</v>
      </c>
      <c r="O28" s="10" t="s">
        <v>97</v>
      </c>
      <c r="P28" s="9">
        <f>90/132000</f>
        <v>6.8181818181818187E-4</v>
      </c>
      <c r="Q28" s="14" t="s">
        <v>38</v>
      </c>
      <c r="R28" s="14">
        <v>68</v>
      </c>
      <c r="S28" s="10" t="s">
        <v>135</v>
      </c>
      <c r="T28" s="10">
        <v>1.1123000000000001</v>
      </c>
    </row>
    <row r="29" spans="1:20" x14ac:dyDescent="0.25">
      <c r="A29" s="11" t="s">
        <v>21</v>
      </c>
      <c r="B29" s="12" t="s">
        <v>102</v>
      </c>
      <c r="C29" s="10" t="s">
        <v>119</v>
      </c>
      <c r="D29" s="9">
        <f>90/121000</f>
        <v>7.4380165289256194E-4</v>
      </c>
      <c r="E29" s="10" t="s">
        <v>97</v>
      </c>
      <c r="F29" s="10">
        <v>0</v>
      </c>
      <c r="G29" s="10" t="s">
        <v>97</v>
      </c>
      <c r="H29" s="10">
        <v>0</v>
      </c>
      <c r="I29" s="10" t="s">
        <v>97</v>
      </c>
      <c r="J29" s="10">
        <v>0</v>
      </c>
      <c r="K29" s="10" t="s">
        <v>128</v>
      </c>
      <c r="L29" s="10">
        <v>1.8749999999999999E-2</v>
      </c>
      <c r="M29" s="10" t="s">
        <v>129</v>
      </c>
      <c r="N29" s="10">
        <v>6.7500000000000004E-2</v>
      </c>
      <c r="O29" s="10" t="s">
        <v>97</v>
      </c>
      <c r="P29" s="9">
        <f>90/121000</f>
        <v>7.4380165289256194E-4</v>
      </c>
      <c r="Q29" s="14" t="s">
        <v>38</v>
      </c>
      <c r="R29" s="14">
        <v>74</v>
      </c>
      <c r="S29" s="10" t="s">
        <v>135</v>
      </c>
      <c r="T29" s="10">
        <v>1.1123000000000001</v>
      </c>
    </row>
    <row r="30" spans="1:20" x14ac:dyDescent="0.25">
      <c r="A30" s="11" t="s">
        <v>21</v>
      </c>
      <c r="B30" s="12" t="s">
        <v>103</v>
      </c>
      <c r="C30" s="10" t="s">
        <v>119</v>
      </c>
      <c r="D30" s="9">
        <f>90/121000</f>
        <v>7.4380165289256194E-4</v>
      </c>
      <c r="E30" s="10" t="s">
        <v>97</v>
      </c>
      <c r="F30" s="10">
        <v>0</v>
      </c>
      <c r="G30" s="10" t="s">
        <v>97</v>
      </c>
      <c r="H30" s="10">
        <v>0</v>
      </c>
      <c r="I30" s="10" t="s">
        <v>97</v>
      </c>
      <c r="J30" s="10">
        <v>0</v>
      </c>
      <c r="K30" s="10" t="s">
        <v>128</v>
      </c>
      <c r="L30" s="10">
        <v>1.8749999999999999E-2</v>
      </c>
      <c r="M30" s="10" t="s">
        <v>129</v>
      </c>
      <c r="N30" s="10">
        <v>6.7500000000000004E-2</v>
      </c>
      <c r="O30" s="10" t="s">
        <v>97</v>
      </c>
      <c r="P30" s="9">
        <f>90/121000</f>
        <v>7.4380165289256194E-4</v>
      </c>
      <c r="Q30" s="14" t="s">
        <v>38</v>
      </c>
      <c r="R30" s="14">
        <v>74</v>
      </c>
      <c r="S30" s="10" t="s">
        <v>135</v>
      </c>
      <c r="T30" s="10">
        <v>1.1123000000000001</v>
      </c>
    </row>
    <row r="31" spans="1:20" x14ac:dyDescent="0.25">
      <c r="A31" s="3"/>
      <c r="D31"/>
      <c r="J31" s="20"/>
    </row>
    <row r="32" spans="1:20" x14ac:dyDescent="0.25">
      <c r="A32" s="3"/>
      <c r="D32"/>
    </row>
    <row r="33" spans="1:4" x14ac:dyDescent="0.25">
      <c r="D33"/>
    </row>
    <row r="34" spans="1:4" x14ac:dyDescent="0.25">
      <c r="A34" s="3"/>
      <c r="D34"/>
    </row>
    <row r="35" spans="1:4" x14ac:dyDescent="0.25">
      <c r="A35" s="3"/>
    </row>
    <row r="37" spans="1:4" x14ac:dyDescent="0.25">
      <c r="A37" s="3"/>
    </row>
    <row r="38" spans="1:4" x14ac:dyDescent="0.25">
      <c r="A38" s="3"/>
    </row>
    <row r="40" spans="1:4" x14ac:dyDescent="0.25">
      <c r="A40" s="3"/>
    </row>
    <row r="41" spans="1:4" x14ac:dyDescent="0.25">
      <c r="A41" s="3"/>
    </row>
    <row r="43" spans="1:4" x14ac:dyDescent="0.25">
      <c r="A43" s="3"/>
    </row>
    <row r="44" spans="1:4" x14ac:dyDescent="0.25">
      <c r="A44" s="3"/>
    </row>
    <row r="46" spans="1:4" x14ac:dyDescent="0.25">
      <c r="A46" s="3"/>
    </row>
    <row r="47" spans="1:4" x14ac:dyDescent="0.25">
      <c r="A47" s="3"/>
    </row>
    <row r="49" spans="1:1" x14ac:dyDescent="0.25">
      <c r="A49" s="3"/>
    </row>
    <row r="50" spans="1:1" x14ac:dyDescent="0.25">
      <c r="A50" s="3"/>
    </row>
    <row r="52" spans="1:1" x14ac:dyDescent="0.25">
      <c r="A52" s="3"/>
    </row>
    <row r="53" spans="1:1" x14ac:dyDescent="0.25">
      <c r="A53" s="3"/>
    </row>
    <row r="55" spans="1:1" x14ac:dyDescent="0.25">
      <c r="A55" s="3"/>
    </row>
    <row r="56" spans="1:1" x14ac:dyDescent="0.25">
      <c r="A56" s="3"/>
    </row>
  </sheetData>
  <autoFilter ref="A1:AB3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opLeftCell="A43" workbookViewId="0">
      <selection activeCell="B60" sqref="B60"/>
    </sheetView>
  </sheetViews>
  <sheetFormatPr baseColWidth="10" defaultRowHeight="15" x14ac:dyDescent="0.25"/>
  <cols>
    <col min="1" max="1" width="35.5703125" bestFit="1" customWidth="1"/>
  </cols>
  <sheetData>
    <row r="1" spans="1:3" x14ac:dyDescent="0.25">
      <c r="A1" s="2" t="s">
        <v>5</v>
      </c>
      <c r="B1" s="2" t="s">
        <v>6</v>
      </c>
      <c r="C1" s="2" t="s">
        <v>14</v>
      </c>
    </row>
    <row r="2" spans="1:3" x14ac:dyDescent="0.25">
      <c r="A2" s="6" t="s">
        <v>39</v>
      </c>
      <c r="B2">
        <v>6.0000000000000001E-3</v>
      </c>
    </row>
    <row r="3" spans="1:3" x14ac:dyDescent="0.25">
      <c r="A3" s="6" t="s">
        <v>40</v>
      </c>
      <c r="B3">
        <v>8.7999999999999995E-2</v>
      </c>
    </row>
    <row r="4" spans="1:3" x14ac:dyDescent="0.25">
      <c r="A4" s="6" t="s">
        <v>8</v>
      </c>
      <c r="B4">
        <v>1.0999999999999999E-2</v>
      </c>
    </row>
    <row r="5" spans="1:3" x14ac:dyDescent="0.25">
      <c r="A5" s="6" t="s">
        <v>42</v>
      </c>
      <c r="B5">
        <v>7.0000000000000001E-3</v>
      </c>
    </row>
    <row r="6" spans="1:3" x14ac:dyDescent="0.25">
      <c r="A6" s="6" t="s">
        <v>41</v>
      </c>
      <c r="B6">
        <v>7.0000000000000001E-3</v>
      </c>
    </row>
    <row r="7" spans="1:3" x14ac:dyDescent="0.25">
      <c r="A7" s="6" t="s">
        <v>43</v>
      </c>
      <c r="B7">
        <v>7.0000000000000001E-3</v>
      </c>
    </row>
    <row r="8" spans="1:3" x14ac:dyDescent="0.25">
      <c r="A8" s="6" t="s">
        <v>60</v>
      </c>
      <c r="B8">
        <v>7.0000000000000001E-3</v>
      </c>
    </row>
    <row r="9" spans="1:3" x14ac:dyDescent="0.25">
      <c r="A9" s="6" t="s">
        <v>59</v>
      </c>
      <c r="B9">
        <v>7.0000000000000001E-3</v>
      </c>
    </row>
    <row r="10" spans="1:3" x14ac:dyDescent="0.25">
      <c r="A10" s="6" t="s">
        <v>56</v>
      </c>
      <c r="B10">
        <v>7.0000000000000001E-3</v>
      </c>
    </row>
    <row r="11" spans="1:3" x14ac:dyDescent="0.25">
      <c r="A11" s="6" t="s">
        <v>57</v>
      </c>
      <c r="B11">
        <v>1.7999999999999999E-2</v>
      </c>
    </row>
    <row r="12" spans="1:3" x14ac:dyDescent="0.25">
      <c r="A12" s="6" t="s">
        <v>58</v>
      </c>
      <c r="B12">
        <v>2.9000000000000001E-2</v>
      </c>
    </row>
    <row r="13" spans="1:3" x14ac:dyDescent="0.25">
      <c r="A13" s="6" t="s">
        <v>61</v>
      </c>
      <c r="B13">
        <v>2.5000000000000001E-2</v>
      </c>
    </row>
    <row r="14" spans="1:3" x14ac:dyDescent="0.25">
      <c r="A14" s="7" t="s">
        <v>53</v>
      </c>
      <c r="B14">
        <v>0.02</v>
      </c>
    </row>
    <row r="15" spans="1:3" x14ac:dyDescent="0.25">
      <c r="A15" s="6" t="s">
        <v>46</v>
      </c>
      <c r="B15">
        <v>6.7000000000000004E-2</v>
      </c>
    </row>
    <row r="16" spans="1:3" x14ac:dyDescent="0.25">
      <c r="A16" s="6" t="s">
        <v>69</v>
      </c>
      <c r="B16">
        <v>7.0000000000000001E-3</v>
      </c>
    </row>
    <row r="17" spans="1:2" x14ac:dyDescent="0.25">
      <c r="A17" s="6" t="s">
        <v>70</v>
      </c>
      <c r="B17">
        <v>7.0000000000000001E-3</v>
      </c>
    </row>
    <row r="18" spans="1:2" x14ac:dyDescent="0.25">
      <c r="A18" s="6" t="s">
        <v>72</v>
      </c>
      <c r="B18">
        <v>7.0000000000000001E-3</v>
      </c>
    </row>
    <row r="19" spans="1:2" x14ac:dyDescent="0.25">
      <c r="A19" s="6" t="s">
        <v>71</v>
      </c>
      <c r="B19">
        <v>0.11</v>
      </c>
    </row>
    <row r="20" spans="1:2" x14ac:dyDescent="0.25">
      <c r="A20" s="6" t="s">
        <v>73</v>
      </c>
      <c r="B20">
        <v>8.7999999999999995E-2</v>
      </c>
    </row>
    <row r="21" spans="1:2" x14ac:dyDescent="0.25">
      <c r="A21" s="6" t="s">
        <v>51</v>
      </c>
      <c r="B21">
        <v>8.7999999999999995E-2</v>
      </c>
    </row>
    <row r="22" spans="1:2" x14ac:dyDescent="0.25">
      <c r="A22" s="6" t="s">
        <v>45</v>
      </c>
      <c r="B22">
        <v>1.7999999999999999E-2</v>
      </c>
    </row>
    <row r="23" spans="1:2" x14ac:dyDescent="0.25">
      <c r="A23" s="7" t="s">
        <v>52</v>
      </c>
      <c r="B23">
        <v>6.7000000000000004E-2</v>
      </c>
    </row>
    <row r="24" spans="1:2" x14ac:dyDescent="0.25">
      <c r="A24" s="6" t="s">
        <v>48</v>
      </c>
      <c r="B24">
        <v>1.7999999999999999E-2</v>
      </c>
    </row>
    <row r="25" spans="1:2" x14ac:dyDescent="0.25">
      <c r="A25" s="6" t="s">
        <v>47</v>
      </c>
      <c r="B25">
        <v>0.02</v>
      </c>
    </row>
    <row r="26" spans="1:2" x14ac:dyDescent="0.25">
      <c r="A26" s="6" t="s">
        <v>44</v>
      </c>
      <c r="B26">
        <v>0.02</v>
      </c>
    </row>
    <row r="27" spans="1:2" x14ac:dyDescent="0.25">
      <c r="A27" s="7" t="s">
        <v>54</v>
      </c>
      <c r="B27">
        <v>1.7999999999999999E-2</v>
      </c>
    </row>
    <row r="28" spans="1:2" x14ac:dyDescent="0.25">
      <c r="A28" s="6" t="s">
        <v>49</v>
      </c>
      <c r="B28">
        <v>6.7000000000000004E-2</v>
      </c>
    </row>
    <row r="29" spans="1:2" x14ac:dyDescent="0.25">
      <c r="A29" s="6" t="s">
        <v>63</v>
      </c>
      <c r="B29">
        <v>0.06</v>
      </c>
    </row>
    <row r="30" spans="1:2" x14ac:dyDescent="0.25">
      <c r="A30" s="6" t="s">
        <v>62</v>
      </c>
      <c r="B30">
        <v>4.0000000000000001E-3</v>
      </c>
    </row>
    <row r="31" spans="1:2" x14ac:dyDescent="0.25">
      <c r="A31" s="6" t="s">
        <v>64</v>
      </c>
      <c r="B31">
        <v>4.0000000000000001E-3</v>
      </c>
    </row>
    <row r="32" spans="1:2" x14ac:dyDescent="0.25">
      <c r="A32" s="6" t="s">
        <v>65</v>
      </c>
      <c r="B32">
        <v>4.0000000000000001E-3</v>
      </c>
    </row>
    <row r="33" spans="1:2" x14ac:dyDescent="0.25">
      <c r="A33" s="6" t="s">
        <v>67</v>
      </c>
      <c r="B33">
        <v>4.0000000000000001E-3</v>
      </c>
    </row>
    <row r="34" spans="1:2" x14ac:dyDescent="0.25">
      <c r="A34" s="6" t="s">
        <v>66</v>
      </c>
      <c r="B34">
        <v>7.0000000000000001E-3</v>
      </c>
    </row>
    <row r="35" spans="1:2" x14ac:dyDescent="0.25">
      <c r="A35" s="6" t="s">
        <v>50</v>
      </c>
      <c r="B35">
        <v>7.0000000000000007E-2</v>
      </c>
    </row>
    <row r="36" spans="1:2" x14ac:dyDescent="0.25">
      <c r="A36" s="6" t="s">
        <v>68</v>
      </c>
      <c r="B36">
        <v>0.11</v>
      </c>
    </row>
    <row r="37" spans="1:2" x14ac:dyDescent="0.25">
      <c r="A37" s="6" t="s">
        <v>55</v>
      </c>
      <c r="B37">
        <v>1.7999999999999999E-2</v>
      </c>
    </row>
    <row r="38" spans="1:2" x14ac:dyDescent="0.25">
      <c r="A38" s="6" t="s">
        <v>74</v>
      </c>
      <c r="B38">
        <v>0.12</v>
      </c>
    </row>
    <row r="39" spans="1:2" x14ac:dyDescent="0.25">
      <c r="A39" s="6" t="s">
        <v>75</v>
      </c>
      <c r="B39">
        <v>0.11</v>
      </c>
    </row>
    <row r="40" spans="1:2" x14ac:dyDescent="0.25">
      <c r="A40" s="6" t="s">
        <v>76</v>
      </c>
      <c r="B40">
        <v>1.0999999999999999E-2</v>
      </c>
    </row>
    <row r="41" spans="1:2" x14ac:dyDescent="0.25">
      <c r="A41" s="6" t="s">
        <v>74</v>
      </c>
      <c r="B41">
        <v>3.0000000000000001E-3</v>
      </c>
    </row>
    <row r="42" spans="1:2" x14ac:dyDescent="0.25">
      <c r="A42" s="6" t="s">
        <v>77</v>
      </c>
      <c r="B42">
        <v>3.0000000000000001E-3</v>
      </c>
    </row>
    <row r="43" spans="1:2" x14ac:dyDescent="0.25">
      <c r="A43" s="6" t="s">
        <v>78</v>
      </c>
      <c r="B43">
        <v>3.0000000000000001E-3</v>
      </c>
    </row>
    <row r="44" spans="1:2" x14ac:dyDescent="0.25">
      <c r="A44" s="6" t="s">
        <v>79</v>
      </c>
      <c r="B44">
        <v>0.25</v>
      </c>
    </row>
    <row r="45" spans="1:2" x14ac:dyDescent="0.25">
      <c r="A45" s="6" t="s">
        <v>80</v>
      </c>
      <c r="B45">
        <v>7.0000000000000001E-3</v>
      </c>
    </row>
    <row r="46" spans="1:2" x14ac:dyDescent="0.25">
      <c r="A46" s="6" t="s">
        <v>81</v>
      </c>
      <c r="B46">
        <v>7.0000000000000001E-3</v>
      </c>
    </row>
    <row r="47" spans="1:2" x14ac:dyDescent="0.25">
      <c r="A47" s="6" t="s">
        <v>82</v>
      </c>
      <c r="B47">
        <v>0.11</v>
      </c>
    </row>
    <row r="48" spans="1:2" x14ac:dyDescent="0.25">
      <c r="A48" s="6" t="s">
        <v>83</v>
      </c>
      <c r="B48">
        <v>2.5000000000000001E-2</v>
      </c>
    </row>
    <row r="49" spans="1:2" x14ac:dyDescent="0.25">
      <c r="A49" s="6" t="s">
        <v>84</v>
      </c>
      <c r="B49">
        <v>0.28999999999999998</v>
      </c>
    </row>
    <row r="50" spans="1:2" x14ac:dyDescent="0.25">
      <c r="A50" s="13" t="s">
        <v>85</v>
      </c>
      <c r="B50">
        <v>2.1999999999999999E-2</v>
      </c>
    </row>
    <row r="51" spans="1:2" x14ac:dyDescent="0.25">
      <c r="A51" s="13" t="s">
        <v>87</v>
      </c>
      <c r="B51">
        <v>2.8000000000000001E-2</v>
      </c>
    </row>
    <row r="52" spans="1:2" x14ac:dyDescent="0.25">
      <c r="A52" s="13" t="s">
        <v>86</v>
      </c>
      <c r="B52">
        <v>3.0000000000000001E-3</v>
      </c>
    </row>
    <row r="53" spans="1:2" x14ac:dyDescent="0.25">
      <c r="A53" s="13" t="s">
        <v>88</v>
      </c>
      <c r="B53">
        <v>3.0000000000000001E-3</v>
      </c>
    </row>
    <row r="54" spans="1:2" x14ac:dyDescent="0.25">
      <c r="A54" s="13" t="s">
        <v>89</v>
      </c>
      <c r="B54">
        <v>1.6E-2</v>
      </c>
    </row>
    <row r="55" spans="1:2" x14ac:dyDescent="0.25">
      <c r="A55" s="13" t="s">
        <v>91</v>
      </c>
      <c r="B55">
        <v>6.0000000000000001E-3</v>
      </c>
    </row>
    <row r="56" spans="1:2" x14ac:dyDescent="0.25">
      <c r="A56" s="13" t="s">
        <v>90</v>
      </c>
      <c r="B56">
        <v>6.0999999999999999E-2</v>
      </c>
    </row>
    <row r="57" spans="1:2" x14ac:dyDescent="0.25">
      <c r="A57" s="13" t="s">
        <v>99</v>
      </c>
      <c r="B57" s="18">
        <v>8.0995690799999984</v>
      </c>
    </row>
    <row r="58" spans="1:2" x14ac:dyDescent="0.25">
      <c r="A58" s="13" t="s">
        <v>104</v>
      </c>
      <c r="B58">
        <v>2.8000000000000001E-2</v>
      </c>
    </row>
    <row r="59" spans="1:2" x14ac:dyDescent="0.25">
      <c r="A59" s="13" t="s">
        <v>105</v>
      </c>
      <c r="B59">
        <v>3.0000000000000001E-3</v>
      </c>
    </row>
    <row r="60" spans="1:2" x14ac:dyDescent="0.25">
      <c r="A60" s="13" t="s">
        <v>106</v>
      </c>
      <c r="B60">
        <v>0.22</v>
      </c>
    </row>
    <row r="61" spans="1:2" x14ac:dyDescent="0.25">
      <c r="A61" s="13" t="s">
        <v>107</v>
      </c>
      <c r="B61">
        <v>0.16</v>
      </c>
    </row>
    <row r="62" spans="1:2" x14ac:dyDescent="0.25">
      <c r="A62" s="13" t="s">
        <v>108</v>
      </c>
      <c r="B62">
        <v>6.0999999999999999E-2</v>
      </c>
    </row>
    <row r="63" spans="1:2" x14ac:dyDescent="0.25">
      <c r="A63" s="13" t="s">
        <v>109</v>
      </c>
      <c r="B63">
        <v>3.0000000000000001E-3</v>
      </c>
    </row>
    <row r="64" spans="1:2" x14ac:dyDescent="0.25">
      <c r="A64" s="13" t="s">
        <v>110</v>
      </c>
      <c r="B64">
        <v>3.0000000000000001E-3</v>
      </c>
    </row>
  </sheetData>
  <autoFilter ref="A1:C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Pantones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Grupo Labro</dc:creator>
  <cp:lastModifiedBy>PC-PRO03</cp:lastModifiedBy>
  <cp:lastPrinted>2019-07-24T14:26:49Z</cp:lastPrinted>
  <dcterms:created xsi:type="dcterms:W3CDTF">2016-12-13T06:55:33Z</dcterms:created>
  <dcterms:modified xsi:type="dcterms:W3CDTF">2019-08-06T17:58:14Z</dcterms:modified>
</cp:coreProperties>
</file>